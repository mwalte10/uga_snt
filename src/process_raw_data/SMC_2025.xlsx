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Maggie\uga_snt\shared\raw_data\"/>
    </mc:Choice>
  </mc:AlternateContent>
  <xr:revisionPtr revIDLastSave="0" documentId="14_{A19A5D96-292A-4E2A-B8BE-A0A929995202}" xr6:coauthVersionLast="47" xr6:coauthVersionMax="47" xr10:uidLastSave="{00000000-0000-0000-0000-000000000000}"/>
  <bookViews>
    <workbookView xWindow="-110" yWindow="-110" windowWidth="19420" windowHeight="10300" activeTab="8" xr2:uid="{03F20463-1D75-4DCC-9724-13A4DEAEECC8}"/>
  </bookViews>
  <sheets>
    <sheet name="Nakapiripirit" sheetId="2" r:id="rId1"/>
    <sheet name="Amudat" sheetId="4" r:id="rId2"/>
    <sheet name="Nabilatuk" sheetId="8" r:id="rId3"/>
    <sheet name="Kotido" sheetId="16" r:id="rId4"/>
    <sheet name="Moroto" sheetId="14" r:id="rId5"/>
    <sheet name="Kaabong" sheetId="12" r:id="rId6"/>
    <sheet name="Karenga" sheetId="9" r:id="rId7"/>
    <sheet name="Abim" sheetId="6" r:id="rId8"/>
    <sheet name="Napak" sheetId="7" r:id="rId9"/>
  </sheets>
  <definedNames>
    <definedName name="_xlnm._FilterDatabase" localSheetId="0" hidden="1">Nakapiripirit!$G$1:$G$233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6" l="1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5" i="16"/>
  <c r="I432" i="16"/>
  <c r="J432" i="16"/>
  <c r="K432" i="16"/>
  <c r="H432" i="16"/>
  <c r="I431" i="16"/>
  <c r="J431" i="16"/>
  <c r="K431" i="16"/>
  <c r="H431" i="16"/>
  <c r="I413" i="16"/>
  <c r="J413" i="16"/>
  <c r="K413" i="16"/>
  <c r="H413" i="16"/>
  <c r="I394" i="16"/>
  <c r="J394" i="16"/>
  <c r="K394" i="16"/>
  <c r="H394" i="16"/>
  <c r="I362" i="16"/>
  <c r="J362" i="16"/>
  <c r="K362" i="16"/>
  <c r="H362" i="16"/>
  <c r="I337" i="16"/>
  <c r="J337" i="16"/>
  <c r="K337" i="16"/>
  <c r="H337" i="16"/>
  <c r="I327" i="16"/>
  <c r="J327" i="16"/>
  <c r="K327" i="16"/>
  <c r="H327" i="16"/>
  <c r="I306" i="16"/>
  <c r="J306" i="16"/>
  <c r="K306" i="16"/>
  <c r="H306" i="16"/>
  <c r="I274" i="16"/>
  <c r="J274" i="16"/>
  <c r="K274" i="16"/>
  <c r="H274" i="16"/>
  <c r="I256" i="16"/>
  <c r="J256" i="16"/>
  <c r="K256" i="16"/>
  <c r="H256" i="16"/>
  <c r="I238" i="16"/>
  <c r="J238" i="16"/>
  <c r="K238" i="16"/>
  <c r="H238" i="16"/>
  <c r="I222" i="16"/>
  <c r="J222" i="16"/>
  <c r="K222" i="16"/>
  <c r="H222" i="16"/>
  <c r="I205" i="16"/>
  <c r="J205" i="16"/>
  <c r="K205" i="16"/>
  <c r="H205" i="16"/>
  <c r="I191" i="16"/>
  <c r="J191" i="16"/>
  <c r="K191" i="16"/>
  <c r="H191" i="16"/>
  <c r="I175" i="16"/>
  <c r="J175" i="16"/>
  <c r="K175" i="16"/>
  <c r="H175" i="16"/>
  <c r="I143" i="16"/>
  <c r="J143" i="16"/>
  <c r="K143" i="16"/>
  <c r="H143" i="16"/>
  <c r="I135" i="16"/>
  <c r="J135" i="16"/>
  <c r="K135" i="16"/>
  <c r="H135" i="16"/>
  <c r="I107" i="16"/>
  <c r="J107" i="16"/>
  <c r="K107" i="16"/>
  <c r="H107" i="16"/>
  <c r="H13" i="16"/>
  <c r="I74" i="16"/>
  <c r="J74" i="16"/>
  <c r="K74" i="16"/>
  <c r="H74" i="16"/>
  <c r="I13" i="16"/>
  <c r="J13" i="16"/>
  <c r="K13" i="16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5" i="2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5" i="4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6" i="8"/>
  <c r="I285" i="14"/>
  <c r="J285" i="14"/>
  <c r="K285" i="14"/>
  <c r="H285" i="14"/>
  <c r="I30" i="14"/>
  <c r="J30" i="14"/>
  <c r="K30" i="14"/>
  <c r="H30" i="14"/>
  <c r="L15" i="14"/>
  <c r="I15" i="14"/>
  <c r="J15" i="14"/>
  <c r="K15" i="14"/>
  <c r="H15" i="14"/>
  <c r="L6" i="14"/>
  <c r="L7" i="14"/>
  <c r="L8" i="14"/>
  <c r="L9" i="14"/>
  <c r="L10" i="14"/>
  <c r="L11" i="14"/>
  <c r="L12" i="14"/>
  <c r="L13" i="14"/>
  <c r="L14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50" i="14"/>
  <c r="L51" i="14"/>
  <c r="L52" i="14"/>
  <c r="L53" i="14"/>
  <c r="L54" i="14"/>
  <c r="L55" i="14"/>
  <c r="L56" i="14"/>
  <c r="L57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1" i="14"/>
  <c r="L182" i="14"/>
  <c r="L183" i="14"/>
  <c r="L184" i="14"/>
  <c r="L185" i="14"/>
  <c r="L186" i="14"/>
  <c r="L187" i="14"/>
  <c r="L188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8" i="14"/>
  <c r="L259" i="14"/>
  <c r="L260" i="14"/>
  <c r="L261" i="14"/>
  <c r="L262" i="14"/>
  <c r="L263" i="14"/>
  <c r="L264" i="14"/>
  <c r="L265" i="14"/>
  <c r="L266" i="14"/>
  <c r="L267" i="14"/>
  <c r="L268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5" i="14"/>
  <c r="P6" i="12" l="1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5" i="12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4" i="9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" i="6"/>
  <c r="P6" i="7" l="1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5" i="7"/>
  <c r="I463" i="12"/>
  <c r="J463" i="12"/>
  <c r="K463" i="12"/>
  <c r="L463" i="12"/>
  <c r="M463" i="12"/>
  <c r="N463" i="12"/>
  <c r="O463" i="12"/>
  <c r="H463" i="12"/>
  <c r="I462" i="12"/>
  <c r="J462" i="12"/>
  <c r="K462" i="12"/>
  <c r="L462" i="12"/>
  <c r="M462" i="12"/>
  <c r="N462" i="12"/>
  <c r="O462" i="12"/>
  <c r="H462" i="12"/>
  <c r="I456" i="12"/>
  <c r="J456" i="12"/>
  <c r="K456" i="12"/>
  <c r="L456" i="12"/>
  <c r="M456" i="12"/>
  <c r="N456" i="12"/>
  <c r="O456" i="12"/>
  <c r="H456" i="12"/>
  <c r="I445" i="12"/>
  <c r="J445" i="12"/>
  <c r="K445" i="12"/>
  <c r="L445" i="12"/>
  <c r="M445" i="12"/>
  <c r="N445" i="12"/>
  <c r="O445" i="12"/>
  <c r="H445" i="12"/>
  <c r="N438" i="12"/>
  <c r="I438" i="12"/>
  <c r="J438" i="12"/>
  <c r="K438" i="12"/>
  <c r="L438" i="12"/>
  <c r="M438" i="12"/>
  <c r="O438" i="12"/>
  <c r="H438" i="12"/>
  <c r="I433" i="12"/>
  <c r="J433" i="12"/>
  <c r="K433" i="12"/>
  <c r="L433" i="12"/>
  <c r="M433" i="12"/>
  <c r="N433" i="12"/>
  <c r="O433" i="12"/>
  <c r="H433" i="12"/>
  <c r="I427" i="12"/>
  <c r="J427" i="12"/>
  <c r="K427" i="12"/>
  <c r="L427" i="12"/>
  <c r="M427" i="12"/>
  <c r="N427" i="12"/>
  <c r="O427" i="12"/>
  <c r="H427" i="12"/>
  <c r="I421" i="12"/>
  <c r="J421" i="12"/>
  <c r="K421" i="12"/>
  <c r="L421" i="12"/>
  <c r="M421" i="12"/>
  <c r="N421" i="12"/>
  <c r="O421" i="12"/>
  <c r="H421" i="12"/>
  <c r="I583" i="6"/>
  <c r="J583" i="6"/>
  <c r="K583" i="6"/>
  <c r="L583" i="6"/>
  <c r="M583" i="6"/>
  <c r="N583" i="6"/>
  <c r="O583" i="6"/>
  <c r="I582" i="6"/>
  <c r="J582" i="6"/>
  <c r="K582" i="6"/>
  <c r="L582" i="6"/>
  <c r="M582" i="6"/>
  <c r="N582" i="6"/>
  <c r="O582" i="6"/>
  <c r="I570" i="6"/>
  <c r="J570" i="6"/>
  <c r="K570" i="6"/>
  <c r="L570" i="6"/>
  <c r="M570" i="6"/>
  <c r="N570" i="6"/>
  <c r="O570" i="6"/>
  <c r="I539" i="6"/>
  <c r="J539" i="6"/>
  <c r="K539" i="6"/>
  <c r="L539" i="6"/>
  <c r="M539" i="6"/>
  <c r="N539" i="6"/>
  <c r="O539" i="6"/>
  <c r="I499" i="6"/>
  <c r="J499" i="6"/>
  <c r="K499" i="6"/>
  <c r="L499" i="6"/>
  <c r="M499" i="6"/>
  <c r="N499" i="6"/>
  <c r="O499" i="6"/>
  <c r="I475" i="6"/>
  <c r="J475" i="6"/>
  <c r="K475" i="6"/>
  <c r="L475" i="6"/>
  <c r="M475" i="6"/>
  <c r="N475" i="6"/>
  <c r="O475" i="6"/>
  <c r="H475" i="6"/>
  <c r="I428" i="6"/>
  <c r="J428" i="6"/>
  <c r="K428" i="6"/>
  <c r="L428" i="6"/>
  <c r="M428" i="6"/>
  <c r="N428" i="6"/>
  <c r="O428" i="6"/>
  <c r="I411" i="6"/>
  <c r="J411" i="6"/>
  <c r="K411" i="6"/>
  <c r="L411" i="6"/>
  <c r="M411" i="6"/>
  <c r="N411" i="6"/>
  <c r="O411" i="6"/>
  <c r="I399" i="6"/>
  <c r="J399" i="6"/>
  <c r="K399" i="6"/>
  <c r="L399" i="6"/>
  <c r="M399" i="6"/>
  <c r="N399" i="6"/>
  <c r="O399" i="6"/>
  <c r="I382" i="6"/>
  <c r="J382" i="6"/>
  <c r="K382" i="6"/>
  <c r="L382" i="6"/>
  <c r="M382" i="6"/>
  <c r="N382" i="6"/>
  <c r="O382" i="6"/>
  <c r="L345" i="6"/>
  <c r="M345" i="6"/>
  <c r="N345" i="6"/>
  <c r="O345" i="6"/>
  <c r="I333" i="6"/>
  <c r="J333" i="6"/>
  <c r="K333" i="6"/>
  <c r="L333" i="6"/>
  <c r="M333" i="6"/>
  <c r="N333" i="6"/>
  <c r="O333" i="6"/>
  <c r="H333" i="6"/>
  <c r="L213" i="6"/>
  <c r="I192" i="6"/>
  <c r="J192" i="6"/>
  <c r="K192" i="6"/>
  <c r="L192" i="6"/>
  <c r="M192" i="6"/>
  <c r="N192" i="6"/>
  <c r="O192" i="6"/>
  <c r="L144" i="6"/>
  <c r="M144" i="6"/>
  <c r="N144" i="6"/>
  <c r="O144" i="6"/>
  <c r="O524" i="6"/>
  <c r="N524" i="6"/>
  <c r="M524" i="6"/>
  <c r="L524" i="6"/>
  <c r="O318" i="6"/>
  <c r="N318" i="6"/>
  <c r="M318" i="6"/>
  <c r="L318" i="6"/>
  <c r="O288" i="6"/>
  <c r="N288" i="6"/>
  <c r="M288" i="6"/>
  <c r="L288" i="6"/>
  <c r="O256" i="6"/>
  <c r="N256" i="6"/>
  <c r="M256" i="6"/>
  <c r="L256" i="6"/>
  <c r="O237" i="6"/>
  <c r="N237" i="6"/>
  <c r="M237" i="6"/>
  <c r="L237" i="6"/>
  <c r="O213" i="6"/>
  <c r="N213" i="6"/>
  <c r="M213" i="6"/>
  <c r="O54" i="6"/>
  <c r="N54" i="6"/>
  <c r="M54" i="6"/>
  <c r="L54" i="6"/>
  <c r="O25" i="6"/>
  <c r="N25" i="6"/>
  <c r="M25" i="6"/>
  <c r="L25" i="6"/>
  <c r="N132" i="8" l="1"/>
  <c r="M132" i="8"/>
  <c r="K284" i="14"/>
  <c r="J284" i="14"/>
  <c r="I284" i="14"/>
  <c r="H284" i="14"/>
  <c r="K269" i="14"/>
  <c r="J269" i="14"/>
  <c r="I269" i="14"/>
  <c r="H269" i="14"/>
  <c r="K257" i="14"/>
  <c r="J257" i="14"/>
  <c r="I257" i="14"/>
  <c r="H257" i="14"/>
  <c r="K237" i="14"/>
  <c r="J237" i="14"/>
  <c r="I237" i="14"/>
  <c r="H237" i="14"/>
  <c r="K223" i="14"/>
  <c r="J223" i="14"/>
  <c r="I223" i="14"/>
  <c r="H223" i="14"/>
  <c r="K202" i="14"/>
  <c r="J202" i="14"/>
  <c r="I202" i="14"/>
  <c r="H202" i="14"/>
  <c r="K189" i="14"/>
  <c r="J189" i="14"/>
  <c r="I189" i="14"/>
  <c r="H189" i="14"/>
  <c r="K180" i="14"/>
  <c r="J180" i="14"/>
  <c r="I180" i="14"/>
  <c r="H180" i="14"/>
  <c r="K159" i="14"/>
  <c r="J159" i="14"/>
  <c r="I159" i="14"/>
  <c r="H159" i="14"/>
  <c r="K115" i="14"/>
  <c r="J115" i="14"/>
  <c r="I115" i="14"/>
  <c r="H115" i="14"/>
  <c r="K101" i="14"/>
  <c r="J101" i="14"/>
  <c r="I101" i="14"/>
  <c r="H101" i="14"/>
  <c r="K58" i="14"/>
  <c r="J58" i="14"/>
  <c r="I58" i="14"/>
  <c r="H58" i="14"/>
  <c r="K49" i="14"/>
  <c r="J49" i="14"/>
  <c r="I49" i="14"/>
  <c r="H49" i="14"/>
  <c r="L38" i="9"/>
  <c r="O413" i="12"/>
  <c r="N413" i="12"/>
  <c r="M413" i="12"/>
  <c r="L413" i="12"/>
  <c r="K413" i="12"/>
  <c r="J413" i="12"/>
  <c r="I413" i="12"/>
  <c r="H413" i="12"/>
  <c r="O382" i="12"/>
  <c r="N382" i="12"/>
  <c r="M382" i="12"/>
  <c r="L382" i="12"/>
  <c r="K382" i="12"/>
  <c r="J382" i="12"/>
  <c r="I382" i="12"/>
  <c r="H382" i="12"/>
  <c r="O363" i="12"/>
  <c r="N363" i="12"/>
  <c r="M363" i="12"/>
  <c r="L363" i="12"/>
  <c r="K363" i="12"/>
  <c r="J363" i="12"/>
  <c r="I363" i="12"/>
  <c r="H363" i="12"/>
  <c r="O357" i="12"/>
  <c r="N357" i="12"/>
  <c r="M357" i="12"/>
  <c r="L357" i="12"/>
  <c r="K357" i="12"/>
  <c r="J357" i="12"/>
  <c r="I357" i="12"/>
  <c r="H357" i="12"/>
  <c r="O322" i="12"/>
  <c r="N322" i="12"/>
  <c r="M322" i="12"/>
  <c r="L322" i="12"/>
  <c r="K322" i="12"/>
  <c r="J322" i="12"/>
  <c r="I322" i="12"/>
  <c r="H322" i="12"/>
  <c r="O302" i="12"/>
  <c r="N302" i="12"/>
  <c r="M302" i="12"/>
  <c r="L302" i="12"/>
  <c r="K302" i="12"/>
  <c r="J302" i="12"/>
  <c r="I302" i="12"/>
  <c r="H302" i="12"/>
  <c r="O269" i="12"/>
  <c r="N269" i="12"/>
  <c r="M269" i="12"/>
  <c r="L269" i="12"/>
  <c r="K269" i="12"/>
  <c r="J269" i="12"/>
  <c r="I269" i="12"/>
  <c r="H269" i="12"/>
  <c r="O250" i="12"/>
  <c r="N250" i="12"/>
  <c r="M250" i="12"/>
  <c r="L250" i="12"/>
  <c r="K250" i="12"/>
  <c r="J250" i="12"/>
  <c r="I250" i="12"/>
  <c r="H250" i="12"/>
  <c r="O238" i="12"/>
  <c r="N238" i="12"/>
  <c r="M238" i="12"/>
  <c r="L238" i="12"/>
  <c r="K238" i="12"/>
  <c r="J238" i="12"/>
  <c r="I238" i="12"/>
  <c r="H238" i="12"/>
  <c r="O227" i="12"/>
  <c r="N227" i="12"/>
  <c r="M227" i="12"/>
  <c r="L227" i="12"/>
  <c r="K227" i="12"/>
  <c r="J227" i="12"/>
  <c r="I227" i="12"/>
  <c r="H227" i="12"/>
  <c r="O213" i="12"/>
  <c r="N213" i="12"/>
  <c r="M213" i="12"/>
  <c r="L213" i="12"/>
  <c r="K213" i="12"/>
  <c r="J213" i="12"/>
  <c r="I213" i="12"/>
  <c r="H213" i="12"/>
  <c r="O198" i="12"/>
  <c r="N198" i="12"/>
  <c r="M198" i="12"/>
  <c r="L198" i="12"/>
  <c r="K198" i="12"/>
  <c r="J198" i="12"/>
  <c r="I198" i="12"/>
  <c r="H198" i="12"/>
  <c r="O183" i="12"/>
  <c r="N183" i="12"/>
  <c r="M183" i="12"/>
  <c r="L183" i="12"/>
  <c r="K183" i="12"/>
  <c r="J183" i="12"/>
  <c r="I183" i="12"/>
  <c r="H183" i="12"/>
  <c r="O165" i="12"/>
  <c r="N165" i="12"/>
  <c r="M165" i="12"/>
  <c r="L165" i="12"/>
  <c r="K165" i="12"/>
  <c r="J165" i="12"/>
  <c r="I165" i="12"/>
  <c r="H165" i="12"/>
  <c r="O148" i="12"/>
  <c r="N148" i="12"/>
  <c r="M148" i="12"/>
  <c r="L148" i="12"/>
  <c r="K148" i="12"/>
  <c r="J148" i="12"/>
  <c r="I148" i="12"/>
  <c r="H148" i="12"/>
  <c r="O129" i="12"/>
  <c r="N129" i="12"/>
  <c r="M129" i="12"/>
  <c r="L129" i="12"/>
  <c r="K129" i="12"/>
  <c r="J129" i="12"/>
  <c r="I129" i="12"/>
  <c r="H129" i="12"/>
  <c r="O116" i="12"/>
  <c r="N116" i="12"/>
  <c r="M116" i="12"/>
  <c r="L116" i="12"/>
  <c r="K116" i="12"/>
  <c r="J116" i="12"/>
  <c r="I116" i="12"/>
  <c r="H116" i="12"/>
  <c r="O92" i="12"/>
  <c r="N92" i="12"/>
  <c r="M92" i="12"/>
  <c r="L92" i="12"/>
  <c r="K92" i="12"/>
  <c r="J92" i="12"/>
  <c r="I92" i="12"/>
  <c r="H92" i="12"/>
  <c r="O73" i="12"/>
  <c r="N73" i="12"/>
  <c r="M73" i="12"/>
  <c r="L73" i="12"/>
  <c r="K73" i="12"/>
  <c r="J73" i="12"/>
  <c r="I73" i="12"/>
  <c r="H73" i="12"/>
  <c r="O59" i="12"/>
  <c r="N59" i="12"/>
  <c r="M59" i="12"/>
  <c r="L59" i="12"/>
  <c r="K59" i="12"/>
  <c r="J59" i="12"/>
  <c r="I59" i="12"/>
  <c r="H59" i="12"/>
  <c r="O43" i="12"/>
  <c r="N43" i="12"/>
  <c r="M43" i="12"/>
  <c r="L43" i="12"/>
  <c r="K43" i="12"/>
  <c r="J43" i="12"/>
  <c r="I43" i="12"/>
  <c r="H43" i="12"/>
  <c r="O14" i="12"/>
  <c r="N14" i="12"/>
  <c r="M14" i="12"/>
  <c r="L14" i="12"/>
  <c r="K14" i="12"/>
  <c r="J14" i="12"/>
  <c r="I14" i="12"/>
  <c r="H14" i="12"/>
  <c r="I255" i="9"/>
  <c r="J255" i="9"/>
  <c r="K255" i="9"/>
  <c r="L255" i="9"/>
  <c r="M255" i="9"/>
  <c r="N255" i="9"/>
  <c r="O255" i="9"/>
  <c r="H255" i="9"/>
  <c r="I232" i="9"/>
  <c r="J232" i="9"/>
  <c r="K232" i="9"/>
  <c r="L232" i="9"/>
  <c r="M232" i="9"/>
  <c r="N232" i="9"/>
  <c r="O232" i="9"/>
  <c r="H232" i="9"/>
  <c r="I222" i="9"/>
  <c r="J222" i="9"/>
  <c r="K222" i="9"/>
  <c r="L222" i="9"/>
  <c r="M222" i="9"/>
  <c r="N222" i="9"/>
  <c r="O222" i="9"/>
  <c r="H222" i="9"/>
  <c r="I206" i="9"/>
  <c r="J206" i="9"/>
  <c r="K206" i="9"/>
  <c r="L206" i="9"/>
  <c r="M206" i="9"/>
  <c r="N206" i="9"/>
  <c r="O206" i="9"/>
  <c r="H206" i="9"/>
  <c r="I178" i="9"/>
  <c r="J178" i="9"/>
  <c r="K178" i="9"/>
  <c r="L178" i="9"/>
  <c r="M178" i="9"/>
  <c r="N178" i="9"/>
  <c r="O178" i="9"/>
  <c r="H178" i="9"/>
  <c r="I160" i="9"/>
  <c r="J160" i="9"/>
  <c r="K160" i="9"/>
  <c r="L160" i="9"/>
  <c r="M160" i="9"/>
  <c r="N160" i="9"/>
  <c r="O160" i="9"/>
  <c r="H160" i="9"/>
  <c r="I147" i="9"/>
  <c r="J147" i="9"/>
  <c r="K147" i="9"/>
  <c r="L147" i="9"/>
  <c r="M147" i="9"/>
  <c r="N147" i="9"/>
  <c r="O147" i="9"/>
  <c r="H147" i="9"/>
  <c r="I110" i="9"/>
  <c r="J110" i="9"/>
  <c r="K110" i="9"/>
  <c r="L110" i="9"/>
  <c r="M110" i="9"/>
  <c r="N110" i="9"/>
  <c r="O110" i="9"/>
  <c r="H110" i="9"/>
  <c r="I83" i="9"/>
  <c r="J83" i="9"/>
  <c r="K83" i="9"/>
  <c r="L83" i="9"/>
  <c r="M83" i="9"/>
  <c r="N83" i="9"/>
  <c r="O83" i="9"/>
  <c r="H83" i="9"/>
  <c r="I38" i="9"/>
  <c r="J38" i="9"/>
  <c r="K38" i="9"/>
  <c r="M38" i="9"/>
  <c r="N38" i="9"/>
  <c r="N256" i="9" s="1"/>
  <c r="O38" i="9"/>
  <c r="H38" i="9"/>
  <c r="L58" i="14" l="1"/>
  <c r="L115" i="14"/>
  <c r="L180" i="14"/>
  <c r="L202" i="14"/>
  <c r="L237" i="14"/>
  <c r="L30" i="14"/>
  <c r="L101" i="14"/>
  <c r="L257" i="14"/>
  <c r="L269" i="14"/>
  <c r="L49" i="14"/>
  <c r="L159" i="14"/>
  <c r="L223" i="14"/>
  <c r="L284" i="14"/>
  <c r="L189" i="14"/>
  <c r="H256" i="9"/>
  <c r="K256" i="9"/>
  <c r="J256" i="9"/>
  <c r="L256" i="9"/>
  <c r="I256" i="9"/>
  <c r="O256" i="9"/>
  <c r="M256" i="9"/>
  <c r="L472" i="7"/>
  <c r="M472" i="7"/>
  <c r="N472" i="7"/>
  <c r="O472" i="7"/>
  <c r="O471" i="7"/>
  <c r="N471" i="7"/>
  <c r="M471" i="7"/>
  <c r="L471" i="7"/>
  <c r="O445" i="7"/>
  <c r="N445" i="7"/>
  <c r="M445" i="7"/>
  <c r="L445" i="7"/>
  <c r="O431" i="7"/>
  <c r="N431" i="7"/>
  <c r="M431" i="7"/>
  <c r="L431" i="7"/>
  <c r="O414" i="7"/>
  <c r="N414" i="7"/>
  <c r="M414" i="7"/>
  <c r="L414" i="7"/>
  <c r="O391" i="7"/>
  <c r="N391" i="7"/>
  <c r="M391" i="7"/>
  <c r="L391" i="7"/>
  <c r="O376" i="7"/>
  <c r="N376" i="7"/>
  <c r="M376" i="7"/>
  <c r="L376" i="7"/>
  <c r="O357" i="7"/>
  <c r="N357" i="7"/>
  <c r="M357" i="7"/>
  <c r="L357" i="7"/>
  <c r="O331" i="7"/>
  <c r="N331" i="7"/>
  <c r="M331" i="7"/>
  <c r="L331" i="7"/>
  <c r="O317" i="7"/>
  <c r="N317" i="7"/>
  <c r="M317" i="7"/>
  <c r="L317" i="7"/>
  <c r="O278" i="7"/>
  <c r="N278" i="7"/>
  <c r="M278" i="7"/>
  <c r="L278" i="7"/>
  <c r="O261" i="7"/>
  <c r="N261" i="7"/>
  <c r="M261" i="7"/>
  <c r="L261" i="7"/>
  <c r="L285" i="14" l="1"/>
  <c r="O201" i="7"/>
  <c r="N201" i="7"/>
  <c r="M201" i="7"/>
  <c r="L201" i="7"/>
  <c r="O161" i="7"/>
  <c r="N161" i="7"/>
  <c r="M161" i="7"/>
  <c r="L161" i="7"/>
  <c r="O121" i="7"/>
  <c r="N121" i="7"/>
  <c r="M121" i="7"/>
  <c r="L121" i="7"/>
  <c r="O111" i="7"/>
  <c r="M111" i="7"/>
  <c r="N111" i="7"/>
  <c r="L111" i="7"/>
  <c r="O100" i="7"/>
  <c r="N100" i="7"/>
  <c r="M100" i="7"/>
  <c r="L100" i="7"/>
  <c r="N17" i="7"/>
  <c r="O17" i="7"/>
  <c r="M17" i="7"/>
  <c r="L17" i="7"/>
  <c r="K472" i="7"/>
  <c r="J472" i="7"/>
  <c r="I472" i="7"/>
  <c r="H472" i="7"/>
  <c r="K471" i="7"/>
  <c r="J471" i="7"/>
  <c r="I471" i="7"/>
  <c r="H471" i="7"/>
  <c r="K445" i="7" l="1"/>
  <c r="J445" i="7"/>
  <c r="I445" i="7"/>
  <c r="H445" i="7"/>
  <c r="K431" i="7"/>
  <c r="J431" i="7"/>
  <c r="I431" i="7"/>
  <c r="H431" i="7"/>
  <c r="J414" i="7" l="1"/>
  <c r="K414" i="7"/>
  <c r="I414" i="7"/>
  <c r="H414" i="7"/>
  <c r="J391" i="7"/>
  <c r="K391" i="7"/>
  <c r="I391" i="7"/>
  <c r="H391" i="7"/>
  <c r="J376" i="7"/>
  <c r="K376" i="7"/>
  <c r="I376" i="7"/>
  <c r="H376" i="7"/>
  <c r="J357" i="7"/>
  <c r="K357" i="7"/>
  <c r="I357" i="7"/>
  <c r="H357" i="7"/>
  <c r="J331" i="7"/>
  <c r="K331" i="7"/>
  <c r="I331" i="7"/>
  <c r="H331" i="7"/>
  <c r="H317" i="7"/>
  <c r="J317" i="7"/>
  <c r="K317" i="7"/>
  <c r="I317" i="7"/>
  <c r="J278" i="7"/>
  <c r="K278" i="7"/>
  <c r="I278" i="7"/>
  <c r="H278" i="7"/>
  <c r="K261" i="7"/>
  <c r="J261" i="7"/>
  <c r="I261" i="7"/>
  <c r="H261" i="7"/>
  <c r="K201" i="7"/>
  <c r="J201" i="7"/>
  <c r="I201" i="7"/>
  <c r="H201" i="7"/>
  <c r="J161" i="7"/>
  <c r="K161" i="7"/>
  <c r="I161" i="7"/>
  <c r="H161" i="7"/>
  <c r="K121" i="7"/>
  <c r="J121" i="7"/>
  <c r="I121" i="7"/>
  <c r="H121" i="7"/>
  <c r="K111" i="7"/>
  <c r="J111" i="7"/>
  <c r="I111" i="7"/>
  <c r="H111" i="7"/>
  <c r="I100" i="7"/>
  <c r="H100" i="7"/>
  <c r="J100" i="7"/>
  <c r="I17" i="7"/>
  <c r="H17" i="7"/>
  <c r="N131" i="8"/>
  <c r="M131" i="8"/>
  <c r="L131" i="8"/>
  <c r="K131" i="8"/>
  <c r="I131" i="8"/>
  <c r="H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N113" i="8"/>
  <c r="M113" i="8"/>
  <c r="L113" i="8"/>
  <c r="K113" i="8"/>
  <c r="I113" i="8"/>
  <c r="H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N82" i="8"/>
  <c r="M82" i="8"/>
  <c r="L82" i="8"/>
  <c r="K82" i="8"/>
  <c r="I82" i="8"/>
  <c r="H82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N59" i="8"/>
  <c r="M59" i="8"/>
  <c r="L59" i="8"/>
  <c r="K59" i="8"/>
  <c r="I59" i="8"/>
  <c r="H59" i="8"/>
  <c r="J58" i="8"/>
  <c r="J57" i="8"/>
  <c r="J55" i="8"/>
  <c r="J54" i="8"/>
  <c r="J53" i="8"/>
  <c r="J52" i="8"/>
  <c r="J51" i="8"/>
  <c r="J50" i="8"/>
  <c r="J49" i="8"/>
  <c r="J48" i="8"/>
  <c r="J47" i="8"/>
  <c r="N46" i="8"/>
  <c r="M46" i="8"/>
  <c r="L46" i="8"/>
  <c r="K46" i="8"/>
  <c r="I46" i="8"/>
  <c r="H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N32" i="8"/>
  <c r="M32" i="8"/>
  <c r="L32" i="8"/>
  <c r="K32" i="8"/>
  <c r="I32" i="8"/>
  <c r="H32" i="8"/>
  <c r="J31" i="8"/>
  <c r="J30" i="8"/>
  <c r="J29" i="8"/>
  <c r="J28" i="8"/>
  <c r="J27" i="8"/>
  <c r="J26" i="8"/>
  <c r="J25" i="8"/>
  <c r="J24" i="8"/>
  <c r="J23" i="8"/>
  <c r="N22" i="8"/>
  <c r="M22" i="8"/>
  <c r="L22" i="8"/>
  <c r="K22" i="8"/>
  <c r="I22" i="8"/>
  <c r="H22" i="8"/>
  <c r="J21" i="8"/>
  <c r="J20" i="8"/>
  <c r="J19" i="8"/>
  <c r="J18" i="8"/>
  <c r="J16" i="8"/>
  <c r="J15" i="8"/>
  <c r="J14" i="8"/>
  <c r="J13" i="8"/>
  <c r="J12" i="8"/>
  <c r="J11" i="8"/>
  <c r="J10" i="8"/>
  <c r="J8" i="8"/>
  <c r="J7" i="8"/>
  <c r="J6" i="8"/>
  <c r="K100" i="7"/>
  <c r="K17" i="7"/>
  <c r="J17" i="7" l="1"/>
  <c r="J32" i="8"/>
  <c r="J46" i="8"/>
  <c r="L132" i="8"/>
  <c r="K132" i="8"/>
  <c r="J22" i="8"/>
  <c r="J82" i="8"/>
  <c r="J113" i="8"/>
  <c r="J59" i="8"/>
  <c r="J131" i="8"/>
  <c r="H582" i="6"/>
  <c r="H570" i="6"/>
  <c r="H539" i="6"/>
  <c r="K524" i="6"/>
  <c r="J524" i="6"/>
  <c r="I524" i="6"/>
  <c r="H524" i="6"/>
  <c r="H499" i="6"/>
  <c r="H428" i="6"/>
  <c r="H411" i="6"/>
  <c r="H399" i="6"/>
  <c r="H382" i="6"/>
  <c r="K345" i="6"/>
  <c r="J345" i="6"/>
  <c r="I345" i="6"/>
  <c r="H345" i="6"/>
  <c r="K318" i="6"/>
  <c r="J318" i="6"/>
  <c r="I318" i="6"/>
  <c r="H318" i="6"/>
  <c r="K288" i="6"/>
  <c r="J288" i="6"/>
  <c r="I288" i="6"/>
  <c r="H288" i="6"/>
  <c r="K256" i="6"/>
  <c r="J256" i="6"/>
  <c r="I256" i="6"/>
  <c r="H256" i="6"/>
  <c r="K237" i="6"/>
  <c r="J237" i="6"/>
  <c r="I237" i="6"/>
  <c r="H237" i="6"/>
  <c r="K213" i="6"/>
  <c r="J213" i="6"/>
  <c r="I213" i="6"/>
  <c r="H213" i="6"/>
  <c r="H192" i="6"/>
  <c r="K144" i="6"/>
  <c r="J144" i="6"/>
  <c r="I144" i="6"/>
  <c r="H144" i="6"/>
  <c r="K54" i="6"/>
  <c r="J54" i="6"/>
  <c r="I54" i="6"/>
  <c r="H54" i="6"/>
  <c r="K25" i="6"/>
  <c r="J25" i="6"/>
  <c r="I25" i="6"/>
  <c r="H25" i="6"/>
  <c r="H583" i="6" s="1"/>
  <c r="K466" i="4" l="1"/>
  <c r="J466" i="4"/>
  <c r="I466" i="4"/>
  <c r="H466" i="4"/>
  <c r="H29" i="2" l="1"/>
  <c r="I29" i="2"/>
  <c r="J29" i="2"/>
  <c r="K29" i="2"/>
  <c r="H37" i="2"/>
  <c r="I37" i="2"/>
  <c r="J37" i="2"/>
  <c r="K37" i="2"/>
  <c r="H46" i="2"/>
  <c r="I46" i="2"/>
  <c r="J46" i="2"/>
  <c r="K46" i="2"/>
  <c r="H74" i="2"/>
  <c r="I74" i="2"/>
  <c r="J74" i="2"/>
  <c r="K74" i="2"/>
  <c r="H81" i="2"/>
  <c r="I81" i="2"/>
  <c r="J81" i="2"/>
  <c r="K81" i="2"/>
  <c r="H91" i="2"/>
  <c r="I91" i="2"/>
  <c r="J91" i="2"/>
  <c r="K91" i="2"/>
  <c r="K465" i="4" l="1"/>
  <c r="J465" i="4"/>
  <c r="I465" i="4"/>
  <c r="H465" i="4"/>
  <c r="K448" i="4"/>
  <c r="J448" i="4"/>
  <c r="I448" i="4"/>
  <c r="H448" i="4"/>
  <c r="K418" i="4"/>
  <c r="J418" i="4"/>
  <c r="I418" i="4"/>
  <c r="H418" i="4"/>
  <c r="K386" i="4"/>
  <c r="J386" i="4"/>
  <c r="I386" i="4"/>
  <c r="H386" i="4"/>
  <c r="K339" i="4"/>
  <c r="J339" i="4"/>
  <c r="I339" i="4"/>
  <c r="H339" i="4"/>
  <c r="K311" i="4"/>
  <c r="J311" i="4"/>
  <c r="I311" i="4"/>
  <c r="H311" i="4"/>
  <c r="K284" i="4"/>
  <c r="J284" i="4"/>
  <c r="I284" i="4"/>
  <c r="H284" i="4"/>
  <c r="K257" i="4"/>
  <c r="J257" i="4"/>
  <c r="I257" i="4"/>
  <c r="H257" i="4"/>
  <c r="K210" i="4"/>
  <c r="J210" i="4"/>
  <c r="I210" i="4"/>
  <c r="H210" i="4"/>
  <c r="K162" i="4"/>
  <c r="J162" i="4"/>
  <c r="I162" i="4"/>
  <c r="H162" i="4"/>
  <c r="K63" i="4"/>
  <c r="J63" i="4"/>
  <c r="I63" i="4"/>
  <c r="H63" i="4"/>
  <c r="K40" i="4"/>
  <c r="J40" i="4"/>
  <c r="I40" i="4"/>
  <c r="H40" i="4"/>
  <c r="K232" i="2" l="1"/>
  <c r="J232" i="2"/>
  <c r="I232" i="2"/>
  <c r="H232" i="2"/>
  <c r="K197" i="2"/>
  <c r="J197" i="2"/>
  <c r="I197" i="2"/>
  <c r="H197" i="2"/>
  <c r="K159" i="2"/>
  <c r="J159" i="2"/>
  <c r="I159" i="2"/>
  <c r="H159" i="2"/>
  <c r="K146" i="2"/>
  <c r="J146" i="2"/>
  <c r="I146" i="2"/>
  <c r="H146" i="2"/>
  <c r="H233" i="2" l="1"/>
  <c r="I233" i="2"/>
  <c r="J233" i="2"/>
  <c r="K233" i="2"/>
</calcChain>
</file>

<file path=xl/sharedStrings.xml><?xml version="1.0" encoding="utf-8"?>
<sst xmlns="http://schemas.openxmlformats.org/spreadsheetml/2006/main" count="15320" uniqueCount="3323">
  <si>
    <t>SEASONAL MALARIA CHEMOPREVENTION PROJECT IN KARAMOJA, UGANDA</t>
  </si>
  <si>
    <t>No</t>
  </si>
  <si>
    <t>TOTAL</t>
  </si>
  <si>
    <t>Male</t>
  </si>
  <si>
    <t>Female</t>
  </si>
  <si>
    <t>Katanga</t>
  </si>
  <si>
    <t>Louta</t>
  </si>
  <si>
    <t>Nayoroit</t>
  </si>
  <si>
    <t>Nakayot</t>
  </si>
  <si>
    <t>Namoni</t>
  </si>
  <si>
    <t>Napayan</t>
  </si>
  <si>
    <t>Lopeduru</t>
  </si>
  <si>
    <t>VILLAGE</t>
  </si>
  <si>
    <t>3-&lt;12 MONTHS</t>
  </si>
  <si>
    <t>12-&lt;59 MONTHS</t>
  </si>
  <si>
    <t>NUMBER OF CHILDREN WHO RECEIVED SPAQ</t>
  </si>
  <si>
    <t>Natirae Health Centre II</t>
  </si>
  <si>
    <t>Natirae</t>
  </si>
  <si>
    <t>Nakurobuin</t>
  </si>
  <si>
    <t>Nakaliye</t>
  </si>
  <si>
    <t>Moru-Angamion</t>
  </si>
  <si>
    <t>Nasinyoit B</t>
  </si>
  <si>
    <t>Kalukalet</t>
  </si>
  <si>
    <t>Nakaala</t>
  </si>
  <si>
    <t>Naligoi</t>
  </si>
  <si>
    <t>HEALTH CENTRE</t>
  </si>
  <si>
    <t>Kaloe</t>
  </si>
  <si>
    <t>Angaro</t>
  </si>
  <si>
    <t>Lokibui</t>
  </si>
  <si>
    <t>Amagalimojong</t>
  </si>
  <si>
    <t>Napuna</t>
  </si>
  <si>
    <t>Kanangakinoi</t>
  </si>
  <si>
    <t>Nakodiokodoi</t>
  </si>
  <si>
    <t>Sakaale Health Centre II</t>
  </si>
  <si>
    <t>Lokitela</t>
  </si>
  <si>
    <t>Nasinyonoit C</t>
  </si>
  <si>
    <t>Namorulem</t>
  </si>
  <si>
    <t>Nangamit</t>
  </si>
  <si>
    <t>Okutot</t>
  </si>
  <si>
    <t>Domoye</t>
  </si>
  <si>
    <t>Napao</t>
  </si>
  <si>
    <t>Losimit</t>
  </si>
  <si>
    <t>Mission Health Centre II</t>
  </si>
  <si>
    <t>Lolachat Health Centre III</t>
  </si>
  <si>
    <t>Ngurakadong</t>
  </si>
  <si>
    <t>Ajokolup</t>
  </si>
  <si>
    <t>Naoi</t>
  </si>
  <si>
    <t>Lopedur Adengel</t>
  </si>
  <si>
    <t>Nasinyoit A</t>
  </si>
  <si>
    <t>Lolachat West</t>
  </si>
  <si>
    <t>Natamanyamit</t>
  </si>
  <si>
    <t>Lousugu</t>
  </si>
  <si>
    <t>Moruangabuen</t>
  </si>
  <si>
    <t>Nacele</t>
  </si>
  <si>
    <t>Lotedde B</t>
  </si>
  <si>
    <t>Arengespie B</t>
  </si>
  <si>
    <t>Amuda</t>
  </si>
  <si>
    <t>Arengespie A</t>
  </si>
  <si>
    <t>Ajjijim</t>
  </si>
  <si>
    <t>Lotede A</t>
  </si>
  <si>
    <t>Welthunger</t>
  </si>
  <si>
    <t>Cucu A</t>
  </si>
  <si>
    <t>Longaroi</t>
  </si>
  <si>
    <t>Cucu B</t>
  </si>
  <si>
    <t>Lokapel</t>
  </si>
  <si>
    <t>Nakoit</t>
  </si>
  <si>
    <t>Lokirimo</t>
  </si>
  <si>
    <t>Namidikao</t>
  </si>
  <si>
    <t>Lolet</t>
  </si>
  <si>
    <t>Loojor A</t>
  </si>
  <si>
    <t xml:space="preserve">Kalakeju </t>
  </si>
  <si>
    <t>Lonangat A</t>
  </si>
  <si>
    <t xml:space="preserve">Kampswahili </t>
  </si>
  <si>
    <t>Nakobekobe A</t>
  </si>
  <si>
    <t>Nakobekobe B</t>
  </si>
  <si>
    <t>Morunguaibuin</t>
  </si>
  <si>
    <t>Lookom</t>
  </si>
  <si>
    <t>Ariamoi</t>
  </si>
  <si>
    <t>Lonangat B</t>
  </si>
  <si>
    <t>Loojor B</t>
  </si>
  <si>
    <t xml:space="preserve">Arechek </t>
  </si>
  <si>
    <t>Moruakimat</t>
  </si>
  <si>
    <t>Lodisi</t>
  </si>
  <si>
    <t>Nataparangan</t>
  </si>
  <si>
    <t>Nawokotelei</t>
  </si>
  <si>
    <t>Nakerokandeke</t>
  </si>
  <si>
    <t>Old Town</t>
  </si>
  <si>
    <t>Namerieng</t>
  </si>
  <si>
    <t>Ongora</t>
  </si>
  <si>
    <t>Nassinyonoit</t>
  </si>
  <si>
    <t>Lokorete</t>
  </si>
  <si>
    <t>Napwok</t>
  </si>
  <si>
    <t>Nataparangan A</t>
  </si>
  <si>
    <t>Naupala</t>
  </si>
  <si>
    <t>Namidikao A</t>
  </si>
  <si>
    <t xml:space="preserve">Nabilatuk Health Centre IV </t>
  </si>
  <si>
    <t>Nayonai Health Centre III</t>
  </si>
  <si>
    <t>Nayonai</t>
  </si>
  <si>
    <t>Kochomin</t>
  </si>
  <si>
    <t>Alemkere</t>
  </si>
  <si>
    <t xml:space="preserve">Napao </t>
  </si>
  <si>
    <t>Kathiapus</t>
  </si>
  <si>
    <t xml:space="preserve">Napongae </t>
  </si>
  <si>
    <t>Morulem B</t>
  </si>
  <si>
    <t>Lokitereng</t>
  </si>
  <si>
    <t>Morulem A</t>
  </si>
  <si>
    <t>Nasulut</t>
  </si>
  <si>
    <t>Kalokwameri</t>
  </si>
  <si>
    <t>Nataba</t>
  </si>
  <si>
    <t>Namoni Loris</t>
  </si>
  <si>
    <t>Lonyatangar</t>
  </si>
  <si>
    <t>Natengebet</t>
  </si>
  <si>
    <t>losimit</t>
  </si>
  <si>
    <t>Lopie</t>
  </si>
  <si>
    <t>Napayan k</t>
  </si>
  <si>
    <t>Napongae South</t>
  </si>
  <si>
    <t>Napongae</t>
  </si>
  <si>
    <t>Nadukae</t>
  </si>
  <si>
    <t>Lopuri</t>
  </si>
  <si>
    <t>Narisae</t>
  </si>
  <si>
    <t>Natopojo</t>
  </si>
  <si>
    <t xml:space="preserve">lorengedwat Health Centre III </t>
  </si>
  <si>
    <t>Lokwamoru East</t>
  </si>
  <si>
    <t>Lokwakwa</t>
  </si>
  <si>
    <t>Napong</t>
  </si>
  <si>
    <t>Lokwamoru West</t>
  </si>
  <si>
    <t>Longolyek</t>
  </si>
  <si>
    <t>Lodapalia</t>
  </si>
  <si>
    <t>lorukomo</t>
  </si>
  <si>
    <t>Lonangat</t>
  </si>
  <si>
    <t>Kamusalaba</t>
  </si>
  <si>
    <t>12-  59 MONTHS</t>
  </si>
  <si>
    <t>Amaler Health Centre II</t>
  </si>
  <si>
    <t>Ariamachut</t>
  </si>
  <si>
    <t>Ariono-Moru</t>
  </si>
  <si>
    <t>Kaidou</t>
  </si>
  <si>
    <t>Kakingol</t>
  </si>
  <si>
    <t>Karwataluk</t>
  </si>
  <si>
    <t>Lobur-Alobong</t>
  </si>
  <si>
    <t>Lokitela- Adida East</t>
  </si>
  <si>
    <t>Lokitela- Adida West</t>
  </si>
  <si>
    <t>Lokwasinyon</t>
  </si>
  <si>
    <t>Lomototo</t>
  </si>
  <si>
    <t>Lopedot</t>
  </si>
  <si>
    <t>Loporokocho</t>
  </si>
  <si>
    <t>Moru-Aloduk</t>
  </si>
  <si>
    <t>Naabore A</t>
  </si>
  <si>
    <t>Naabore B</t>
  </si>
  <si>
    <t>Nachelit</t>
  </si>
  <si>
    <t>Nakipenet</t>
  </si>
  <si>
    <t>Nakuyon</t>
  </si>
  <si>
    <t>Nalait A</t>
  </si>
  <si>
    <t>Nalait B</t>
  </si>
  <si>
    <t>Namiathi</t>
  </si>
  <si>
    <t>Narengeyethe</t>
  </si>
  <si>
    <t>Nathape</t>
  </si>
  <si>
    <t>Okudud</t>
  </si>
  <si>
    <t>Karinga Health Centre II</t>
  </si>
  <si>
    <t>Karinga B</t>
  </si>
  <si>
    <t>Nakiloro</t>
  </si>
  <si>
    <t>Nalupot</t>
  </si>
  <si>
    <t>Namugus</t>
  </si>
  <si>
    <t>Nawoyapuru</t>
  </si>
  <si>
    <t>Pelpep</t>
  </si>
  <si>
    <t>Sukudik</t>
  </si>
  <si>
    <t>Komoret Health Centre II</t>
  </si>
  <si>
    <t>Kamorunyang</t>
  </si>
  <si>
    <t xml:space="preserve">Komoret </t>
  </si>
  <si>
    <t>Lorukut</t>
  </si>
  <si>
    <t>Munyokere</t>
  </si>
  <si>
    <t>Nachukut</t>
  </si>
  <si>
    <t>Nakoo</t>
  </si>
  <si>
    <t>Nangolokituk</t>
  </si>
  <si>
    <t>Napudes</t>
  </si>
  <si>
    <t>Lemusui Health Centre II</t>
  </si>
  <si>
    <t>Akokor</t>
  </si>
  <si>
    <t>Alapat</t>
  </si>
  <si>
    <t>Aremechoto</t>
  </si>
  <si>
    <t>Ayas</t>
  </si>
  <si>
    <t>Chepkararat</t>
  </si>
  <si>
    <t>Chepotemo</t>
  </si>
  <si>
    <t>Cheptumot</t>
  </si>
  <si>
    <t>Chesirere</t>
  </si>
  <si>
    <t>Doo</t>
  </si>
  <si>
    <t>Dungelech</t>
  </si>
  <si>
    <t>Ghogot</t>
  </si>
  <si>
    <t>Kadekelei</t>
  </si>
  <si>
    <t>Kapetamuget</t>
  </si>
  <si>
    <t>Katabok</t>
  </si>
  <si>
    <t>Lokoma</t>
  </si>
  <si>
    <t>Lomakuko</t>
  </si>
  <si>
    <t>Makada</t>
  </si>
  <si>
    <t>Metee</t>
  </si>
  <si>
    <t>Morupus</t>
  </si>
  <si>
    <t>Morwakimat</t>
  </si>
  <si>
    <t>Morokal</t>
  </si>
  <si>
    <t>Nacheset</t>
  </si>
  <si>
    <t>Nagee</t>
  </si>
  <si>
    <t>Nakoritaruk</t>
  </si>
  <si>
    <t>Narianamor</t>
  </si>
  <si>
    <t>Pelmat</t>
  </si>
  <si>
    <t>Ulingiro</t>
  </si>
  <si>
    <t>Lomorunyangae Health Centre II</t>
  </si>
  <si>
    <t>Aoyalira</t>
  </si>
  <si>
    <t>Apeichoroit</t>
  </si>
  <si>
    <t>Lokitela-Alokwa</t>
  </si>
  <si>
    <t>Lokitela-Ekoroit</t>
  </si>
  <si>
    <t>Lokoreto</t>
  </si>
  <si>
    <t>Nakuluny</t>
  </si>
  <si>
    <t>Moruita  Health Centre II</t>
  </si>
  <si>
    <t>Acherer</t>
  </si>
  <si>
    <t>Cholol</t>
  </si>
  <si>
    <t>Karengchoto</t>
  </si>
  <si>
    <t>Katukumwok</t>
  </si>
  <si>
    <t>Moruita TC</t>
  </si>
  <si>
    <t>Nakamuriae</t>
  </si>
  <si>
    <t>Napeles</t>
  </si>
  <si>
    <t>New Line</t>
  </si>
  <si>
    <t>Utut</t>
  </si>
  <si>
    <t>Achelel</t>
  </si>
  <si>
    <t>Ajokokipi</t>
  </si>
  <si>
    <t>Akwakori</t>
  </si>
  <si>
    <t>Akwakuron</t>
  </si>
  <si>
    <t>Alamachar</t>
  </si>
  <si>
    <t>Aoyoreng</t>
  </si>
  <si>
    <t>Apechorait</t>
  </si>
  <si>
    <t>Apeitolim</t>
  </si>
  <si>
    <t>Arechek</t>
  </si>
  <si>
    <t>Arechek- Loregae</t>
  </si>
  <si>
    <t>Arechek- Loreng</t>
  </si>
  <si>
    <t>Arechek East</t>
  </si>
  <si>
    <t>Arechek West</t>
  </si>
  <si>
    <t>Atedeoi</t>
  </si>
  <si>
    <t>Kobeyon</t>
  </si>
  <si>
    <t>Kokomokwee</t>
  </si>
  <si>
    <t>Kopetatum</t>
  </si>
  <si>
    <t>Loboloin</t>
  </si>
  <si>
    <t>Loburin</t>
  </si>
  <si>
    <t>Lochowa</t>
  </si>
  <si>
    <t>Louitareng</t>
  </si>
  <si>
    <t>Lokibuyo</t>
  </si>
  <si>
    <t>Lokona</t>
  </si>
  <si>
    <t>Lomeguro</t>
  </si>
  <si>
    <t>Lomucurus A</t>
  </si>
  <si>
    <t>Lomucurus B</t>
  </si>
  <si>
    <t>Looi</t>
  </si>
  <si>
    <t>Loolung</t>
  </si>
  <si>
    <t>Loreng</t>
  </si>
  <si>
    <t>Moru-Aengatuny</t>
  </si>
  <si>
    <t>Nabarap</t>
  </si>
  <si>
    <t>Nabata</t>
  </si>
  <si>
    <t>Nabukut</t>
  </si>
  <si>
    <t>Nabulenger</t>
  </si>
  <si>
    <t>Nachelel</t>
  </si>
  <si>
    <t>Nadekel</t>
  </si>
  <si>
    <t>Nakamistae</t>
  </si>
  <si>
    <t>Nakasian</t>
  </si>
  <si>
    <t>Nakasian East</t>
  </si>
  <si>
    <t>Nakasian West</t>
  </si>
  <si>
    <t>Nakaumeumei</t>
  </si>
  <si>
    <t>Nakingol</t>
  </si>
  <si>
    <t>Nakur</t>
  </si>
  <si>
    <t>Namorupus</t>
  </si>
  <si>
    <t>Nariko</t>
  </si>
  <si>
    <t>Nasinyonoit</t>
  </si>
  <si>
    <t>Naturum- East</t>
  </si>
  <si>
    <t>Naturum West</t>
  </si>
  <si>
    <t>Nawalangor- East</t>
  </si>
  <si>
    <t>Nawalangor- West</t>
  </si>
  <si>
    <t>Nakapiripirit Health Centre III</t>
  </si>
  <si>
    <t>Karinga A</t>
  </si>
  <si>
    <t>Kawar</t>
  </si>
  <si>
    <t>Kilimanjaro</t>
  </si>
  <si>
    <t>Kopedur</t>
  </si>
  <si>
    <t>Lobulio</t>
  </si>
  <si>
    <t>Lobuneit</t>
  </si>
  <si>
    <t>Lokoona</t>
  </si>
  <si>
    <t>Lomuu</t>
  </si>
  <si>
    <t>Lorengedwat</t>
  </si>
  <si>
    <t>Nangoromit</t>
  </si>
  <si>
    <t>Prison</t>
  </si>
  <si>
    <t>Namalu Health Centre III</t>
  </si>
  <si>
    <t>Alemutaba</t>
  </si>
  <si>
    <t>Angoleturot</t>
  </si>
  <si>
    <t>Apeded</t>
  </si>
  <si>
    <t>Arumacholui</t>
  </si>
  <si>
    <t>Kalapata</t>
  </si>
  <si>
    <t>Kawolobu</t>
  </si>
  <si>
    <t>Kocholikokoi</t>
  </si>
  <si>
    <t>Komojoj</t>
  </si>
  <si>
    <t>Loborio</t>
  </si>
  <si>
    <t>Lobulepeded</t>
  </si>
  <si>
    <t>Lochowa-Angikalei</t>
  </si>
  <si>
    <t>Lokadongan</t>
  </si>
  <si>
    <t>Lokiyengunet East</t>
  </si>
  <si>
    <t>Lokiyengunet West</t>
  </si>
  <si>
    <t>Lokomait</t>
  </si>
  <si>
    <t>Loleli-Arengan</t>
  </si>
  <si>
    <t>Lomorunyangae</t>
  </si>
  <si>
    <t>Lopagathi</t>
  </si>
  <si>
    <t>Loseuseu</t>
  </si>
  <si>
    <t>Lowatachin</t>
  </si>
  <si>
    <t>Mwanakolong</t>
  </si>
  <si>
    <t>Naburi-Esigiria</t>
  </si>
  <si>
    <t>Nakorisat</t>
  </si>
  <si>
    <t>Nakwanga East</t>
  </si>
  <si>
    <t>Nakwanga West</t>
  </si>
  <si>
    <t>Naminit</t>
  </si>
  <si>
    <t>Nasinyono A</t>
  </si>
  <si>
    <t>Nasinyono B</t>
  </si>
  <si>
    <t>NTC North</t>
  </si>
  <si>
    <t xml:space="preserve">NTC South </t>
  </si>
  <si>
    <t>NTC West</t>
  </si>
  <si>
    <t xml:space="preserve">Production </t>
  </si>
  <si>
    <t>Tokora  Health Centre IV</t>
  </si>
  <si>
    <t>Alibamun</t>
  </si>
  <si>
    <t>Arengekipi</t>
  </si>
  <si>
    <t>Arengesiep</t>
  </si>
  <si>
    <t>Atulom</t>
  </si>
  <si>
    <t>Korudup</t>
  </si>
  <si>
    <t>Lodoket-Angitome</t>
  </si>
  <si>
    <t>Lokadwaran</t>
  </si>
  <si>
    <t>Lokaale</t>
  </si>
  <si>
    <t>Lokeruman</t>
  </si>
  <si>
    <t>Lokitela-Angilobae</t>
  </si>
  <si>
    <t>Lokwabocet</t>
  </si>
  <si>
    <t>Lomariamong</t>
  </si>
  <si>
    <t>Longeem</t>
  </si>
  <si>
    <t>Lorusuk</t>
  </si>
  <si>
    <t>Loyarabos</t>
  </si>
  <si>
    <t>Moruongor</t>
  </si>
  <si>
    <t xml:space="preserve">Naabore </t>
  </si>
  <si>
    <t>Naapong</t>
  </si>
  <si>
    <t>Naburiekaale</t>
  </si>
  <si>
    <t>Nachele</t>
  </si>
  <si>
    <t>Nakaterot</t>
  </si>
  <si>
    <t>Nakorete</t>
  </si>
  <si>
    <t>Nakwara</t>
  </si>
  <si>
    <t>Nalyakat</t>
  </si>
  <si>
    <t>Naoyapie</t>
  </si>
  <si>
    <t>Nariwokonyen</t>
  </si>
  <si>
    <t>Narukieny</t>
  </si>
  <si>
    <t>Naturukan</t>
  </si>
  <si>
    <t>Tokora TC</t>
  </si>
  <si>
    <t>Village Name</t>
  </si>
  <si>
    <t>3 &lt; 12 months</t>
  </si>
  <si>
    <t>12-59 months</t>
  </si>
  <si>
    <t>Lokachikit</t>
  </si>
  <si>
    <t>Naloret</t>
  </si>
  <si>
    <t>Arengepuwa</t>
  </si>
  <si>
    <t>Lomunyeyenin</t>
  </si>
  <si>
    <t>Lokitela-Angibukiko</t>
  </si>
  <si>
    <t>Michoko</t>
  </si>
  <si>
    <t>Napiananya</t>
  </si>
  <si>
    <t>Kokuwam</t>
  </si>
  <si>
    <t>Kodike</t>
  </si>
  <si>
    <t>Nataparapale</t>
  </si>
  <si>
    <t>Kobulin</t>
  </si>
  <si>
    <t>Namoruakwangan</t>
  </si>
  <si>
    <t>Lokitela Kewapet</t>
  </si>
  <si>
    <t>Losagari</t>
  </si>
  <si>
    <t>Lokitoekokeny</t>
  </si>
  <si>
    <t>Kaeselem</t>
  </si>
  <si>
    <t>Loolimo</t>
  </si>
  <si>
    <t>Apeduru</t>
  </si>
  <si>
    <t>Naparot</t>
  </si>
  <si>
    <t>Kachalakeny</t>
  </si>
  <si>
    <t>Naguleka</t>
  </si>
  <si>
    <t>Nariketakuma</t>
  </si>
  <si>
    <t>Adipala</t>
  </si>
  <si>
    <t>Aminit</t>
  </si>
  <si>
    <t>Akao alosigiria</t>
  </si>
  <si>
    <t>Akolimuya</t>
  </si>
  <si>
    <t>Akobokobot</t>
  </si>
  <si>
    <t>Aputun</t>
  </si>
  <si>
    <t>Alungar</t>
  </si>
  <si>
    <t>Akworo</t>
  </si>
  <si>
    <t>Asuruga</t>
  </si>
  <si>
    <t>Aturwae</t>
  </si>
  <si>
    <t>Aolio</t>
  </si>
  <si>
    <t>Odolowany</t>
  </si>
  <si>
    <t>Odukojeni south</t>
  </si>
  <si>
    <t>Jerusalem</t>
  </si>
  <si>
    <t>Ariamit</t>
  </si>
  <si>
    <t>Liling</t>
  </si>
  <si>
    <t>Ajeleik</t>
  </si>
  <si>
    <t>Atiwrae</t>
  </si>
  <si>
    <t>Ajanit</t>
  </si>
  <si>
    <t>Acukudu</t>
  </si>
  <si>
    <t>Akoboi</t>
  </si>
  <si>
    <t>Agasai</t>
  </si>
  <si>
    <t>Canan</t>
  </si>
  <si>
    <t>Atiling</t>
  </si>
  <si>
    <t>TC EWST</t>
  </si>
  <si>
    <t>Kaeselem B</t>
  </si>
  <si>
    <t>Lokamita West</t>
  </si>
  <si>
    <t>Karimakwee</t>
  </si>
  <si>
    <t>TC East</t>
  </si>
  <si>
    <t>Amerekek</t>
  </si>
  <si>
    <t>Lomokori</t>
  </si>
  <si>
    <t>Kalowakemer</t>
  </si>
  <si>
    <t>Lokere</t>
  </si>
  <si>
    <t>Kaiungatuk</t>
  </si>
  <si>
    <t>Kakokorinyang</t>
  </si>
  <si>
    <t>Giritome</t>
  </si>
  <si>
    <t>Nakoreto</t>
  </si>
  <si>
    <t>Katubakiyon</t>
  </si>
  <si>
    <t>Lokwakais</t>
  </si>
  <si>
    <t>Lokodet</t>
  </si>
  <si>
    <t>Kotirwae</t>
  </si>
  <si>
    <t>Nakouketom</t>
  </si>
  <si>
    <t>Locoae</t>
  </si>
  <si>
    <t>Albino</t>
  </si>
  <si>
    <t>Nakwakwa</t>
  </si>
  <si>
    <t>Loobore</t>
  </si>
  <si>
    <t>Nabelat</t>
  </si>
  <si>
    <t>Lokitela Angabuki</t>
  </si>
  <si>
    <t>Kocholo</t>
  </si>
  <si>
    <t>Nakwakwa Corner</t>
  </si>
  <si>
    <t>Turtuko</t>
  </si>
  <si>
    <t>Longaro</t>
  </si>
  <si>
    <t>Komturonyo</t>
  </si>
  <si>
    <t>Lokamita East</t>
  </si>
  <si>
    <t>Amaler</t>
  </si>
  <si>
    <t>Lochoae</t>
  </si>
  <si>
    <t>Narengkitoe</t>
  </si>
  <si>
    <t>Lokok</t>
  </si>
  <si>
    <t>Konokonokia</t>
  </si>
  <si>
    <t>Odukojeni North</t>
  </si>
  <si>
    <t>Kasile</t>
  </si>
  <si>
    <t>NACHUKA</t>
  </si>
  <si>
    <t>ANGARAB</t>
  </si>
  <si>
    <t>LOMINIT</t>
  </si>
  <si>
    <t>NAREGAE</t>
  </si>
  <si>
    <t>LOLUK</t>
  </si>
  <si>
    <t>LOBEEI</t>
  </si>
  <si>
    <t>NAKORETE</t>
  </si>
  <si>
    <t>KOITITI</t>
  </si>
  <si>
    <t>LOROO</t>
  </si>
  <si>
    <t>NAITAKWAE</t>
  </si>
  <si>
    <t>LOKITELA ANGAKILE</t>
  </si>
  <si>
    <t>DHOs</t>
  </si>
  <si>
    <t>BOMA</t>
  </si>
  <si>
    <t>LOMURIA ANGAKILE</t>
  </si>
  <si>
    <t>CAMBI</t>
  </si>
  <si>
    <t>KOTIPE</t>
  </si>
  <si>
    <t>POLICE</t>
  </si>
  <si>
    <t>ABBATOIR</t>
  </si>
  <si>
    <t>AKUMA</t>
  </si>
  <si>
    <t>TOTAL:</t>
  </si>
  <si>
    <t>Kanangar</t>
  </si>
  <si>
    <t>Loligoi</t>
  </si>
  <si>
    <t>Lolita</t>
  </si>
  <si>
    <t>Lorikitae</t>
  </si>
  <si>
    <t>Longalom</t>
  </si>
  <si>
    <t>Arengemuyen</t>
  </si>
  <si>
    <t>Lokarujak</t>
  </si>
  <si>
    <t>Lopana</t>
  </si>
  <si>
    <t>Loboborio</t>
  </si>
  <si>
    <t>Lokwasiyon</t>
  </si>
  <si>
    <t>Nakou-Elop</t>
  </si>
  <si>
    <t>Lomuria Ethiro</t>
  </si>
  <si>
    <t>Naseperwae</t>
  </si>
  <si>
    <t>Kamera</t>
  </si>
  <si>
    <t>Lokiloli</t>
  </si>
  <si>
    <t>Loteede</t>
  </si>
  <si>
    <t>Kokorio</t>
  </si>
  <si>
    <t>Kachoodo</t>
  </si>
  <si>
    <t>Timu</t>
  </si>
  <si>
    <t>Kayepas</t>
  </si>
  <si>
    <t>Loporokori</t>
  </si>
  <si>
    <t>Napeilet</t>
  </si>
  <si>
    <t>Naputhiligoi</t>
  </si>
  <si>
    <t>Nakapelimen</t>
  </si>
  <si>
    <t>Lobboko</t>
  </si>
  <si>
    <t>Nakiceleet</t>
  </si>
  <si>
    <t>Kalukumeri</t>
  </si>
  <si>
    <t>Nachora</t>
  </si>
  <si>
    <t>Lokoit</t>
  </si>
  <si>
    <t>Lolemuyek</t>
  </si>
  <si>
    <t>Kalochora</t>
  </si>
  <si>
    <t>Lojojora</t>
  </si>
  <si>
    <t>Lopeta</t>
  </si>
  <si>
    <t>Namugit</t>
  </si>
  <si>
    <t>Lokimuko</t>
  </si>
  <si>
    <t>Nakwamoru</t>
  </si>
  <si>
    <t>Lokopo TC</t>
  </si>
  <si>
    <t xml:space="preserve">Kailikong </t>
  </si>
  <si>
    <t>Akarwon</t>
  </si>
  <si>
    <t>Loparipar</t>
  </si>
  <si>
    <t>Lomusia</t>
  </si>
  <si>
    <t>Nataapan</t>
  </si>
  <si>
    <t>Kalesa</t>
  </si>
  <si>
    <t>Lopeei TC</t>
  </si>
  <si>
    <t>Lokore</t>
  </si>
  <si>
    <t>Logolosimit</t>
  </si>
  <si>
    <t>Loitakwa</t>
  </si>
  <si>
    <t>Loodoi</t>
  </si>
  <si>
    <t>Naoyakaramoe</t>
  </si>
  <si>
    <t>Lotaaban</t>
  </si>
  <si>
    <t>Lotop</t>
  </si>
  <si>
    <t>Lotede</t>
  </si>
  <si>
    <t>Napetet</t>
  </si>
  <si>
    <t>Lokapanyiteng</t>
  </si>
  <si>
    <t>Lotutuwa</t>
  </si>
  <si>
    <t>Naoyakonete</t>
  </si>
  <si>
    <t>Narengae A&amp;B</t>
  </si>
  <si>
    <t>Nangoro</t>
  </si>
  <si>
    <t>Nakumae</t>
  </si>
  <si>
    <t>Lomaul</t>
  </si>
  <si>
    <t>Losonyoka</t>
  </si>
  <si>
    <t>Lomuria</t>
  </si>
  <si>
    <t>Lokitela anyimoi</t>
  </si>
  <si>
    <t>Nakatiyat</t>
  </si>
  <si>
    <t>Loutakou</t>
  </si>
  <si>
    <t>Lolewa</t>
  </si>
  <si>
    <t>Nachuka</t>
  </si>
  <si>
    <t>Louta-lokarukoi</t>
  </si>
  <si>
    <t>Lokarukoi</t>
  </si>
  <si>
    <t>Naramaregae</t>
  </si>
  <si>
    <t>Lorunget</t>
  </si>
  <si>
    <t>Lorengelup</t>
  </si>
  <si>
    <t>Kachurukwee</t>
  </si>
  <si>
    <t>Aoyaloye</t>
  </si>
  <si>
    <t>Lokitela Adida</t>
  </si>
  <si>
    <t>Lokerukona</t>
  </si>
  <si>
    <t>Aleteny</t>
  </si>
  <si>
    <t>Kochito</t>
  </si>
  <si>
    <t>Katikat</t>
  </si>
  <si>
    <t>Adwaramukuny</t>
  </si>
  <si>
    <t>Koomo</t>
  </si>
  <si>
    <t>Lokeru</t>
  </si>
  <si>
    <t>Kotapae</t>
  </si>
  <si>
    <t>Kalokuruk</t>
  </si>
  <si>
    <t>Lopuke</t>
  </si>
  <si>
    <t>Kalerengiae</t>
  </si>
  <si>
    <t>Kanaitakomol</t>
  </si>
  <si>
    <t>Rapada B</t>
  </si>
  <si>
    <t>Nageret</t>
  </si>
  <si>
    <t>Kalochelel</t>
  </si>
  <si>
    <t>Lomasenik</t>
  </si>
  <si>
    <t>Lopiida</t>
  </si>
  <si>
    <t>Kopopwa</t>
  </si>
  <si>
    <t>Lokupoi</t>
  </si>
  <si>
    <t>Sakatan</t>
  </si>
  <si>
    <t>Loletio Amukaire</t>
  </si>
  <si>
    <t>Katulatiang A</t>
  </si>
  <si>
    <t>Lomoruchubae</t>
  </si>
  <si>
    <t>Nawatom</t>
  </si>
  <si>
    <t>Katulatiang B</t>
  </si>
  <si>
    <t>Kokipurat</t>
  </si>
  <si>
    <t>Nabotha</t>
  </si>
  <si>
    <t>Cholichol</t>
  </si>
  <si>
    <t>Kokulonyo</t>
  </si>
  <si>
    <t>Rapada A</t>
  </si>
  <si>
    <t>Kokowas</t>
  </si>
  <si>
    <t>Lokatapan</t>
  </si>
  <si>
    <t>Lomuria Angalepan</t>
  </si>
  <si>
    <t>Lobok</t>
  </si>
  <si>
    <t>Lokapelilok</t>
  </si>
  <si>
    <t>Lorengechora TC</t>
  </si>
  <si>
    <t>Naitakosowan</t>
  </si>
  <si>
    <t>Naoyaminit</t>
  </si>
  <si>
    <t>Lopuu</t>
  </si>
  <si>
    <t>Nakale</t>
  </si>
  <si>
    <t>Lolet Aweitaba</t>
  </si>
  <si>
    <t>Loolim</t>
  </si>
  <si>
    <t>Naronit</t>
  </si>
  <si>
    <t>Kaingolojek</t>
  </si>
  <si>
    <t>Lolet Bita</t>
  </si>
  <si>
    <t>Nakaramwai</t>
  </si>
  <si>
    <t>Nataparapalemu</t>
  </si>
  <si>
    <t>MTC WEST</t>
  </si>
  <si>
    <t>KOLOLO A</t>
  </si>
  <si>
    <t>KOLOLO B</t>
  </si>
  <si>
    <t>DOWN TOWN</t>
  </si>
  <si>
    <t>LOCHOLI</t>
  </si>
  <si>
    <t>ARONOMUNYEN</t>
  </si>
  <si>
    <t>NAPEIPELU</t>
  </si>
  <si>
    <t>KOKORIO</t>
  </si>
  <si>
    <t>LOGOLEI</t>
  </si>
  <si>
    <t>NAMORUONGORA</t>
  </si>
  <si>
    <t>LOKITELAKEEMUN</t>
  </si>
  <si>
    <t>LORUPAYO</t>
  </si>
  <si>
    <t>ONGORA</t>
  </si>
  <si>
    <t>KAPED-AKUJ</t>
  </si>
  <si>
    <t>KATUB-EROT A</t>
  </si>
  <si>
    <t>KATUB-EROT B</t>
  </si>
  <si>
    <t>LOMAKWANGAN-A</t>
  </si>
  <si>
    <t>LOMAKWANGAN-B</t>
  </si>
  <si>
    <t>NANGATUNYO</t>
  </si>
  <si>
    <t>LORENGEKUNGIN A</t>
  </si>
  <si>
    <t>KOKERIS</t>
  </si>
  <si>
    <t>KALOPAJAK</t>
  </si>
  <si>
    <t>LORENGEKUNGIN B</t>
  </si>
  <si>
    <t>LOKWAKAIS</t>
  </si>
  <si>
    <t>LORUKUMO</t>
  </si>
  <si>
    <t>KONGKWA</t>
  </si>
  <si>
    <t>LOLAIN</t>
  </si>
  <si>
    <t>LOPOPONGO</t>
  </si>
  <si>
    <t>MORU ONGOR</t>
  </si>
  <si>
    <t>NAKARIKAU</t>
  </si>
  <si>
    <t>NALIGOI</t>
  </si>
  <si>
    <t>LOGURUKOCHO</t>
  </si>
  <si>
    <t>MORU-ALOYETE</t>
  </si>
  <si>
    <t>MTC EAST</t>
  </si>
  <si>
    <t>KORIABA</t>
  </si>
  <si>
    <t>LOOI</t>
  </si>
  <si>
    <t>NAORAKORIO</t>
  </si>
  <si>
    <t>NASILOIT</t>
  </si>
  <si>
    <t>Namukure</t>
  </si>
  <si>
    <t>Lokupoi TC</t>
  </si>
  <si>
    <t>Namoru</t>
  </si>
  <si>
    <t>Kogete</t>
  </si>
  <si>
    <t>Nasinyonoit B</t>
  </si>
  <si>
    <t>Kokweta</t>
  </si>
  <si>
    <t>Nasinyonoit A</t>
  </si>
  <si>
    <t>Lokitimo</t>
  </si>
  <si>
    <t>Chelele</t>
  </si>
  <si>
    <t>Nakolelei</t>
  </si>
  <si>
    <t>ARIAM-RIAM</t>
  </si>
  <si>
    <t>KAARID</t>
  </si>
  <si>
    <t>MAAKOK</t>
  </si>
  <si>
    <t>DOUL</t>
  </si>
  <si>
    <t>NAMOROTOT</t>
  </si>
  <si>
    <t>NAMINIT</t>
  </si>
  <si>
    <t>ALICIA</t>
  </si>
  <si>
    <t>NAMENUAIN</t>
  </si>
  <si>
    <t>NATHINYONOIT</t>
  </si>
  <si>
    <t>LOPUSAK</t>
  </si>
  <si>
    <t>NACHORIA</t>
  </si>
  <si>
    <t>AKUCHO</t>
  </si>
  <si>
    <t>LONGOLERITEI</t>
  </si>
  <si>
    <t>NATUROBINYA</t>
  </si>
  <si>
    <t>APUTIPUT</t>
  </si>
  <si>
    <t>KOPERIPERIT</t>
  </si>
  <si>
    <t>KALOKENYEYUNG</t>
  </si>
  <si>
    <t>KOKEKIPIA</t>
  </si>
  <si>
    <t>ARIAMKORE</t>
  </si>
  <si>
    <t>KAPADOKOOK</t>
  </si>
  <si>
    <t>KOITU</t>
  </si>
  <si>
    <t>NAKORIETE</t>
  </si>
  <si>
    <t>NAKORISAT</t>
  </si>
  <si>
    <t>NABWAL CAMP</t>
  </si>
  <si>
    <t>ARIWOKALE</t>
  </si>
  <si>
    <t>Kanaura</t>
  </si>
  <si>
    <t>Napeeto</t>
  </si>
  <si>
    <t>Kangole</t>
  </si>
  <si>
    <t>Loburiatwala</t>
  </si>
  <si>
    <t>Losidongoror</t>
  </si>
  <si>
    <t>Loburkaikwan</t>
  </si>
  <si>
    <t>Akwaputan</t>
  </si>
  <si>
    <t>Natirae A</t>
  </si>
  <si>
    <t>Aoyatopojo</t>
  </si>
  <si>
    <t>Aparipar</t>
  </si>
  <si>
    <t>Cheele</t>
  </si>
  <si>
    <t>Loojor</t>
  </si>
  <si>
    <t>Aperikipie</t>
  </si>
  <si>
    <t>Kaikengatuny</t>
  </si>
  <si>
    <t>Natirira B</t>
  </si>
  <si>
    <t>LOJOM A</t>
  </si>
  <si>
    <t>LOJOM B</t>
  </si>
  <si>
    <t>NAPEILIT</t>
  </si>
  <si>
    <t>LOBULEPEDED</t>
  </si>
  <si>
    <t>NATURU</t>
  </si>
  <si>
    <t>APEIPUKE</t>
  </si>
  <si>
    <t>LOOLIM</t>
  </si>
  <si>
    <t>LOKWANAMOR</t>
  </si>
  <si>
    <t>LOSIKAIT</t>
  </si>
  <si>
    <t>AKORE A</t>
  </si>
  <si>
    <t>AKORE B</t>
  </si>
  <si>
    <t>NAKEJUESE</t>
  </si>
  <si>
    <t>KADACHAR</t>
  </si>
  <si>
    <t>LOTIKOKIN</t>
  </si>
  <si>
    <t>KONYANGA</t>
  </si>
  <si>
    <t>KARUKO</t>
  </si>
  <si>
    <t>NAKIPOMIA</t>
  </si>
  <si>
    <t>NATARI</t>
  </si>
  <si>
    <t>NARONGOR</t>
  </si>
  <si>
    <t>TOO EKITELA</t>
  </si>
  <si>
    <t>AJOKOMOLITENG</t>
  </si>
  <si>
    <t>LOBURAPAESE</t>
  </si>
  <si>
    <t>NAGULE ANGOLO B</t>
  </si>
  <si>
    <t>LOOLIMO</t>
  </si>
  <si>
    <t>NAGULE ANGOLO A</t>
  </si>
  <si>
    <t>LOKALUMOK</t>
  </si>
  <si>
    <t>KAKUTALEM</t>
  </si>
  <si>
    <t>NAWAIKOROT.A.</t>
  </si>
  <si>
    <t>LOKWATAKAU</t>
  </si>
  <si>
    <t>LOMALIGA</t>
  </si>
  <si>
    <t>LOMERIMONG</t>
  </si>
  <si>
    <t>LOKODIOKODOI</t>
  </si>
  <si>
    <t>LONGARAMA</t>
  </si>
  <si>
    <t>LOMUSIA</t>
  </si>
  <si>
    <t>Number of children received SPAQ</t>
  </si>
  <si>
    <t>LITYE</t>
  </si>
  <si>
    <t>MOTUI</t>
  </si>
  <si>
    <t>LOWOYATEN</t>
  </si>
  <si>
    <t>KOPUL</t>
  </si>
  <si>
    <t>LOMASE</t>
  </si>
  <si>
    <t>APEETA</t>
  </si>
  <si>
    <t>LOBORE</t>
  </si>
  <si>
    <t>KAMERISTIN</t>
  </si>
  <si>
    <t>KOMOLE</t>
  </si>
  <si>
    <t>KARISMOJONG</t>
  </si>
  <si>
    <t>KENEROI</t>
  </si>
  <si>
    <t>CHEMOTONG</t>
  </si>
  <si>
    <t>CHEPTUMOT</t>
  </si>
  <si>
    <t>LOMAJANITA</t>
  </si>
  <si>
    <t>NAKAPELO</t>
  </si>
  <si>
    <t>KARON</t>
  </si>
  <si>
    <t>TUMWON</t>
  </si>
  <si>
    <t>CHEPTUNUYO</t>
  </si>
  <si>
    <t>KOCHERERAI</t>
  </si>
  <si>
    <t>CHEMINTRIL</t>
  </si>
  <si>
    <t>KAKALYA</t>
  </si>
  <si>
    <t>CHEBUNGBUNG</t>
  </si>
  <si>
    <t>NAKARWA</t>
  </si>
  <si>
    <t>NATELENG</t>
  </si>
  <si>
    <t>NAKASEPAN</t>
  </si>
  <si>
    <t>KASIKIROI</t>
  </si>
  <si>
    <t>CHEPOI</t>
  </si>
  <si>
    <t>KASES</t>
  </si>
  <si>
    <t>KAKADAMA</t>
  </si>
  <si>
    <t>ALAKAS</t>
  </si>
  <si>
    <t>KALAS</t>
  </si>
  <si>
    <t>AKOULE</t>
  </si>
  <si>
    <t>KASIASA</t>
  </si>
  <si>
    <t>GHATAKAPURAI</t>
  </si>
  <si>
    <t>TODO</t>
  </si>
  <si>
    <t>ACHORICHOR</t>
  </si>
  <si>
    <t>NACHOMIN</t>
  </si>
  <si>
    <t>LOCHERIAKWANGAN</t>
  </si>
  <si>
    <t>LOCHERIAMONI</t>
  </si>
  <si>
    <t>ABDI</t>
  </si>
  <si>
    <t>AKWAKIPI</t>
  </si>
  <si>
    <t>LOITABOKET</t>
  </si>
  <si>
    <t>RURTANY</t>
  </si>
  <si>
    <t>KAKALAS</t>
  </si>
  <si>
    <t>IWAKAI</t>
  </si>
  <si>
    <t>NABUKUT</t>
  </si>
  <si>
    <t>BABATIAN</t>
  </si>
  <si>
    <t>ACHORICHOR TC</t>
  </si>
  <si>
    <t>NATAPEMO</t>
  </si>
  <si>
    <t>KALOYAMA</t>
  </si>
  <si>
    <t>KADUNGDUNG</t>
  </si>
  <si>
    <t>NAKORIO</t>
  </si>
  <si>
    <t>LOMERIPUS</t>
  </si>
  <si>
    <t>KILILING</t>
  </si>
  <si>
    <t>LOMERAI</t>
  </si>
  <si>
    <t>KADEKENYA</t>
  </si>
  <si>
    <t>MORWEKI</t>
  </si>
  <si>
    <t>TULWONGWUNG</t>
  </si>
  <si>
    <t>APEIKAR</t>
  </si>
  <si>
    <t>NATOPOCHO</t>
  </si>
  <si>
    <t>LOPUKAN</t>
  </si>
  <si>
    <t>KASIMITAI</t>
  </si>
  <si>
    <t>NGONGOSWAN</t>
  </si>
  <si>
    <t>KARIWO</t>
  </si>
  <si>
    <t>KOPULWO</t>
  </si>
  <si>
    <t>KODAP</t>
  </si>
  <si>
    <t>KONA-SAMUEL</t>
  </si>
  <si>
    <t>CHELOTWO</t>
  </si>
  <si>
    <t>SELENGEN</t>
  </si>
  <si>
    <t>NAPOROKOCHA</t>
  </si>
  <si>
    <t>CHEPINYING</t>
  </si>
  <si>
    <t>KORENYANG</t>
  </si>
  <si>
    <t>ORON</t>
  </si>
  <si>
    <t>FOREST ETUKO-A</t>
  </si>
  <si>
    <t>LOCHI</t>
  </si>
  <si>
    <t>CHEMONING</t>
  </si>
  <si>
    <t>NAWII</t>
  </si>
  <si>
    <t>KARITA TC</t>
  </si>
  <si>
    <t>ABONGAI A</t>
  </si>
  <si>
    <t>CHEPTUIS</t>
  </si>
  <si>
    <t>FOREST ETUKO-B</t>
  </si>
  <si>
    <t>KAPETAWOI</t>
  </si>
  <si>
    <t>KARENGECHORA</t>
  </si>
  <si>
    <t>CHEMKOL B</t>
  </si>
  <si>
    <t>KAYERKO</t>
  </si>
  <si>
    <t>KALEMNYANG</t>
  </si>
  <si>
    <t>KALEMOREKEI</t>
  </si>
  <si>
    <t>NAKUDO</t>
  </si>
  <si>
    <t>KAPETA</t>
  </si>
  <si>
    <t>BODA</t>
  </si>
  <si>
    <t>AROL</t>
  </si>
  <si>
    <t>MOTANY</t>
  </si>
  <si>
    <t>MORWONGOR</t>
  </si>
  <si>
    <t>CHEMOKOL</t>
  </si>
  <si>
    <t>APARPAR</t>
  </si>
  <si>
    <t>MORUARENGAN</t>
  </si>
  <si>
    <t>KARELEBONG</t>
  </si>
  <si>
    <t>KARITA CENTRAL</t>
  </si>
  <si>
    <t>NAMODO</t>
  </si>
  <si>
    <t>KABINYANZI</t>
  </si>
  <si>
    <t>LODAPU</t>
  </si>
  <si>
    <t>KACHORO</t>
  </si>
  <si>
    <t>KAROROK</t>
  </si>
  <si>
    <t>KARITA B</t>
  </si>
  <si>
    <t>CHIROY</t>
  </si>
  <si>
    <t>LOKOMA</t>
  </si>
  <si>
    <t>TAPARAC</t>
  </si>
  <si>
    <t>TOPULUL</t>
  </si>
  <si>
    <t>AKURAWUYAN</t>
  </si>
  <si>
    <t>KODIKDIK</t>
  </si>
  <si>
    <t>ABONGAI B</t>
  </si>
  <si>
    <t>KAICHOM</t>
  </si>
  <si>
    <t>KAETUKO</t>
  </si>
  <si>
    <t>NAMORISIPO</t>
  </si>
  <si>
    <t>CHEMOROR</t>
  </si>
  <si>
    <t>RELNOI</t>
  </si>
  <si>
    <t>LOMERTA</t>
  </si>
  <si>
    <t>KAGWOROBU</t>
  </si>
  <si>
    <t>ACHELEL</t>
  </si>
  <si>
    <t>LOCHAWA</t>
  </si>
  <si>
    <t>KANGISA-B</t>
  </si>
  <si>
    <t>KANGISA-A</t>
  </si>
  <si>
    <t>KANGILET</t>
  </si>
  <si>
    <t>MELMEL</t>
  </si>
  <si>
    <t>DOKOMOI</t>
  </si>
  <si>
    <t>LOKARUNGUI</t>
  </si>
  <si>
    <t>LOWUYAKUR</t>
  </si>
  <si>
    <t>KAKOR</t>
  </si>
  <si>
    <t>KANGOLE</t>
  </si>
  <si>
    <t>CHEPKRAWN</t>
  </si>
  <si>
    <t>ALEMRENG</t>
  </si>
  <si>
    <t>LOBOLOIN</t>
  </si>
  <si>
    <t>KAPENGURIA</t>
  </si>
  <si>
    <t>AUSIKIYON</t>
  </si>
  <si>
    <t>POLOL</t>
  </si>
  <si>
    <t>AYOROL</t>
  </si>
  <si>
    <t>AKUROMOSING</t>
  </si>
  <si>
    <t>SENEIOR QUARTERS</t>
  </si>
  <si>
    <t>KAYOKWO</t>
  </si>
  <si>
    <t>NAKABURU</t>
  </si>
  <si>
    <t>ADURKOIT</t>
  </si>
  <si>
    <t>LODENGO</t>
  </si>
  <si>
    <t>NAMUSIA</t>
  </si>
  <si>
    <t>MORMODO</t>
  </si>
  <si>
    <t>KATUKUMOK</t>
  </si>
  <si>
    <t>ASHIOKONION</t>
  </si>
  <si>
    <t>NATEKOL</t>
  </si>
  <si>
    <t>KATABOK</t>
  </si>
  <si>
    <t>AKAYOT</t>
  </si>
  <si>
    <t>KAROUCHOM</t>
  </si>
  <si>
    <t>KAKWOTOM</t>
  </si>
  <si>
    <t>NAKWANGAMORU</t>
  </si>
  <si>
    <t>KOGETEI</t>
  </si>
  <si>
    <t>DINGDINGA</t>
  </si>
  <si>
    <t>KAEDOU</t>
  </si>
  <si>
    <t>NAITAI</t>
  </si>
  <si>
    <t>TOKOGHO</t>
  </si>
  <si>
    <t>MORUKAL</t>
  </si>
  <si>
    <t>ABONGION</t>
  </si>
  <si>
    <t>LOPEROT</t>
  </si>
  <si>
    <t>KATOPOTEN</t>
  </si>
  <si>
    <t>KARENGENYA</t>
  </si>
  <si>
    <t>PILIL</t>
  </si>
  <si>
    <t>SIKOTAI</t>
  </si>
  <si>
    <t>ADOMEYON</t>
  </si>
  <si>
    <t>KAPKONGKONG</t>
  </si>
  <si>
    <t>AKALES</t>
  </si>
  <si>
    <t>AMUSIAN</t>
  </si>
  <si>
    <t>KAUTAKUR</t>
  </si>
  <si>
    <t>LONGENYA</t>
  </si>
  <si>
    <t>NAKALIMON</t>
  </si>
  <si>
    <t>LOPEDENY</t>
  </si>
  <si>
    <t>LOMUNAN</t>
  </si>
  <si>
    <t>KALEMREKAI</t>
  </si>
  <si>
    <t>LOKITELARENGAN</t>
  </si>
  <si>
    <t>KATUKURI</t>
  </si>
  <si>
    <t>KOGEITEL</t>
  </si>
  <si>
    <t>KOTEITEI</t>
  </si>
  <si>
    <t>MORUPUS</t>
  </si>
  <si>
    <t>CHEMURTO</t>
  </si>
  <si>
    <t>LOSILI</t>
  </si>
  <si>
    <t>CHEPTEREN</t>
  </si>
  <si>
    <t>CHEMELSOI</t>
  </si>
  <si>
    <t>AKURION</t>
  </si>
  <si>
    <t>NAKICHOGIA</t>
  </si>
  <si>
    <t>KANKOLEI</t>
  </si>
  <si>
    <t>ATUBOKOLONG</t>
  </si>
  <si>
    <t>LOGENYA</t>
  </si>
  <si>
    <t>NAMORTOMEI</t>
  </si>
  <si>
    <t>KASOWO</t>
  </si>
  <si>
    <t>LOKALES HILLS</t>
  </si>
  <si>
    <t>LOKAE</t>
  </si>
  <si>
    <t>LOKUCHOI</t>
  </si>
  <si>
    <t>CHEPTOKOL A,B</t>
  </si>
  <si>
    <t>MORUNYANG</t>
  </si>
  <si>
    <t>LOKALES B</t>
  </si>
  <si>
    <t>AMUNA</t>
  </si>
  <si>
    <t>LOKALES A</t>
  </si>
  <si>
    <t>MORON</t>
  </si>
  <si>
    <t>TINGAS</t>
  </si>
  <si>
    <t>KATIKOMOR</t>
  </si>
  <si>
    <t>MORWO</t>
  </si>
  <si>
    <t>KAPKETCH</t>
  </si>
  <si>
    <t>KARENGEBOCHE</t>
  </si>
  <si>
    <t>KOKOCHAYA</t>
  </si>
  <si>
    <t>NAKWAPUO</t>
  </si>
  <si>
    <t>CHEOWORONY</t>
  </si>
  <si>
    <t>MORUNYANG 2</t>
  </si>
  <si>
    <t>KATIKECH</t>
  </si>
  <si>
    <t>ARUKANES</t>
  </si>
  <si>
    <t>MULMUTICH</t>
  </si>
  <si>
    <t>KANYOSHA</t>
  </si>
  <si>
    <t>IMORIPET</t>
  </si>
  <si>
    <t>NACHURUR</t>
  </si>
  <si>
    <t>CHEWARA</t>
  </si>
  <si>
    <t>KABYOSHA B</t>
  </si>
  <si>
    <t>NAMORU</t>
  </si>
  <si>
    <t>CHEPKARARAT</t>
  </si>
  <si>
    <t>MORUAKURUK</t>
  </si>
  <si>
    <t>KACHURO</t>
  </si>
  <si>
    <t>AGULE</t>
  </si>
  <si>
    <t>CHEMULONCHO</t>
  </si>
  <si>
    <t>RIANTUM</t>
  </si>
  <si>
    <t>CHEPKETCH</t>
  </si>
  <si>
    <t>NAUPALA</t>
  </si>
  <si>
    <t>LOMAMCHECHE</t>
  </si>
  <si>
    <t>KAPTARIN</t>
  </si>
  <si>
    <t>SOLION</t>
  </si>
  <si>
    <t>MORUKOKI</t>
  </si>
  <si>
    <t>CHEPTAPOYO</t>
  </si>
  <si>
    <t>KOMPAS</t>
  </si>
  <si>
    <t>KAERRIL</t>
  </si>
  <si>
    <t>KATAPODIN</t>
  </si>
  <si>
    <t>KALEKTYO</t>
  </si>
  <si>
    <t>KATAPOTIN</t>
  </si>
  <si>
    <t>KAIRIGENOI</t>
  </si>
  <si>
    <t>NATIRIRA</t>
  </si>
  <si>
    <t>AKASI</t>
  </si>
  <si>
    <t>CHEPTAKOGHEN</t>
  </si>
  <si>
    <t>KALAWANI</t>
  </si>
  <si>
    <t>KAELEP</t>
  </si>
  <si>
    <t>LOESEM</t>
  </si>
  <si>
    <t>NGARAM</t>
  </si>
  <si>
    <t>CHAWOI</t>
  </si>
  <si>
    <t>KUTUNG</t>
  </si>
  <si>
    <t>CHEPTUWON</t>
  </si>
  <si>
    <t>LOLEPON</t>
  </si>
  <si>
    <t>KUKURAO</t>
  </si>
  <si>
    <t>CHESAPUT</t>
  </si>
  <si>
    <t>ARAPADA</t>
  </si>
  <si>
    <t>NAMERITA</t>
  </si>
  <si>
    <t>KODELA</t>
  </si>
  <si>
    <t>KOTITI</t>
  </si>
  <si>
    <t>KALAWA</t>
  </si>
  <si>
    <t>NARONIT</t>
  </si>
  <si>
    <t>KATOTIN</t>
  </si>
  <si>
    <t>KAKOUGH</t>
  </si>
  <si>
    <t>KOLEULEUI</t>
  </si>
  <si>
    <t>KAKIRATABOK</t>
  </si>
  <si>
    <t>KAPUSERION</t>
  </si>
  <si>
    <t>LOKIBEREKORI</t>
  </si>
  <si>
    <t>KAIBANGANG</t>
  </si>
  <si>
    <t>KATUKUMWOK</t>
  </si>
  <si>
    <t>NABWA</t>
  </si>
  <si>
    <t>KOGWALAP</t>
  </si>
  <si>
    <t>KATILERAIA</t>
  </si>
  <si>
    <t>NABURIAKWE</t>
  </si>
  <si>
    <t>CHIKINAR</t>
  </si>
  <si>
    <t>LOPOYIN</t>
  </si>
  <si>
    <t>NAMOSING</t>
  </si>
  <si>
    <t>LOWAN</t>
  </si>
  <si>
    <t>ACHUBAKISIN</t>
  </si>
  <si>
    <t>NGORIPILOMOGH</t>
  </si>
  <si>
    <t>KAMESOI</t>
  </si>
  <si>
    <t>KONGOROK</t>
  </si>
  <si>
    <t>NAKONYEN</t>
  </si>
  <si>
    <t>KAKIR</t>
  </si>
  <si>
    <t>KAKUMAT</t>
  </si>
  <si>
    <t>ANGURUMA</t>
  </si>
  <si>
    <t>KAKRESWO</t>
  </si>
  <si>
    <t>KAKODIANGIRO</t>
  </si>
  <si>
    <t>NAKELE</t>
  </si>
  <si>
    <t>LOKITELAMAL</t>
  </si>
  <si>
    <t>TUMBOLONGOLE</t>
  </si>
  <si>
    <t>PRIKA</t>
  </si>
  <si>
    <t>NAGULIET</t>
  </si>
  <si>
    <t>NGOTUTEI</t>
  </si>
  <si>
    <t>NATURONGOLE</t>
  </si>
  <si>
    <t>TOREKINAI</t>
  </si>
  <si>
    <t>NALOIT</t>
  </si>
  <si>
    <t>KAWOJAKERU</t>
  </si>
  <si>
    <t>APEIKIDOR</t>
  </si>
  <si>
    <t>KOMUN</t>
  </si>
  <si>
    <t>KARLAKOL</t>
  </si>
  <si>
    <t>LOKIPETOT</t>
  </si>
  <si>
    <t>CHEPKUKU</t>
  </si>
  <si>
    <t>ABILEMONG</t>
  </si>
  <si>
    <t>NASURET</t>
  </si>
  <si>
    <t>ABILIYEP</t>
  </si>
  <si>
    <t>KASRUM</t>
  </si>
  <si>
    <t>TIRIKOL</t>
  </si>
  <si>
    <t>KACHUKOLIM</t>
  </si>
  <si>
    <t>KACHOLIA</t>
  </si>
  <si>
    <t>CHEPKANER</t>
  </si>
  <si>
    <t>LOMU</t>
  </si>
  <si>
    <t>ASINYONOIT</t>
  </si>
  <si>
    <t>NALEMTOM</t>
  </si>
  <si>
    <t>NAKIPOM</t>
  </si>
  <si>
    <t>KANGUR</t>
  </si>
  <si>
    <t>CHEDAWA</t>
  </si>
  <si>
    <t>CHEPKOPON</t>
  </si>
  <si>
    <t>ACHUKUL</t>
  </si>
  <si>
    <t>NAKIESHA</t>
  </si>
  <si>
    <t>NAPITIRO</t>
  </si>
  <si>
    <t>KOSIKE B</t>
  </si>
  <si>
    <t>LOBURO</t>
  </si>
  <si>
    <t>KALUNGOLERENG</t>
  </si>
  <si>
    <t>NAPODO</t>
  </si>
  <si>
    <t>LOPEDOT</t>
  </si>
  <si>
    <t>LOKOKOR</t>
  </si>
  <si>
    <t>MURUT</t>
  </si>
  <si>
    <t>AUSIKUYON</t>
  </si>
  <si>
    <t>MULTAKSUM</t>
  </si>
  <si>
    <t>KARIMADEKE</t>
  </si>
  <si>
    <t>NAKIGWANGARET</t>
  </si>
  <si>
    <t>KALODEKE</t>
  </si>
  <si>
    <t>CHEREKOL</t>
  </si>
  <si>
    <t>ANGATARET</t>
  </si>
  <si>
    <t>AKURIKEYA</t>
  </si>
  <si>
    <t>KAPANYIRIT</t>
  </si>
  <si>
    <t>KAESEKOL</t>
  </si>
  <si>
    <t>AKWICHEN</t>
  </si>
  <si>
    <t>TURTUR</t>
  </si>
  <si>
    <t>NAMANIAKAL</t>
  </si>
  <si>
    <t>CHEMUNUNG</t>
  </si>
  <si>
    <t>CHEMUNJAL</t>
  </si>
  <si>
    <t>KAROMOACH</t>
  </si>
  <si>
    <t>KOGWOLE</t>
  </si>
  <si>
    <t>NAMUSHA</t>
  </si>
  <si>
    <t>KAKURUK</t>
  </si>
  <si>
    <t>KACHALAESE</t>
  </si>
  <si>
    <t>LOTOPOCHO</t>
  </si>
  <si>
    <t>AMUDAT HOSPITAL</t>
  </si>
  <si>
    <t>KAMMITIKEN A</t>
  </si>
  <si>
    <t>KAMUKMON</t>
  </si>
  <si>
    <t>KAPETAKINE</t>
  </si>
  <si>
    <t>JUMBE</t>
  </si>
  <si>
    <t>AGWALINGA</t>
  </si>
  <si>
    <t>LOBURIN</t>
  </si>
  <si>
    <t>NAREMIT</t>
  </si>
  <si>
    <t>LOCHENGENGE</t>
  </si>
  <si>
    <t>ARENGEDWAT</t>
  </si>
  <si>
    <t>SONGWOT</t>
  </si>
  <si>
    <t>CHERELACKON</t>
  </si>
  <si>
    <t>APAMUTO</t>
  </si>
  <si>
    <t>CHEPROYO</t>
  </si>
  <si>
    <t>KUKAYIM</t>
  </si>
  <si>
    <t>SENIOR QUARTERS</t>
  </si>
  <si>
    <t>KACHIROYON</t>
  </si>
  <si>
    <t>LOKIRIMO</t>
  </si>
  <si>
    <t>KAMUTIKEN B</t>
  </si>
  <si>
    <t>WARD A</t>
  </si>
  <si>
    <t>KACHAPIRI</t>
  </si>
  <si>
    <t>MOKONGWO</t>
  </si>
  <si>
    <t>KASHIOLIP</t>
  </si>
  <si>
    <t>NATAKUMAN</t>
  </si>
  <si>
    <t>WARD B</t>
  </si>
  <si>
    <t>NAMALERA</t>
  </si>
  <si>
    <t>KANGAROR</t>
  </si>
  <si>
    <t>KAKRES</t>
  </si>
  <si>
    <t>CHEPOROCHOCH</t>
  </si>
  <si>
    <t>KATUMWOK</t>
  </si>
  <si>
    <t>LONGOLEGUR</t>
  </si>
  <si>
    <t>NAPAO</t>
  </si>
  <si>
    <t>NATIRA-B</t>
  </si>
  <si>
    <t>LOKODI</t>
  </si>
  <si>
    <t>PARAKONG</t>
  </si>
  <si>
    <t>KOMORET</t>
  </si>
  <si>
    <t>AUSIKION</t>
  </si>
  <si>
    <t>CHEPROPOGH</t>
  </si>
  <si>
    <t>CHEPOYI</t>
  </si>
  <si>
    <t>NABOKOTOM</t>
  </si>
  <si>
    <t>CHELONGON</t>
  </si>
  <si>
    <t>LOTULIAKOL</t>
  </si>
  <si>
    <t>NATIRA-A</t>
  </si>
  <si>
    <t>ANGAMUT</t>
  </si>
  <si>
    <t>LORUKUT</t>
  </si>
  <si>
    <t>CHEPONGO</t>
  </si>
  <si>
    <t>KOEDAI</t>
  </si>
  <si>
    <t>KRESWO</t>
  </si>
  <si>
    <t>KATAKAR</t>
  </si>
  <si>
    <t>PAMBA</t>
  </si>
  <si>
    <t>PRIDON</t>
  </si>
  <si>
    <t>KAMORINYANG</t>
  </si>
  <si>
    <t>KOSIKE</t>
  </si>
  <si>
    <t>AKUKUS</t>
  </si>
  <si>
    <t>CHEMEKANY</t>
  </si>
  <si>
    <t>CHEIWAK</t>
  </si>
  <si>
    <t>KOHGEL</t>
  </si>
  <si>
    <t>NAMUNAKIAL</t>
  </si>
  <si>
    <t>ATIRIR</t>
  </si>
  <si>
    <t>RIRKET</t>
  </si>
  <si>
    <t>NAKOKESA</t>
  </si>
  <si>
    <t>SIYAYA</t>
  </si>
  <si>
    <t>KATUKUMUWAK</t>
  </si>
  <si>
    <t>NGOMNGOJOWON</t>
  </si>
  <si>
    <t>NYIKI-NYIKI</t>
  </si>
  <si>
    <t>NUTHU</t>
  </si>
  <si>
    <t>MORU-LOKWANGAT</t>
  </si>
  <si>
    <t>GULACUTH</t>
  </si>
  <si>
    <t>KATALA</t>
  </si>
  <si>
    <t>DII-CWINYI</t>
  </si>
  <si>
    <t>KATALA-CENTRAL</t>
  </si>
  <si>
    <t>AGULE-AGOLOL</t>
  </si>
  <si>
    <t>THULUMUK</t>
  </si>
  <si>
    <t>AKONGU-CWA</t>
  </si>
  <si>
    <t>OPEDUR-EAST</t>
  </si>
  <si>
    <t>OBARYATH</t>
  </si>
  <si>
    <t>AKONGUCWA- WEST</t>
  </si>
  <si>
    <t>KOPULA</t>
  </si>
  <si>
    <t>KIRITEM</t>
  </si>
  <si>
    <t>ODOKOMIT</t>
  </si>
  <si>
    <t>OKWANGALUK</t>
  </si>
  <si>
    <t>OPEDUR-WEST</t>
  </si>
  <si>
    <t>NGOROPAN</t>
  </si>
  <si>
    <t>AKALALE</t>
  </si>
  <si>
    <t>GULOPONO NORTH</t>
  </si>
  <si>
    <t>GULOPONO NORTH EAST</t>
  </si>
  <si>
    <t>LOKA</t>
  </si>
  <si>
    <t>BELWEE</t>
  </si>
  <si>
    <t>OTHAIBONGE</t>
  </si>
  <si>
    <t>GANGMINHG NORTH</t>
  </si>
  <si>
    <t>TYNE-OLAM</t>
  </si>
  <si>
    <t>WATHAKAN</t>
  </si>
  <si>
    <t>BAR.OTUKE VILLAGE</t>
  </si>
  <si>
    <t>BAR.OTUKE WEST</t>
  </si>
  <si>
    <t>GANGMING NEWLINE</t>
  </si>
  <si>
    <t>GANGMING WEST</t>
  </si>
  <si>
    <t>GULOPONO WEST</t>
  </si>
  <si>
    <t>GANGMING SOUTH EAST</t>
  </si>
  <si>
    <t>BAR.OTUKE CENTRAL</t>
  </si>
  <si>
    <t>NIMARO</t>
  </si>
  <si>
    <t>GANGMING CENTRAL</t>
  </si>
  <si>
    <t>GANGMING SOUTH WEST</t>
  </si>
  <si>
    <t>GULOPONO CENTRAL</t>
  </si>
  <si>
    <t>BUTIWING</t>
  </si>
  <si>
    <t xml:space="preserve">GANGMING SOUTH </t>
  </si>
  <si>
    <t>GULOPONO SOUTH WEST</t>
  </si>
  <si>
    <t>LOTUKE SEED</t>
  </si>
  <si>
    <t>ORINGOADINGA</t>
  </si>
  <si>
    <t>GANGMING EAST</t>
  </si>
  <si>
    <t>GULOPONO EAST</t>
  </si>
  <si>
    <t>GULOPONO TRADING CENTRE</t>
  </si>
  <si>
    <t>GULOPONO SOUTH EAST</t>
  </si>
  <si>
    <t>OTUMPILI  NORTH</t>
  </si>
  <si>
    <t>RWOTH</t>
  </si>
  <si>
    <t>OTHANYETH</t>
  </si>
  <si>
    <t>FACULITY OF EDUCATION</t>
  </si>
  <si>
    <t>AYWEE</t>
  </si>
  <si>
    <t>GULKWACH</t>
  </si>
  <si>
    <t>KAMPALA</t>
  </si>
  <si>
    <t>ODOKOMINT</t>
  </si>
  <si>
    <t>AKAL CELL</t>
  </si>
  <si>
    <t>ARENGEPUA</t>
  </si>
  <si>
    <t>ABWORNYEK</t>
  </si>
  <si>
    <t>ALEKER HCIII</t>
  </si>
  <si>
    <t>OTUMPILI SOUTH WEST</t>
  </si>
  <si>
    <t xml:space="preserve">OTUMPILI SOUTH </t>
  </si>
  <si>
    <t>KAWANG CENTRAL</t>
  </si>
  <si>
    <t>MUTUKULA</t>
  </si>
  <si>
    <t>JUNIOR QUARTERS</t>
  </si>
  <si>
    <t>DARESALAM</t>
  </si>
  <si>
    <t>OTUMPILI CENTRAL</t>
  </si>
  <si>
    <t>AYWEE WEST</t>
  </si>
  <si>
    <t>OBANGANGEO NORTH CELL</t>
  </si>
  <si>
    <t>OTUMPILI NORTH WEST</t>
  </si>
  <si>
    <t>LOYOROIT CENTRAL</t>
  </si>
  <si>
    <t>KODHOLU</t>
  </si>
  <si>
    <t>RIIBA CELL</t>
  </si>
  <si>
    <t>AYWEE EAST</t>
  </si>
  <si>
    <t>KAWANG</t>
  </si>
  <si>
    <t>LAI CELL</t>
  </si>
  <si>
    <t>ORINGOJWOK</t>
  </si>
  <si>
    <t>ATWILLO</t>
  </si>
  <si>
    <t>ALEKER PRIMARY SCHOOL</t>
  </si>
  <si>
    <t>ARINGOBOM EAST</t>
  </si>
  <si>
    <t>KULODWONG</t>
  </si>
  <si>
    <t>ARINGOBOM WEST</t>
  </si>
  <si>
    <t>TYENO POBO WEST</t>
  </si>
  <si>
    <t>TYEN OPOBO EAST</t>
  </si>
  <si>
    <t>AGONGA</t>
  </si>
  <si>
    <t>ARINGOBOM CENTRAL</t>
  </si>
  <si>
    <t>ARINGOBOM SOUTH</t>
  </si>
  <si>
    <t>KAKUTHA</t>
  </si>
  <si>
    <t>ACANPENINO</t>
  </si>
  <si>
    <t>AMINA</t>
  </si>
  <si>
    <t>KECH OKELA</t>
  </si>
  <si>
    <t>OKWION</t>
  </si>
  <si>
    <t>KATHIMONGOR</t>
  </si>
  <si>
    <t>RIBEING</t>
  </si>
  <si>
    <t>ALOKOTHERO</t>
  </si>
  <si>
    <t>OLEM EAST</t>
  </si>
  <si>
    <t>GULKANA</t>
  </si>
  <si>
    <t>ATHIRIR</t>
  </si>
  <si>
    <t>AMAMGOK</t>
  </si>
  <si>
    <t>NAKIBULA</t>
  </si>
  <si>
    <t>OLEM CENTRAL</t>
  </si>
  <si>
    <t>LOYOROIT NEWLINE</t>
  </si>
  <si>
    <t>TYENCONGO</t>
  </si>
  <si>
    <t>ADADI</t>
  </si>
  <si>
    <t>ORINGI</t>
  </si>
  <si>
    <t>JERUSALEM</t>
  </si>
  <si>
    <t>ALIMOCAN</t>
  </si>
  <si>
    <t>ALIMOCAN CENTRAL</t>
  </si>
  <si>
    <t>OLEM WEST</t>
  </si>
  <si>
    <t>OLEM NORTH WEST</t>
  </si>
  <si>
    <t>OROTHOL</t>
  </si>
  <si>
    <t>ALIMOCAN SOUTH</t>
  </si>
  <si>
    <t>KOLOLO</t>
  </si>
  <si>
    <t>OLEM NORTH</t>
  </si>
  <si>
    <t>OKULOWIE</t>
  </si>
  <si>
    <t>TYENO-CUMU</t>
  </si>
  <si>
    <t xml:space="preserve">ADOLOLONG </t>
  </si>
  <si>
    <t>OYAPUE</t>
  </si>
  <si>
    <t>OGOLOTH</t>
  </si>
  <si>
    <t>ODONGOPIL</t>
  </si>
  <si>
    <t>KONINY</t>
  </si>
  <si>
    <t>OLEM SOUTH WEST</t>
  </si>
  <si>
    <t>KAKET</t>
  </si>
  <si>
    <t>TYEN ALWIE</t>
  </si>
  <si>
    <t>KAGURUI</t>
  </si>
  <si>
    <t>DAM KE LIA</t>
  </si>
  <si>
    <t>GODOWN</t>
  </si>
  <si>
    <t>KULODWONG EAST</t>
  </si>
  <si>
    <t>ARUKWENY</t>
  </si>
  <si>
    <t>KULODWONG WEST</t>
  </si>
  <si>
    <t>OCOM CENTRAL</t>
  </si>
  <si>
    <t>TYEN-OPOBO NORTH</t>
  </si>
  <si>
    <t>KOTIDO</t>
  </si>
  <si>
    <t>TYENO POBO SOUTH</t>
  </si>
  <si>
    <t>MONYELLA</t>
  </si>
  <si>
    <t xml:space="preserve">PEMKWORO </t>
  </si>
  <si>
    <t>ADAGKOLO NORTH</t>
  </si>
  <si>
    <t>OBOKOLOTH CENTRAL</t>
  </si>
  <si>
    <t>ONANGOMOTHO</t>
  </si>
  <si>
    <t>PEMKWORO NORTH</t>
  </si>
  <si>
    <t>OBOKOLOTH  VILLAGE</t>
  </si>
  <si>
    <t xml:space="preserve">ADAGKOLO </t>
  </si>
  <si>
    <t>YWEE WII</t>
  </si>
  <si>
    <t>BARLYECH</t>
  </si>
  <si>
    <t>KOLOLO NEWLINE</t>
  </si>
  <si>
    <t xml:space="preserve">ANYALIMA </t>
  </si>
  <si>
    <t>AGWENG</t>
  </si>
  <si>
    <t>ACARAWANG WEST</t>
  </si>
  <si>
    <t>ACARAWANG CENTRAL</t>
  </si>
  <si>
    <t>ACARAWANGE EAST</t>
  </si>
  <si>
    <t>PAMO</t>
  </si>
  <si>
    <t>OPOKOLOBO</t>
  </si>
  <si>
    <t>ATHEDER WEST</t>
  </si>
  <si>
    <t>OBANGANGEO</t>
  </si>
  <si>
    <t>AMONICEK</t>
  </si>
  <si>
    <t>GOTAPWOO CENTRAL</t>
  </si>
  <si>
    <t>OMOO SOUTH</t>
  </si>
  <si>
    <t>OMOO CENTRAL</t>
  </si>
  <si>
    <t>ATHEDER EAST</t>
  </si>
  <si>
    <t>ATHEDER CENTRAL</t>
  </si>
  <si>
    <t>OMOO EAST</t>
  </si>
  <si>
    <t>ATHEDER NORTH</t>
  </si>
  <si>
    <t>GOTAPWOO VILLAGE</t>
  </si>
  <si>
    <t>OMOO WEST</t>
  </si>
  <si>
    <t>ADIOCAI</t>
  </si>
  <si>
    <t>BARLYECH PAMO</t>
  </si>
  <si>
    <t>AROO</t>
  </si>
  <si>
    <t>OTHEN</t>
  </si>
  <si>
    <t>BARLYECH WEST</t>
  </si>
  <si>
    <t>BALYECH</t>
  </si>
  <si>
    <t>BARLYECH CENTRAL</t>
  </si>
  <si>
    <t>WIPOLO</t>
  </si>
  <si>
    <t>KOLOLO EAST</t>
  </si>
  <si>
    <t>BARDAGO</t>
  </si>
  <si>
    <t>MAMKAI</t>
  </si>
  <si>
    <t>NATETE</t>
  </si>
  <si>
    <t>OBOKOLOTH EAST</t>
  </si>
  <si>
    <t>WIALINGA</t>
  </si>
  <si>
    <t>ACARAWANG SOUTH</t>
  </si>
  <si>
    <t>ANYALIMA WEST</t>
  </si>
  <si>
    <t>ATHEDER SOUTH</t>
  </si>
  <si>
    <t>CAMKOK EAST</t>
  </si>
  <si>
    <t>KIIRO</t>
  </si>
  <si>
    <t>OKOROBO</t>
  </si>
  <si>
    <t>KOTIDANY EAST</t>
  </si>
  <si>
    <t>OMETHURO</t>
  </si>
  <si>
    <t>APEIRE</t>
  </si>
  <si>
    <t>SOWETO</t>
  </si>
  <si>
    <t>TYEN OPEDO</t>
  </si>
  <si>
    <t>CAMKOK WEST</t>
  </si>
  <si>
    <t>MOGOTH</t>
  </si>
  <si>
    <t>KARAPATH</t>
  </si>
  <si>
    <t>MILLI MILLI</t>
  </si>
  <si>
    <t>KATIPUTH</t>
  </si>
  <si>
    <t>BANDAKA</t>
  </si>
  <si>
    <t>ATHOME</t>
  </si>
  <si>
    <t>OKUDA</t>
  </si>
  <si>
    <t>KOTIDANY CENTRAL</t>
  </si>
  <si>
    <t>KOTIDANY SOUTH</t>
  </si>
  <si>
    <t>ATUNGA</t>
  </si>
  <si>
    <t>OTALABAR EAST</t>
  </si>
  <si>
    <t>OTALABAR NEWLINE</t>
  </si>
  <si>
    <t>OCEKABUK</t>
  </si>
  <si>
    <t>OBUL</t>
  </si>
  <si>
    <t>OTALABAR CENTRAL</t>
  </si>
  <si>
    <t>OPEDUR</t>
  </si>
  <si>
    <t>ATUGO</t>
  </si>
  <si>
    <t>ABILLONYERO</t>
  </si>
  <si>
    <t>APOK</t>
  </si>
  <si>
    <t>KOPO</t>
  </si>
  <si>
    <t>ORYEOTYENE EAST</t>
  </si>
  <si>
    <t>APELKERE</t>
  </si>
  <si>
    <t xml:space="preserve">OTALABAR TRADING CENTRE </t>
  </si>
  <si>
    <t>KANYA -KANYA</t>
  </si>
  <si>
    <t>OTALABAR WEST</t>
  </si>
  <si>
    <t>ORYEOTYENE SOUTH</t>
  </si>
  <si>
    <t>ANYAPYEE</t>
  </si>
  <si>
    <t>ORYEOTYENE CENTRAL</t>
  </si>
  <si>
    <t>AYETHORO</t>
  </si>
  <si>
    <t>ABIM WARD</t>
  </si>
  <si>
    <t>LOCKEN</t>
  </si>
  <si>
    <t>ORYEOTYENE NORTH</t>
  </si>
  <si>
    <t>ABIM HOSPITAL</t>
  </si>
  <si>
    <t>ABIM WEST</t>
  </si>
  <si>
    <t>ANGWEE NORTH</t>
  </si>
  <si>
    <t>YENGLEMI NORTH</t>
  </si>
  <si>
    <t>ORINGOWELO</t>
  </si>
  <si>
    <t>YENGLEMI EAST</t>
  </si>
  <si>
    <t>ANGWEE SOUTH</t>
  </si>
  <si>
    <t>ABIM EAST</t>
  </si>
  <si>
    <t>AYWEE NORTH</t>
  </si>
  <si>
    <t>ABIM CENTRAL</t>
  </si>
  <si>
    <t>ABIM NORTH</t>
  </si>
  <si>
    <t>ENTEBBE</t>
  </si>
  <si>
    <t>ATWILO</t>
  </si>
  <si>
    <t>ATING SOUTH</t>
  </si>
  <si>
    <t>ATING NORTH</t>
  </si>
  <si>
    <t>WICERE</t>
  </si>
  <si>
    <t>DAGARONYA</t>
  </si>
  <si>
    <t>YENGLEMI WEST</t>
  </si>
  <si>
    <t>ORINGADINGA</t>
  </si>
  <si>
    <t>ABUK CELL</t>
  </si>
  <si>
    <t>OYARO CENTRAL</t>
  </si>
  <si>
    <t>AKADO WEST</t>
  </si>
  <si>
    <t>ABONGEDERO</t>
  </si>
  <si>
    <t>OYARO TRIANGLE</t>
  </si>
  <si>
    <t>AROO CELL</t>
  </si>
  <si>
    <t>AKADO EAST</t>
  </si>
  <si>
    <t>MISSION  CELL</t>
  </si>
  <si>
    <t>NYIKINYIKI</t>
  </si>
  <si>
    <t>AKADO SOUTH</t>
  </si>
  <si>
    <t>ACARAETHE CELL</t>
  </si>
  <si>
    <t>OYARO SOUTH</t>
  </si>
  <si>
    <t>OMORU CELL</t>
  </si>
  <si>
    <t>ORUM CELL</t>
  </si>
  <si>
    <t>AKADO CENTRAL</t>
  </si>
  <si>
    <t>OBANGNGEO WEST</t>
  </si>
  <si>
    <t>OBANGANGE EAST</t>
  </si>
  <si>
    <t>AYWEE SOUTH</t>
  </si>
  <si>
    <t>OBANGANGEO NORTH</t>
  </si>
  <si>
    <t>ALULA</t>
  </si>
  <si>
    <t>OYARO NORTH</t>
  </si>
  <si>
    <t>OBANGANGE SOUTH</t>
  </si>
  <si>
    <t>OYARO EAST</t>
  </si>
  <si>
    <t>RIAMRIAM</t>
  </si>
  <si>
    <t>AYWEE MODERN</t>
  </si>
  <si>
    <t>ACARAETHE EAST</t>
  </si>
  <si>
    <t>OYARO WEST</t>
  </si>
  <si>
    <t>OLIABONG</t>
  </si>
  <si>
    <t>ADWAL CENTRAL</t>
  </si>
  <si>
    <t>GILIGILI</t>
  </si>
  <si>
    <t>ANINATA CENTRAL</t>
  </si>
  <si>
    <t>ANYARAGWEL</t>
  </si>
  <si>
    <t>KAMURONO</t>
  </si>
  <si>
    <t>OBOKOLOTH</t>
  </si>
  <si>
    <t>ANINATA WEST</t>
  </si>
  <si>
    <t>ADAKOLOLITH</t>
  </si>
  <si>
    <t>AWEIRENG</t>
  </si>
  <si>
    <t>GEREGERE EAST</t>
  </si>
  <si>
    <t>ANINATA EAST</t>
  </si>
  <si>
    <t>ANINATA NORTH</t>
  </si>
  <si>
    <t xml:space="preserve">AROO </t>
  </si>
  <si>
    <t>AROO WEST</t>
  </si>
  <si>
    <t>ANINATA SOUTH</t>
  </si>
  <si>
    <t>OMUNGA</t>
  </si>
  <si>
    <t>AJUKUNA</t>
  </si>
  <si>
    <t>ADWAL WEST</t>
  </si>
  <si>
    <t>ADWAL NORTH</t>
  </si>
  <si>
    <t>GEGEREGERE NORTH</t>
  </si>
  <si>
    <t>GEGEREGERE SOUTH</t>
  </si>
  <si>
    <t>OBWORO</t>
  </si>
  <si>
    <t>APELKORI</t>
  </si>
  <si>
    <t>ANGICA</t>
  </si>
  <si>
    <t>AJWOKODINYO</t>
  </si>
  <si>
    <t>ANUKUNAM</t>
  </si>
  <si>
    <t>ADWAL EAST</t>
  </si>
  <si>
    <t>KACHUNGO</t>
  </si>
  <si>
    <t>AREMBWOLA WEST</t>
  </si>
  <si>
    <t>GANLENGO</t>
  </si>
  <si>
    <t>ALUGA</t>
  </si>
  <si>
    <t>AREBWOLA WEST APACH</t>
  </si>
  <si>
    <t>AREMBWOLA NORTH</t>
  </si>
  <si>
    <t>ANGIRO</t>
  </si>
  <si>
    <t>AREMBWOLA CENTRAL</t>
  </si>
  <si>
    <t>AREMBWOLA SOUTH</t>
  </si>
  <si>
    <t>AMITA</t>
  </si>
  <si>
    <t>OYOMPOLO</t>
  </si>
  <si>
    <t>AREMBWOLA EAST</t>
  </si>
  <si>
    <t>ABONGEPACH</t>
  </si>
  <si>
    <t>ALELES</t>
  </si>
  <si>
    <t>IKWOO</t>
  </si>
  <si>
    <t>ADEA WEST</t>
  </si>
  <si>
    <t>ALIR ORGINAL</t>
  </si>
  <si>
    <t>ADEA TRADING CENTER</t>
  </si>
  <si>
    <t>ADEA CENTRAL</t>
  </si>
  <si>
    <t>NYARKIDI</t>
  </si>
  <si>
    <t>ALIR</t>
  </si>
  <si>
    <t>AYEYE</t>
  </si>
  <si>
    <t>ABWOLOIT</t>
  </si>
  <si>
    <t>OLAROCAK CELL</t>
  </si>
  <si>
    <t>JUNIOR QUARTER</t>
  </si>
  <si>
    <t>AWOKOLEM MODERN</t>
  </si>
  <si>
    <t>HEALTH CENTRE CELL</t>
  </si>
  <si>
    <t>INDUSTRIAL AREA</t>
  </si>
  <si>
    <t>CEME SOUTH</t>
  </si>
  <si>
    <t>AWOKOLEM CELL</t>
  </si>
  <si>
    <t>CEME NORTH</t>
  </si>
  <si>
    <t>AWOKOLEM CENTRAL</t>
  </si>
  <si>
    <t>GURDON CELL</t>
  </si>
  <si>
    <t>ABEDO BER</t>
  </si>
  <si>
    <t>ABUK CENTRAL</t>
  </si>
  <si>
    <t>ABONGOJORE SOUTH</t>
  </si>
  <si>
    <t>MARKET SQUARE</t>
  </si>
  <si>
    <t>OREE CELL</t>
  </si>
  <si>
    <t>SENIOR QUARTER C</t>
  </si>
  <si>
    <t>ABUK HILL</t>
  </si>
  <si>
    <t>OREE EAST</t>
  </si>
  <si>
    <t>OREE WEST</t>
  </si>
  <si>
    <t>OBWOLO NORTH</t>
  </si>
  <si>
    <t>OLAROCAK EAST</t>
  </si>
  <si>
    <t>ARENGEKITHOE WEST</t>
  </si>
  <si>
    <t>SENIOR QUARTER B</t>
  </si>
  <si>
    <t>ABIM TECHNICAL INSTITUTE</t>
  </si>
  <si>
    <t>JLO</t>
  </si>
  <si>
    <t>SENIOR QUARTER A</t>
  </si>
  <si>
    <t>ABONGOJORE NORTH</t>
  </si>
  <si>
    <t>LENYA (OBOTE JAMES)</t>
  </si>
  <si>
    <t>LENYA (ALELUYA GODFREY)</t>
  </si>
  <si>
    <t>OSCAR BN</t>
  </si>
  <si>
    <t>AWOKOLEM URBAN</t>
  </si>
  <si>
    <t>NYIKINYIKI NORTH</t>
  </si>
  <si>
    <t>KANAN</t>
  </si>
  <si>
    <t>IBONGUSO</t>
  </si>
  <si>
    <t>KOCHOLO</t>
  </si>
  <si>
    <t>AOYATHOGO</t>
  </si>
  <si>
    <t>BAIJOBI</t>
  </si>
  <si>
    <t>ABOKATH</t>
  </si>
  <si>
    <t>ZION</t>
  </si>
  <si>
    <t>NAZARETH</t>
  </si>
  <si>
    <t>BULLA</t>
  </si>
  <si>
    <t>GEREGERE NORTH</t>
  </si>
  <si>
    <t>GEREGERE SOUTH</t>
  </si>
  <si>
    <t>NYIKINYIKI SOUTH</t>
  </si>
  <si>
    <t>KAKORIYANG</t>
  </si>
  <si>
    <t>AKOLIMUYA</t>
  </si>
  <si>
    <t>APEIPOPONG</t>
  </si>
  <si>
    <t>OPELECH</t>
  </si>
  <si>
    <t>JUNCTION</t>
  </si>
  <si>
    <t>LALA</t>
  </si>
  <si>
    <t>TERAMOTH</t>
  </si>
  <si>
    <t>ADIPALA</t>
  </si>
  <si>
    <t>OLULUNG</t>
  </si>
  <si>
    <t>ACANIKIK</t>
  </si>
  <si>
    <t>ATHEDER</t>
  </si>
  <si>
    <t>ANGADA</t>
  </si>
  <si>
    <t>AGURA RUKA</t>
  </si>
  <si>
    <t>ACHIEL</t>
  </si>
  <si>
    <t>KACHOMO</t>
  </si>
  <si>
    <t>TYENKWORO</t>
  </si>
  <si>
    <t>ABUR</t>
  </si>
  <si>
    <t>ROGOM CENTRAL</t>
  </si>
  <si>
    <t>OTHUTHUA</t>
  </si>
  <si>
    <t>KAPUNNABONG</t>
  </si>
  <si>
    <t>ORUKUMO</t>
  </si>
  <si>
    <t>OGWEL</t>
  </si>
  <si>
    <t>KATHEBAKUME</t>
  </si>
  <si>
    <t>AKUMAMER</t>
  </si>
  <si>
    <t>MORU HILL</t>
  </si>
  <si>
    <t>ORWAMUGE PRIMARY SCHOOL</t>
  </si>
  <si>
    <t>BAR-AYITHA</t>
  </si>
  <si>
    <t>ALEBTONG</t>
  </si>
  <si>
    <t>AKENGO PAMELA</t>
  </si>
  <si>
    <t>TYEN-OPOK TRADING CENTRE</t>
  </si>
  <si>
    <t>TYEN-OPOK NORTH</t>
  </si>
  <si>
    <t>LOKETO WEST</t>
  </si>
  <si>
    <t>BARTANGA WEST</t>
  </si>
  <si>
    <t xml:space="preserve">NADIKETH </t>
  </si>
  <si>
    <t>BARKALAM CELL</t>
  </si>
  <si>
    <t>LOTUKE NORTH</t>
  </si>
  <si>
    <t>BARTANGAE CENTRAL</t>
  </si>
  <si>
    <t>TYEN-OPOK SOUTH</t>
  </si>
  <si>
    <t>LOTUKE WEST CELL</t>
  </si>
  <si>
    <t>BARTANGA NORTH</t>
  </si>
  <si>
    <t>LOKETO EAST CELL</t>
  </si>
  <si>
    <t>BARTANGA SOUTH</t>
  </si>
  <si>
    <t xml:space="preserve">LOTUKE PRIMARY </t>
  </si>
  <si>
    <t>LOTUKE MIXED</t>
  </si>
  <si>
    <t>ARIDAI SOUTH</t>
  </si>
  <si>
    <t>ARIDAI NORTH</t>
  </si>
  <si>
    <t>LOTUKE TRADING CENTRE</t>
  </si>
  <si>
    <t>BARKALAM WEST</t>
  </si>
  <si>
    <t>BARTANGAE EAST</t>
  </si>
  <si>
    <t>YARA-YARA</t>
  </si>
  <si>
    <t>AMORUTUICAN</t>
  </si>
  <si>
    <t>KALEME</t>
  </si>
  <si>
    <t>LOTUKE SOUTH</t>
  </si>
  <si>
    <t>LOTUKE CENTRAL</t>
  </si>
  <si>
    <t>LOKETO TRADING CENTRE</t>
  </si>
  <si>
    <t>NADIKETH NORTH</t>
  </si>
  <si>
    <t>BARAPWOU</t>
  </si>
  <si>
    <t>BATANGA TRADING CENTRE</t>
  </si>
  <si>
    <t>BARTANBGA TRADING CENTRE</t>
  </si>
  <si>
    <t>ACHEKEMELU</t>
  </si>
  <si>
    <t>ORWAMUGE HCII CELL</t>
  </si>
  <si>
    <t>LOTUKE EAST</t>
  </si>
  <si>
    <t>KAKWETH NORTH</t>
  </si>
  <si>
    <t>BARKALAM EAST</t>
  </si>
  <si>
    <t>TYEN-OPOK EAST</t>
  </si>
  <si>
    <t>KAKWETH CELL</t>
  </si>
  <si>
    <t>AOJAPIRO</t>
  </si>
  <si>
    <t>ARENGEPUA NORTH</t>
  </si>
  <si>
    <t>GULONGER WEST</t>
  </si>
  <si>
    <t>KATABOK EAST</t>
  </si>
  <si>
    <t>KATABOK CENTRAL</t>
  </si>
  <si>
    <t>AKWANGAGWEL SOUTH</t>
  </si>
  <si>
    <t>GULONGER EAST</t>
  </si>
  <si>
    <t>LOBOYEA</t>
  </si>
  <si>
    <t>KATABOK TRADING CENTRE</t>
  </si>
  <si>
    <t>KATABOK WEST</t>
  </si>
  <si>
    <t>RACHKOKO SOUTH WEST</t>
  </si>
  <si>
    <t>LELALYEC</t>
  </si>
  <si>
    <t>RACHKOKO SOUTH EAST</t>
  </si>
  <si>
    <t>AKWANGAGWEL CENTRAL</t>
  </si>
  <si>
    <t>AKWANGAGWEL NORTH</t>
  </si>
  <si>
    <t>ODOLLO WEST</t>
  </si>
  <si>
    <t>RACHKOKO SOUTH</t>
  </si>
  <si>
    <t xml:space="preserve">RACHKOKO CENTRAL </t>
  </si>
  <si>
    <t>ODOLLO EAST</t>
  </si>
  <si>
    <t>RACHKOKO NORTH</t>
  </si>
  <si>
    <t>AJWACI NEWLINE</t>
  </si>
  <si>
    <t>ARENGEPUA SOUTH</t>
  </si>
  <si>
    <t>OMERODYEGI</t>
  </si>
  <si>
    <t>OMORU EAST</t>
  </si>
  <si>
    <t>ATEKINGOM</t>
  </si>
  <si>
    <t>OPONG PII</t>
  </si>
  <si>
    <t>AGWENG EAST</t>
  </si>
  <si>
    <t>ARYONONNYEN</t>
  </si>
  <si>
    <t>AGWENG WEST</t>
  </si>
  <si>
    <t>UMLONGE WEST</t>
  </si>
  <si>
    <t>UMLONGE SOUTH</t>
  </si>
  <si>
    <t>UMLONGE CELL</t>
  </si>
  <si>
    <t>LELAKEMER</t>
  </si>
  <si>
    <t>UMLONGE EAST</t>
  </si>
  <si>
    <t>OPEIDUKANITH</t>
  </si>
  <si>
    <t>OBANGAGEO</t>
  </si>
  <si>
    <t>OMORU CENTRAL</t>
  </si>
  <si>
    <t>ARYAMATIOLIM</t>
  </si>
  <si>
    <t>KAETHENG</t>
  </si>
  <si>
    <t>CUNGAPENYI</t>
  </si>
  <si>
    <t>OMORU WEST</t>
  </si>
  <si>
    <t>GULOPONO</t>
  </si>
  <si>
    <t>YWEEWIL</t>
  </si>
  <si>
    <t>WILELA CENTRAL II</t>
  </si>
  <si>
    <t>KINGO</t>
  </si>
  <si>
    <t>KANYALAKA NORTH</t>
  </si>
  <si>
    <t>WILELA CENTRAL I</t>
  </si>
  <si>
    <t>WILELA NORTH</t>
  </si>
  <si>
    <t>KANYALAKA SOUTH</t>
  </si>
  <si>
    <t>U.P LONDON</t>
  </si>
  <si>
    <t>WILELA SOUTH</t>
  </si>
  <si>
    <t xml:space="preserve">NYIKINYIKI </t>
  </si>
  <si>
    <t>AYWELU</t>
  </si>
  <si>
    <t>AREMO CENTRAL NORTH</t>
  </si>
  <si>
    <t>GOLGOTHA SOUTH</t>
  </si>
  <si>
    <t>OKONYOKECH</t>
  </si>
  <si>
    <t>ACHUKUDU</t>
  </si>
  <si>
    <t>AREMO SOUTH</t>
  </si>
  <si>
    <t>LOBOLWALA</t>
  </si>
  <si>
    <t>GOLGOTA  NORTH</t>
  </si>
  <si>
    <t>CANAAN</t>
  </si>
  <si>
    <t>GOLGOTA MAIN</t>
  </si>
  <si>
    <t>OGURPYEN</t>
  </si>
  <si>
    <t>CWAILAI</t>
  </si>
  <si>
    <t>UMKWORO</t>
  </si>
  <si>
    <t>RUKA CELL</t>
  </si>
  <si>
    <t>AGILE</t>
  </si>
  <si>
    <t>JUBA CELL</t>
  </si>
  <si>
    <t>AREMO NEWLINE</t>
  </si>
  <si>
    <t>AREMO CENTRAL CELL</t>
  </si>
  <si>
    <t>NEWLNE NORTH</t>
  </si>
  <si>
    <t>AKORIKITHA</t>
  </si>
  <si>
    <t>ST JOSEPH</t>
  </si>
  <si>
    <t>KATHIJWII</t>
  </si>
  <si>
    <t>BEDOBER</t>
  </si>
  <si>
    <t>AREMO EAST</t>
  </si>
  <si>
    <t>GULOBEDI</t>
  </si>
  <si>
    <t>AREM LOBOLWALA</t>
  </si>
  <si>
    <t>MISSION CELL</t>
  </si>
  <si>
    <t>NEWLINE CENTRAL</t>
  </si>
  <si>
    <t>BEDATA EAST</t>
  </si>
  <si>
    <t>OLIMLIM</t>
  </si>
  <si>
    <t>ABIL SOUTH</t>
  </si>
  <si>
    <t>ABIL NORTH</t>
  </si>
  <si>
    <t>BEDATA SOUTH</t>
  </si>
  <si>
    <t>DIC-PE WEST</t>
  </si>
  <si>
    <t>DIC-PE EAST</t>
  </si>
  <si>
    <t>ARWAKARA</t>
  </si>
  <si>
    <t>BEDATA WEST</t>
  </si>
  <si>
    <t>Parish</t>
  </si>
  <si>
    <t>Subcounty</t>
  </si>
  <si>
    <t>District</t>
  </si>
  <si>
    <t>Region</t>
  </si>
  <si>
    <t>Karamoja</t>
  </si>
  <si>
    <t>Karamjoja</t>
  </si>
  <si>
    <t>Nabilatuk District</t>
  </si>
  <si>
    <t>Namerisia</t>
  </si>
  <si>
    <t>Korinyang</t>
  </si>
  <si>
    <t>Sakaale</t>
  </si>
  <si>
    <t>Lolachat</t>
  </si>
  <si>
    <t>Lotaruk</t>
  </si>
  <si>
    <t>Nakuri</t>
  </si>
  <si>
    <t>Lorendedwat</t>
  </si>
  <si>
    <t>Nathinyonoit</t>
  </si>
  <si>
    <t>Kamaturu</t>
  </si>
  <si>
    <t>Kosike</t>
  </si>
  <si>
    <t>Kolokwameri</t>
  </si>
  <si>
    <t>Nataparengan</t>
  </si>
  <si>
    <t>Acegeretolim</t>
  </si>
  <si>
    <t>Nabilatuk SC</t>
  </si>
  <si>
    <t>Nabilatuk TC</t>
  </si>
  <si>
    <t>Central ward</t>
  </si>
  <si>
    <t>Naupala Cell</t>
  </si>
  <si>
    <t>Moruangibuin</t>
  </si>
  <si>
    <t>Nakobekobe</t>
  </si>
  <si>
    <t>Lokaala</t>
  </si>
  <si>
    <t>Nabulatuk SC</t>
  </si>
  <si>
    <t>Nakapiripirit District</t>
  </si>
  <si>
    <t>Lemusui</t>
  </si>
  <si>
    <t>Moruita</t>
  </si>
  <si>
    <t>Namalu</t>
  </si>
  <si>
    <t>Namatata</t>
  </si>
  <si>
    <t>Tokora</t>
  </si>
  <si>
    <t>Okwapon</t>
  </si>
  <si>
    <t>Nadip</t>
  </si>
  <si>
    <t>Namorotot</t>
  </si>
  <si>
    <t>Loperot</t>
  </si>
  <si>
    <t>Kaawach</t>
  </si>
  <si>
    <t>Kaiku</t>
  </si>
  <si>
    <t>Moruajore</t>
  </si>
  <si>
    <t>Nabore</t>
  </si>
  <si>
    <t xml:space="preserve">Karinga </t>
  </si>
  <si>
    <t>Mourita</t>
  </si>
  <si>
    <t>Komaret</t>
  </si>
  <si>
    <t>Naturum</t>
  </si>
  <si>
    <t>Loregae</t>
  </si>
  <si>
    <t>Lomorimori</t>
  </si>
  <si>
    <t>Alamacar</t>
  </si>
  <si>
    <t xml:space="preserve">Loreng </t>
  </si>
  <si>
    <t>Loasam</t>
  </si>
  <si>
    <t>Lomuu/Lobulio</t>
  </si>
  <si>
    <t>Nabolith</t>
  </si>
  <si>
    <t>Kakomongole</t>
  </si>
  <si>
    <t xml:space="preserve">Akuyam </t>
  </si>
  <si>
    <t>Amudat District</t>
  </si>
  <si>
    <t>Alakas</t>
  </si>
  <si>
    <t>Amudat</t>
  </si>
  <si>
    <t xml:space="preserve">Chepongos </t>
  </si>
  <si>
    <t>Nabokotom</t>
  </si>
  <si>
    <t>Lomerai</t>
  </si>
  <si>
    <t>Achorichor</t>
  </si>
  <si>
    <t>Iwakai</t>
  </si>
  <si>
    <t>Abongai</t>
  </si>
  <si>
    <t>Karita</t>
  </si>
  <si>
    <t>Naporokocha</t>
  </si>
  <si>
    <t>Arol</t>
  </si>
  <si>
    <t>Karita TC</t>
  </si>
  <si>
    <t>Taparak</t>
  </si>
  <si>
    <t>Chemoning A</t>
  </si>
  <si>
    <t xml:space="preserve">Karita </t>
  </si>
  <si>
    <t>Lomeuta B</t>
  </si>
  <si>
    <t>Senior Quarters</t>
  </si>
  <si>
    <t xml:space="preserve">Arol </t>
  </si>
  <si>
    <t>Losidok</t>
  </si>
  <si>
    <t xml:space="preserve">Lokoma </t>
  </si>
  <si>
    <t>Arukanes</t>
  </si>
  <si>
    <t>Lokales</t>
  </si>
  <si>
    <t xml:space="preserve">Dingdinga  </t>
  </si>
  <si>
    <t>Kapetwoi</t>
  </si>
  <si>
    <t>Motany</t>
  </si>
  <si>
    <t xml:space="preserve">Motany </t>
  </si>
  <si>
    <t>Moruakuruk</t>
  </si>
  <si>
    <t>Cheptapoyo</t>
  </si>
  <si>
    <t>Loroo</t>
  </si>
  <si>
    <t>Loborokocha</t>
  </si>
  <si>
    <t>Namosing</t>
  </si>
  <si>
    <t>Kongorok</t>
  </si>
  <si>
    <t>Anguruma</t>
  </si>
  <si>
    <t>Nakonyen</t>
  </si>
  <si>
    <t>Abiliyep</t>
  </si>
  <si>
    <t>Loyep</t>
  </si>
  <si>
    <t>Akorikeya</t>
  </si>
  <si>
    <t>Amudat Town Council</t>
  </si>
  <si>
    <t>Jumbe Ward</t>
  </si>
  <si>
    <t>Lochengenge Ward</t>
  </si>
  <si>
    <t>Kalas Ward</t>
  </si>
  <si>
    <t>Tingas Ward</t>
  </si>
  <si>
    <t xml:space="preserve">Amudat  </t>
  </si>
  <si>
    <t xml:space="preserve">Amudat </t>
  </si>
  <si>
    <t xml:space="preserve">Naremit </t>
  </si>
  <si>
    <t>Nabotokom</t>
  </si>
  <si>
    <t>Ngongosowon</t>
  </si>
  <si>
    <t xml:space="preserve">Karamoja </t>
  </si>
  <si>
    <t>Napak District</t>
  </si>
  <si>
    <t>Nabwal</t>
  </si>
  <si>
    <t>Amedek</t>
  </si>
  <si>
    <t>Narengekitoe</t>
  </si>
  <si>
    <t>Kaingatuk</t>
  </si>
  <si>
    <t xml:space="preserve">Nakichumet </t>
  </si>
  <si>
    <t>Matany subcounty</t>
  </si>
  <si>
    <t>Poron</t>
  </si>
  <si>
    <t>Komuturunyo</t>
  </si>
  <si>
    <t>Iriiri Parish</t>
  </si>
  <si>
    <t>Iriiri</t>
  </si>
  <si>
    <t>Lotome</t>
  </si>
  <si>
    <t>Kalokengel East</t>
  </si>
  <si>
    <t>Naitakwae</t>
  </si>
  <si>
    <t xml:space="preserve">Ngoleriet </t>
  </si>
  <si>
    <t>Ngoleriet</t>
  </si>
  <si>
    <t>Kalokengel West</t>
  </si>
  <si>
    <t>Lokiteded TC</t>
  </si>
  <si>
    <t>Apungure</t>
  </si>
  <si>
    <t>Dartics</t>
  </si>
  <si>
    <t>Lokopo</t>
  </si>
  <si>
    <t>Akalale</t>
  </si>
  <si>
    <t>Lopeei</t>
  </si>
  <si>
    <t>Lokudumo</t>
  </si>
  <si>
    <t>Lorengecora</t>
  </si>
  <si>
    <t>Lorengecora Ward B</t>
  </si>
  <si>
    <t xml:space="preserve">Napak Town council </t>
  </si>
  <si>
    <t>Lopapai</t>
  </si>
  <si>
    <t>Lorengecora Ward A</t>
  </si>
  <si>
    <t>Kopopwa Ward A</t>
  </si>
  <si>
    <t>Kopopwa Ward B</t>
  </si>
  <si>
    <t>Nariamaregae</t>
  </si>
  <si>
    <t>Lomuno</t>
  </si>
  <si>
    <t>Matany TC West</t>
  </si>
  <si>
    <t>Kololo</t>
  </si>
  <si>
    <t>Matany TC East</t>
  </si>
  <si>
    <t>Napeipelu</t>
  </si>
  <si>
    <t>Lokali</t>
  </si>
  <si>
    <t>Matany Subcounty</t>
  </si>
  <si>
    <t>Matany Town Council</t>
  </si>
  <si>
    <t>Nakichumet</t>
  </si>
  <si>
    <t>Lokuwas</t>
  </si>
  <si>
    <t xml:space="preserve">Morulinga </t>
  </si>
  <si>
    <t>Duol</t>
  </si>
  <si>
    <t xml:space="preserve">Naminit </t>
  </si>
  <si>
    <t>Tepeth</t>
  </si>
  <si>
    <t>Kautakou</t>
  </si>
  <si>
    <t>Nawaikorot</t>
  </si>
  <si>
    <t>Naguleangolol</t>
  </si>
  <si>
    <t>Narengemoru</t>
  </si>
  <si>
    <t>Abim District</t>
  </si>
  <si>
    <t>Opopongo</t>
  </si>
  <si>
    <t>Katala</t>
  </si>
  <si>
    <t>Nuthu</t>
  </si>
  <si>
    <t>Amale</t>
  </si>
  <si>
    <t>Loka</t>
  </si>
  <si>
    <t>Lotuke Subcounty</t>
  </si>
  <si>
    <t>Gulopono</t>
  </si>
  <si>
    <t>Gangming</t>
  </si>
  <si>
    <t>Orwamuge T/C</t>
  </si>
  <si>
    <t>Achangali</t>
  </si>
  <si>
    <t>Kathimongor</t>
  </si>
  <si>
    <t>Alerek Sub County</t>
  </si>
  <si>
    <t>Kulodwong</t>
  </si>
  <si>
    <t>Loyoroit</t>
  </si>
  <si>
    <t>Olem</t>
  </si>
  <si>
    <t>Ochom</t>
  </si>
  <si>
    <t>Kawang</t>
  </si>
  <si>
    <t>Alerek Town Council</t>
  </si>
  <si>
    <t>Otumpili</t>
  </si>
  <si>
    <t>University</t>
  </si>
  <si>
    <t>Awach Sub County</t>
  </si>
  <si>
    <t>Awach</t>
  </si>
  <si>
    <t>Barlyech</t>
  </si>
  <si>
    <t>Gotapwou</t>
  </si>
  <si>
    <t>Oporoth</t>
  </si>
  <si>
    <t>Camkok</t>
  </si>
  <si>
    <t>Angorom</t>
  </si>
  <si>
    <t>Kothidany</t>
  </si>
  <si>
    <t xml:space="preserve">Okililing </t>
  </si>
  <si>
    <t xml:space="preserve">Atunga </t>
  </si>
  <si>
    <t>Apok</t>
  </si>
  <si>
    <t>Oryeotyene</t>
  </si>
  <si>
    <t>Otalabar</t>
  </si>
  <si>
    <t>Atunga</t>
  </si>
  <si>
    <t>Waiwer</t>
  </si>
  <si>
    <t>Angwee</t>
  </si>
  <si>
    <t>Oringowelo</t>
  </si>
  <si>
    <t>Agwata</t>
  </si>
  <si>
    <t>Abim Town Council</t>
  </si>
  <si>
    <t>Aywee</t>
  </si>
  <si>
    <t>Oyaro</t>
  </si>
  <si>
    <t>Oliabong</t>
  </si>
  <si>
    <t>Kalakala</t>
  </si>
  <si>
    <t>Kiru</t>
  </si>
  <si>
    <t xml:space="preserve">Kiru Town Council </t>
  </si>
  <si>
    <t>Adwal</t>
  </si>
  <si>
    <t>Aninata</t>
  </si>
  <si>
    <t>Kanu</t>
  </si>
  <si>
    <t>Oima</t>
  </si>
  <si>
    <t>Abim Sub County</t>
  </si>
  <si>
    <t>Abongepac</t>
  </si>
  <si>
    <t>Arembwola</t>
  </si>
  <si>
    <t>Adea</t>
  </si>
  <si>
    <t>Morulem Sub County</t>
  </si>
  <si>
    <t>Ceeme Ward</t>
  </si>
  <si>
    <t>Oree</t>
  </si>
  <si>
    <t>Awokolem</t>
  </si>
  <si>
    <t>Abuk</t>
  </si>
  <si>
    <t>District Headquaters</t>
  </si>
  <si>
    <t>Arengekithoi</t>
  </si>
  <si>
    <t>Abuk Town Council</t>
  </si>
  <si>
    <t>Oreta</t>
  </si>
  <si>
    <t>Nyakwae</t>
  </si>
  <si>
    <t>Pupukamuya</t>
  </si>
  <si>
    <t>Rogom</t>
  </si>
  <si>
    <t>Okimia</t>
  </si>
  <si>
    <t>Kathebakume</t>
  </si>
  <si>
    <t>Orwamuge</t>
  </si>
  <si>
    <t>Orwamuge Town Council</t>
  </si>
  <si>
    <t>Kakweth</t>
  </si>
  <si>
    <t xml:space="preserve">Bartanga </t>
  </si>
  <si>
    <t>Aridai Ward</t>
  </si>
  <si>
    <t>Aojapiro</t>
  </si>
  <si>
    <t>Aridai Parish</t>
  </si>
  <si>
    <t>Lotuke Sub County</t>
  </si>
  <si>
    <t>Yarayara</t>
  </si>
  <si>
    <t>Gulonger</t>
  </si>
  <si>
    <t>Morulem Town Council</t>
  </si>
  <si>
    <t>Akwangagwel</t>
  </si>
  <si>
    <t>Odollo</t>
  </si>
  <si>
    <t>Katabok West</t>
  </si>
  <si>
    <t>Morulem sub County</t>
  </si>
  <si>
    <t>Katabok East</t>
  </si>
  <si>
    <t>Obolokome</t>
  </si>
  <si>
    <t>Angolebwal East</t>
  </si>
  <si>
    <t>Angolebwal West</t>
  </si>
  <si>
    <t>Angolebwal</t>
  </si>
  <si>
    <t>Monyanga</t>
  </si>
  <si>
    <t>Wilela</t>
  </si>
  <si>
    <t>Kola</t>
  </si>
  <si>
    <t>Magamaga Sub County</t>
  </si>
  <si>
    <t>Aremo</t>
  </si>
  <si>
    <t>Lobolwala</t>
  </si>
  <si>
    <t xml:space="preserve">Ruka </t>
  </si>
  <si>
    <t>Acwa</t>
  </si>
  <si>
    <t>Koya</t>
  </si>
  <si>
    <t>Gulotworo</t>
  </si>
  <si>
    <t>Nakapiriprit TC</t>
  </si>
  <si>
    <t>No.</t>
  </si>
  <si>
    <t>Alakas Health Centre II</t>
  </si>
  <si>
    <t>Amudat Health Centre II</t>
  </si>
  <si>
    <t>Achorichor Health Centre II</t>
  </si>
  <si>
    <t>Karita Health Centre III</t>
  </si>
  <si>
    <t>Katabok Health Centre II</t>
  </si>
  <si>
    <t>Lokales Health Centre II</t>
  </si>
  <si>
    <t>Cheptapoyo Health Centre II</t>
  </si>
  <si>
    <t>Loroo Health Centre III</t>
  </si>
  <si>
    <t>Kongorok Health Centre II</t>
  </si>
  <si>
    <t>Abiliyep Health Centre II</t>
  </si>
  <si>
    <t>Amudat Hospital</t>
  </si>
  <si>
    <t>Kosike Heakth Centre III</t>
  </si>
  <si>
    <t>Health Centre</t>
  </si>
  <si>
    <t xml:space="preserve">Number of children Received SPAQ </t>
  </si>
  <si>
    <t>Apeitorium</t>
  </si>
  <si>
    <t>Kalokengel</t>
  </si>
  <si>
    <t>Lokiteded</t>
  </si>
  <si>
    <t>Matany</t>
  </si>
  <si>
    <t>Morulinga</t>
  </si>
  <si>
    <t>Naturumrum</t>
  </si>
  <si>
    <t>Health centre</t>
  </si>
  <si>
    <t>Opopongo Health Centre II</t>
  </si>
  <si>
    <t>Gangming Health Centre II</t>
  </si>
  <si>
    <t>Aleker Health Centre III</t>
  </si>
  <si>
    <t>Awach Health Centre III</t>
  </si>
  <si>
    <t>Aleker (Camok) Health Centre II</t>
  </si>
  <si>
    <t>Atunga Health Centre II</t>
  </si>
  <si>
    <t>Abim Hospital</t>
  </si>
  <si>
    <t>Kiru Health Centre II</t>
  </si>
  <si>
    <t>Kanu Health Centre II</t>
  </si>
  <si>
    <t>Arembwola Health Centre II</t>
  </si>
  <si>
    <t>Adea Health Centre II</t>
  </si>
  <si>
    <t>509BDE Health Centre III</t>
  </si>
  <si>
    <t>Oreta Health Centre II</t>
  </si>
  <si>
    <t>Pupukamuya Health Centre II</t>
  </si>
  <si>
    <t>Nyakwae Health Centre III</t>
  </si>
  <si>
    <t>Orwamuge Health Centre III</t>
  </si>
  <si>
    <t>Obokolome Health Centre II</t>
  </si>
  <si>
    <t>Wilela Health Centre II</t>
  </si>
  <si>
    <t>Morulem Health Centre III</t>
  </si>
  <si>
    <t>Koya Health Centre II</t>
  </si>
  <si>
    <t>Arengetooi West</t>
  </si>
  <si>
    <t>Obwollo South</t>
  </si>
  <si>
    <t>Ajwaji Mordern</t>
  </si>
  <si>
    <t>Barkalam East</t>
  </si>
  <si>
    <t>Nssbore</t>
  </si>
  <si>
    <t>Nakaramwae</t>
  </si>
  <si>
    <t>Arengepua</t>
  </si>
  <si>
    <t>Kapedaupal</t>
  </si>
  <si>
    <t>Nawayorokoromoe</t>
  </si>
  <si>
    <t>Loregecora ward B</t>
  </si>
  <si>
    <t>Koputiro</t>
  </si>
  <si>
    <t>Nakewat</t>
  </si>
  <si>
    <t>Kabichurwa</t>
  </si>
  <si>
    <t>Kalokiduk</t>
  </si>
  <si>
    <t>Lobulemojong</t>
  </si>
  <si>
    <t>Lodokei</t>
  </si>
  <si>
    <t>Lokitelaangitak</t>
  </si>
  <si>
    <t>Akadon</t>
  </si>
  <si>
    <t>Nangirongole</t>
  </si>
  <si>
    <t>NABILATUK  DISTRICT</t>
  </si>
  <si>
    <t>NUMBER OF CHILDREN TARGETED</t>
  </si>
  <si>
    <t>3  – &lt;12 MONTHS</t>
  </si>
  <si>
    <t>12  –  59 MONTHS</t>
  </si>
  <si>
    <t>TARGETED</t>
  </si>
  <si>
    <t>nakoit</t>
  </si>
  <si>
    <t>Arengesepie ward</t>
  </si>
  <si>
    <t>Village</t>
  </si>
  <si>
    <t>Karenga</t>
  </si>
  <si>
    <t>Kawalakol</t>
  </si>
  <si>
    <t>Kolele</t>
  </si>
  <si>
    <t>Moru-arengan</t>
  </si>
  <si>
    <t>Naoyagum</t>
  </si>
  <si>
    <t>Nakidiir</t>
  </si>
  <si>
    <t>Kackochil</t>
  </si>
  <si>
    <t>Nagolopak</t>
  </si>
  <si>
    <t>Lokosimaliti</t>
  </si>
  <si>
    <t>Nakirias</t>
  </si>
  <si>
    <t>Kawalakol Central</t>
  </si>
  <si>
    <t>Kokoro</t>
  </si>
  <si>
    <t>Morunyang</t>
  </si>
  <si>
    <t>Nangolechuwa</t>
  </si>
  <si>
    <t>Nakapengitenga</t>
  </si>
  <si>
    <t>Lopeeru</t>
  </si>
  <si>
    <t>Natinganyeri</t>
  </si>
  <si>
    <t>Lomaram</t>
  </si>
  <si>
    <t>Napusinmoru</t>
  </si>
  <si>
    <t>Lamonok</t>
  </si>
  <si>
    <t>Lopokor</t>
  </si>
  <si>
    <t>Lopelipel</t>
  </si>
  <si>
    <t>Loputuk</t>
  </si>
  <si>
    <t>Naadoi</t>
  </si>
  <si>
    <t>Naurutochom</t>
  </si>
  <si>
    <t>Morungole</t>
  </si>
  <si>
    <t>Dangasil</t>
  </si>
  <si>
    <t>Lomej</t>
  </si>
  <si>
    <t>Nakodiokodio</t>
  </si>
  <si>
    <t>Namatenge</t>
  </si>
  <si>
    <t>Lomarok</t>
  </si>
  <si>
    <t>Lobele</t>
  </si>
  <si>
    <t>Kalokori Village</t>
  </si>
  <si>
    <t>Matakwar</t>
  </si>
  <si>
    <t>Lokodope</t>
  </si>
  <si>
    <t>Morulem</t>
  </si>
  <si>
    <t>Sangar</t>
  </si>
  <si>
    <t>Sangar A</t>
  </si>
  <si>
    <t>Golopak 2</t>
  </si>
  <si>
    <t>Lowakuj</t>
  </si>
  <si>
    <t>Nangaan</t>
  </si>
  <si>
    <t>Naoyase</t>
  </si>
  <si>
    <t>Napetaoi</t>
  </si>
  <si>
    <t>Tore</t>
  </si>
  <si>
    <t>Sangar B</t>
  </si>
  <si>
    <t>Kalanyakori</t>
  </si>
  <si>
    <t>Lomoniyolo</t>
  </si>
  <si>
    <t>Nagelem</t>
  </si>
  <si>
    <t>Nangolemoru</t>
  </si>
  <si>
    <t>Nariwogum</t>
  </si>
  <si>
    <t>Nariwose</t>
  </si>
  <si>
    <t>Sokodokan</t>
  </si>
  <si>
    <t>Lokial</t>
  </si>
  <si>
    <t>Longerep</t>
  </si>
  <si>
    <t>Nagara</t>
  </si>
  <si>
    <t>Nakwayelel</t>
  </si>
  <si>
    <t>Tuliangokwo</t>
  </si>
  <si>
    <t>Lokwamoru</t>
  </si>
  <si>
    <t>Nakitemiey</t>
  </si>
  <si>
    <t>Kumet</t>
  </si>
  <si>
    <t>Loesemudang</t>
  </si>
  <si>
    <t xml:space="preserve">Nabas </t>
  </si>
  <si>
    <t>Nachukul</t>
  </si>
  <si>
    <t>Napook</t>
  </si>
  <si>
    <t>Narengepuwa</t>
  </si>
  <si>
    <t>Nasokodose</t>
  </si>
  <si>
    <t>Kalokeny</t>
  </si>
  <si>
    <t>Daisik</t>
  </si>
  <si>
    <t>Lokasangate</t>
  </si>
  <si>
    <t>Lomodoch</t>
  </si>
  <si>
    <t>Lopwa</t>
  </si>
  <si>
    <t>Nakunguroit</t>
  </si>
  <si>
    <t>Naporukolong</t>
  </si>
  <si>
    <t>Narochom</t>
  </si>
  <si>
    <t>Tunlianyang</t>
  </si>
  <si>
    <t>Nabolo Center 1</t>
  </si>
  <si>
    <t>Napetaoi II</t>
  </si>
  <si>
    <t>Golapak I</t>
  </si>
  <si>
    <t>Lolikan</t>
  </si>
  <si>
    <t>Lorengechora</t>
  </si>
  <si>
    <t>Lorobrob</t>
  </si>
  <si>
    <t>Lotoukoroe</t>
  </si>
  <si>
    <t>Kapedo Town Council</t>
  </si>
  <si>
    <t>Kalimon</t>
  </si>
  <si>
    <t>Itanyia</t>
  </si>
  <si>
    <t>Itanyia South</t>
  </si>
  <si>
    <t>Kanyikwar</t>
  </si>
  <si>
    <t>Libanya</t>
  </si>
  <si>
    <t>Lira</t>
  </si>
  <si>
    <t>Loyoro</t>
  </si>
  <si>
    <t>Nalech</t>
  </si>
  <si>
    <t>Kapedo</t>
  </si>
  <si>
    <t>Lokumoit</t>
  </si>
  <si>
    <t>KDA</t>
  </si>
  <si>
    <t xml:space="preserve">Kololo </t>
  </si>
  <si>
    <t>Kololo Kraals</t>
  </si>
  <si>
    <t>Mogos</t>
  </si>
  <si>
    <t>Napiria</t>
  </si>
  <si>
    <t>Nasinyonoit East</t>
  </si>
  <si>
    <t>Nasinyonoit West.</t>
  </si>
  <si>
    <t>New Kapedo</t>
  </si>
  <si>
    <t>Nakorichokei</t>
  </si>
  <si>
    <t>Nakorichoke (Loit)</t>
  </si>
  <si>
    <t>Nangolechwa</t>
  </si>
  <si>
    <t>Napeidukai</t>
  </si>
  <si>
    <t>Kakwanga</t>
  </si>
  <si>
    <t>Kakwanga Central</t>
  </si>
  <si>
    <t>Kanyagor</t>
  </si>
  <si>
    <t>Lokipie</t>
  </si>
  <si>
    <t>Nakorwa</t>
  </si>
  <si>
    <t>Naryonomor</t>
  </si>
  <si>
    <t>Lomaler</t>
  </si>
  <si>
    <t>Loitareng</t>
  </si>
  <si>
    <t>Lopuwa</t>
  </si>
  <si>
    <t>Pocho</t>
  </si>
  <si>
    <t>Todir</t>
  </si>
  <si>
    <t>Naesekapel</t>
  </si>
  <si>
    <t>Lemukoroi</t>
  </si>
  <si>
    <t>Naesekapel South</t>
  </si>
  <si>
    <t>Natemo</t>
  </si>
  <si>
    <t>Karenga Sc</t>
  </si>
  <si>
    <t>Geremech</t>
  </si>
  <si>
    <t>Loitanit</t>
  </si>
  <si>
    <t>Lokiito</t>
  </si>
  <si>
    <t>Loyoro Central</t>
  </si>
  <si>
    <t>Loyoro North</t>
  </si>
  <si>
    <t>Karenga Town Council</t>
  </si>
  <si>
    <t>Church of Uganda</t>
  </si>
  <si>
    <t>Kangole Central</t>
  </si>
  <si>
    <t>Kangole North</t>
  </si>
  <si>
    <t>Kangole South</t>
  </si>
  <si>
    <t>Lorwama</t>
  </si>
  <si>
    <t>Kamukoi Central</t>
  </si>
  <si>
    <t xml:space="preserve">Kamukoi North </t>
  </si>
  <si>
    <t xml:space="preserve">Lokapode </t>
  </si>
  <si>
    <t>Telel</t>
  </si>
  <si>
    <t>Wapakiru</t>
  </si>
  <si>
    <t>Kathil</t>
  </si>
  <si>
    <t>Kamukoi South</t>
  </si>
  <si>
    <t>Nalemoru</t>
  </si>
  <si>
    <t>New Karenga</t>
  </si>
  <si>
    <t>Loyoro South</t>
  </si>
  <si>
    <t>Napeikori East</t>
  </si>
  <si>
    <t>Napeikori West</t>
  </si>
  <si>
    <t>Lokori</t>
  </si>
  <si>
    <t>Kidepo</t>
  </si>
  <si>
    <t xml:space="preserve">Geremech </t>
  </si>
  <si>
    <t>Kangole Green Bar</t>
  </si>
  <si>
    <t>Loika</t>
  </si>
  <si>
    <t>Kidepo Town Council</t>
  </si>
  <si>
    <t>Kokolio</t>
  </si>
  <si>
    <t>Lorukul North</t>
  </si>
  <si>
    <t>Lorukul South</t>
  </si>
  <si>
    <t>Lowatar Ward</t>
  </si>
  <si>
    <t>Napeikar</t>
  </si>
  <si>
    <t>Lokito</t>
  </si>
  <si>
    <t>Nakitoit North</t>
  </si>
  <si>
    <t>Nataaba</t>
  </si>
  <si>
    <t>Nakitoit South</t>
  </si>
  <si>
    <t>Lemukiel</t>
  </si>
  <si>
    <t>Loukomor</t>
  </si>
  <si>
    <t>Tulelo</t>
  </si>
  <si>
    <t>Nakunguriot</t>
  </si>
  <si>
    <t>Semukoi</t>
  </si>
  <si>
    <t>Lotipwal</t>
  </si>
  <si>
    <t>Loritit</t>
  </si>
  <si>
    <t>Nataba Alokure</t>
  </si>
  <si>
    <t>Loukose</t>
  </si>
  <si>
    <t>Nakisimoe</t>
  </si>
  <si>
    <t>Lobalangit</t>
  </si>
  <si>
    <t>Lobalangit Central</t>
  </si>
  <si>
    <t>Lobalangit main</t>
  </si>
  <si>
    <t>Lodwari</t>
  </si>
  <si>
    <t>Lorutam</t>
  </si>
  <si>
    <t>Nagolopak Main</t>
  </si>
  <si>
    <t>Nagolopak South</t>
  </si>
  <si>
    <t>Lodapal</t>
  </si>
  <si>
    <t>Kakira</t>
  </si>
  <si>
    <t>Naoyaro</t>
  </si>
  <si>
    <t>Teus</t>
  </si>
  <si>
    <t>Nakelio</t>
  </si>
  <si>
    <t>Didit</t>
  </si>
  <si>
    <t>Kariamangorok</t>
  </si>
  <si>
    <t>Lokapuke East</t>
  </si>
  <si>
    <t>Lokapuke West</t>
  </si>
  <si>
    <t>Nakelio North</t>
  </si>
  <si>
    <t>Nakelio South</t>
  </si>
  <si>
    <t>Nawara</t>
  </si>
  <si>
    <t>Sarachom</t>
  </si>
  <si>
    <t>Kamarinyang</t>
  </si>
  <si>
    <t>Lokwakinei</t>
  </si>
  <si>
    <t>Lokwangkir</t>
  </si>
  <si>
    <t>Lomisinik</t>
  </si>
  <si>
    <t>Lopet</t>
  </si>
  <si>
    <t>Puda</t>
  </si>
  <si>
    <t>Sarachom Central</t>
  </si>
  <si>
    <t>Kachapangole</t>
  </si>
  <si>
    <t>Kailungo</t>
  </si>
  <si>
    <t>Kakuruk</t>
  </si>
  <si>
    <t>Lokori Central</t>
  </si>
  <si>
    <t>Lopian</t>
  </si>
  <si>
    <t>Nabeteleng</t>
  </si>
  <si>
    <t>Opoti pot</t>
  </si>
  <si>
    <t>Dukole</t>
  </si>
  <si>
    <t>Kalokudo</t>
  </si>
  <si>
    <t>Lochwangalem</t>
  </si>
  <si>
    <t>Lokabanya</t>
  </si>
  <si>
    <t>Lokuyon</t>
  </si>
  <si>
    <t>Opot-Opot</t>
  </si>
  <si>
    <t>Longoletyanga</t>
  </si>
  <si>
    <t>Lomanok South</t>
  </si>
  <si>
    <t>Lomanok North</t>
  </si>
  <si>
    <t>Longoletyanga South</t>
  </si>
  <si>
    <t>Longoletyanga North</t>
  </si>
  <si>
    <t>Pire</t>
  </si>
  <si>
    <t>Nakungurit</t>
  </si>
  <si>
    <t>Nariupwal</t>
  </si>
  <si>
    <t>Pire Village</t>
  </si>
  <si>
    <t>Pire Central</t>
  </si>
  <si>
    <t>Guruma</t>
  </si>
  <si>
    <t>Katakwii</t>
  </si>
  <si>
    <t>Katanya</t>
  </si>
  <si>
    <t>Mening</t>
  </si>
  <si>
    <t>Nariwore</t>
  </si>
  <si>
    <t>Komem</t>
  </si>
  <si>
    <t>Kariwonyang</t>
  </si>
  <si>
    <t>Lotiamor</t>
  </si>
  <si>
    <t>Lotiese</t>
  </si>
  <si>
    <t>Nabutera</t>
  </si>
  <si>
    <t>Napak</t>
  </si>
  <si>
    <t>Komolicher</t>
  </si>
  <si>
    <t>Kaachomin</t>
  </si>
  <si>
    <t>Komolicher Central</t>
  </si>
  <si>
    <t>Lobeluna</t>
  </si>
  <si>
    <t>Lokudul</t>
  </si>
  <si>
    <t>Lomekede</t>
  </si>
  <si>
    <t>Loridid</t>
  </si>
  <si>
    <t>Losigiria</t>
  </si>
  <si>
    <t>Lowala</t>
  </si>
  <si>
    <t>Kotido</t>
  </si>
  <si>
    <t>Kacheri</t>
  </si>
  <si>
    <t xml:space="preserve"> Kacheri</t>
  </si>
  <si>
    <t>Lokorwa</t>
  </si>
  <si>
    <t>Lopetae</t>
  </si>
  <si>
    <t>Lopurukapet</t>
  </si>
  <si>
    <t>Moru-Anang</t>
  </si>
  <si>
    <t>Namukur</t>
  </si>
  <si>
    <t xml:space="preserve">Nasinyon </t>
  </si>
  <si>
    <t xml:space="preserve">Nakapelimo </t>
  </si>
  <si>
    <t>405 Brigade</t>
  </si>
  <si>
    <t>Brigade</t>
  </si>
  <si>
    <t>South Division</t>
  </si>
  <si>
    <t>Central Ward</t>
  </si>
  <si>
    <t>Kapadakook South</t>
  </si>
  <si>
    <t>Kapadakook Central</t>
  </si>
  <si>
    <t>Kapadakook East</t>
  </si>
  <si>
    <t>Kapadakook North</t>
  </si>
  <si>
    <t>Kapadakook West</t>
  </si>
  <si>
    <t>Napumpum</t>
  </si>
  <si>
    <t>Itakwara</t>
  </si>
  <si>
    <t>Kobuin</t>
  </si>
  <si>
    <t>Lokitela-Arengan</t>
  </si>
  <si>
    <t xml:space="preserve">Panyangara </t>
  </si>
  <si>
    <t>Jimos</t>
  </si>
  <si>
    <t>Jimos Naroo</t>
  </si>
  <si>
    <t>Jie Lolelia</t>
  </si>
  <si>
    <t>Kolaride</t>
  </si>
  <si>
    <t>Lolelia</t>
  </si>
  <si>
    <t>Muledo</t>
  </si>
  <si>
    <t>Munyokech</t>
  </si>
  <si>
    <t>Kanair</t>
  </si>
  <si>
    <t>Kadocha</t>
  </si>
  <si>
    <t>Kalekori</t>
  </si>
  <si>
    <t>Kareu</t>
  </si>
  <si>
    <t>Loriu</t>
  </si>
  <si>
    <t>Kadokini Ward</t>
  </si>
  <si>
    <t>Kadokin Central</t>
  </si>
  <si>
    <t>Kadokin East</t>
  </si>
  <si>
    <t>Kadokini West</t>
  </si>
  <si>
    <t>Kapuyon</t>
  </si>
  <si>
    <t>Nakapelimoru</t>
  </si>
  <si>
    <t>Kaileny</t>
  </si>
  <si>
    <t>Kailong</t>
  </si>
  <si>
    <t>Namoruakwaan</t>
  </si>
  <si>
    <t>Kacheri Town Council</t>
  </si>
  <si>
    <t>Kalogwel Ward</t>
  </si>
  <si>
    <t>Kalogwel</t>
  </si>
  <si>
    <t>Kogole East</t>
  </si>
  <si>
    <t>Lochim</t>
  </si>
  <si>
    <t>Lokichoka</t>
  </si>
  <si>
    <t>Kalongolemuge</t>
  </si>
  <si>
    <t>Maaru</t>
  </si>
  <si>
    <t>Kanalobae</t>
  </si>
  <si>
    <t>Kanalobae West</t>
  </si>
  <si>
    <t>Nadomeo</t>
  </si>
  <si>
    <t>Nakongucwa</t>
  </si>
  <si>
    <t>Nakwachoron</t>
  </si>
  <si>
    <t>Nasokodanaru</t>
  </si>
  <si>
    <t>Kamor</t>
  </si>
  <si>
    <t>Kangorok</t>
  </si>
  <si>
    <t>Aduko</t>
  </si>
  <si>
    <t>Kaichodo</t>
  </si>
  <si>
    <t>Lojulu</t>
  </si>
  <si>
    <t>Lomesuro</t>
  </si>
  <si>
    <t>Nagulule Angidod</t>
  </si>
  <si>
    <t>Najoo</t>
  </si>
  <si>
    <t>Natukon</t>
  </si>
  <si>
    <t xml:space="preserve">Rengen </t>
  </si>
  <si>
    <t xml:space="preserve">Kapadakook </t>
  </si>
  <si>
    <t>Corner Kilak</t>
  </si>
  <si>
    <t>North Division</t>
  </si>
  <si>
    <t>Kapisinyang Ward</t>
  </si>
  <si>
    <t>Kapisinyang</t>
  </si>
  <si>
    <t>Kokumae</t>
  </si>
  <si>
    <t>Madang</t>
  </si>
  <si>
    <t>Moru-Eperu</t>
  </si>
  <si>
    <t>Naoyamwae</t>
  </si>
  <si>
    <t>Lojom</t>
  </si>
  <si>
    <t>Lolet Eputen</t>
  </si>
  <si>
    <t>Nacheele</t>
  </si>
  <si>
    <t>Nadipal</t>
  </si>
  <si>
    <t>Ayollo</t>
  </si>
  <si>
    <t>Kamoru North</t>
  </si>
  <si>
    <t>Nakiporet</t>
  </si>
  <si>
    <t>Rengen</t>
  </si>
  <si>
    <t>Kodokei</t>
  </si>
  <si>
    <t>Naburibur</t>
  </si>
  <si>
    <t>Nabwalin</t>
  </si>
  <si>
    <t>Kapeta</t>
  </si>
  <si>
    <t>Kokoria</t>
  </si>
  <si>
    <t>Kalotarukot</t>
  </si>
  <si>
    <t>Kokoria East</t>
  </si>
  <si>
    <t>Kokoria West</t>
  </si>
  <si>
    <t>Nakaale</t>
  </si>
  <si>
    <t>Kokuwuam Ward</t>
  </si>
  <si>
    <t>Narengis</t>
  </si>
  <si>
    <t>Kogole West</t>
  </si>
  <si>
    <t>Kokuam</t>
  </si>
  <si>
    <t>Kotyang</t>
  </si>
  <si>
    <t>Kongole West</t>
  </si>
  <si>
    <t>Kotopae</t>
  </si>
  <si>
    <t>Narengchora</t>
  </si>
  <si>
    <t>Nayonae</t>
  </si>
  <si>
    <t>Poet</t>
  </si>
  <si>
    <t>Poet  II</t>
  </si>
  <si>
    <t>Kopor</t>
  </si>
  <si>
    <t>Kariamakwor</t>
  </si>
  <si>
    <t>Nakipany</t>
  </si>
  <si>
    <t>Lokwakial</t>
  </si>
  <si>
    <t>Kopusang</t>
  </si>
  <si>
    <t>Lomuri-Alinga</t>
  </si>
  <si>
    <t>Nagum-Aitekol</t>
  </si>
  <si>
    <t>Central Division</t>
  </si>
  <si>
    <t>Kotido Central Ward</t>
  </si>
  <si>
    <t>Acholi Inn</t>
  </si>
  <si>
    <t>Ministry Of Works</t>
  </si>
  <si>
    <t>Kotido East Ward</t>
  </si>
  <si>
    <t>Acholi Quarters</t>
  </si>
  <si>
    <t>Dodoth College</t>
  </si>
  <si>
    <t>Entebbe Area</t>
  </si>
  <si>
    <t>Kotido North Ward</t>
  </si>
  <si>
    <t>Lomukura</t>
  </si>
  <si>
    <t>Old Shops</t>
  </si>
  <si>
    <t>Kotido Rural Ward</t>
  </si>
  <si>
    <t>Lochedimeru</t>
  </si>
  <si>
    <t>Lodera Ii</t>
  </si>
  <si>
    <t>Lodipidip</t>
  </si>
  <si>
    <t>Logole</t>
  </si>
  <si>
    <t>Lokochil</t>
  </si>
  <si>
    <t>Lopedur</t>
  </si>
  <si>
    <t>Losogot</t>
  </si>
  <si>
    <t>Napeet</t>
  </si>
  <si>
    <t>Nasiriamamoru</t>
  </si>
  <si>
    <t>Kotido West Ward</t>
  </si>
  <si>
    <t>Karamoja Seed Scheme</t>
  </si>
  <si>
    <t>Kotido Mixed</t>
  </si>
  <si>
    <t>Senior  Quarters</t>
  </si>
  <si>
    <t>Kadukan</t>
  </si>
  <si>
    <t>Kaekar</t>
  </si>
  <si>
    <t>Kotyang Central Ward</t>
  </si>
  <si>
    <t>Kadakori</t>
  </si>
  <si>
    <t>Kangimanang</t>
  </si>
  <si>
    <t>Lokwor</t>
  </si>
  <si>
    <t>Loonei</t>
  </si>
  <si>
    <t>Lobanya</t>
  </si>
  <si>
    <t>Kaekem</t>
  </si>
  <si>
    <t>Kalongolenyang</t>
  </si>
  <si>
    <t>Kalopeikim</t>
  </si>
  <si>
    <t>Korisai</t>
  </si>
  <si>
    <t>Lobul</t>
  </si>
  <si>
    <t>Lomudit</t>
  </si>
  <si>
    <t>Napetakeru</t>
  </si>
  <si>
    <t>Natuket</t>
  </si>
  <si>
    <t>Lochoto Ward</t>
  </si>
  <si>
    <t>Mission Community</t>
  </si>
  <si>
    <t>Natedekitoe</t>
  </si>
  <si>
    <t>Tesio II</t>
  </si>
  <si>
    <t>Toroi</t>
  </si>
  <si>
    <t>Toroi-Uppe</t>
  </si>
  <si>
    <t>Jimos Lochoto</t>
  </si>
  <si>
    <t>Panyangara</t>
  </si>
  <si>
    <t>Lodera</t>
  </si>
  <si>
    <t>Kapus</t>
  </si>
  <si>
    <t>Lokipwor-Angakinei</t>
  </si>
  <si>
    <t>Nakere</t>
  </si>
  <si>
    <t>Namoruongora</t>
  </si>
  <si>
    <t>Toror</t>
  </si>
  <si>
    <t>Loletio</t>
  </si>
  <si>
    <t>Lodoket</t>
  </si>
  <si>
    <t>Lodoket East</t>
  </si>
  <si>
    <t>Lodoket West</t>
  </si>
  <si>
    <t>Lorang</t>
  </si>
  <si>
    <t>Namairei</t>
  </si>
  <si>
    <t>Namamre</t>
  </si>
  <si>
    <t>Longaroe</t>
  </si>
  <si>
    <t>Logoman</t>
  </si>
  <si>
    <t>Lodinyoi</t>
  </si>
  <si>
    <t>Longman</t>
  </si>
  <si>
    <t>Nachuuma</t>
  </si>
  <si>
    <t>Namonicek</t>
  </si>
  <si>
    <t>Logwangaita Ward</t>
  </si>
  <si>
    <t>Kalolet</t>
  </si>
  <si>
    <t>Nariama Atolim</t>
  </si>
  <si>
    <t>Lokiding Ward</t>
  </si>
  <si>
    <t>Kanameriongor</t>
  </si>
  <si>
    <t>Kijus</t>
  </si>
  <si>
    <t>Lokiding</t>
  </si>
  <si>
    <t>Moru Eris</t>
  </si>
  <si>
    <t>Nakapiripirit</t>
  </si>
  <si>
    <t>Nakosoburin</t>
  </si>
  <si>
    <t>Nakosoburin I</t>
  </si>
  <si>
    <t>Lokitelaebu Town Council</t>
  </si>
  <si>
    <t>Lokitalaebu East Ward</t>
  </si>
  <si>
    <t>Lokitela-Angatuk</t>
  </si>
  <si>
    <t>Nakoreto South</t>
  </si>
  <si>
    <t xml:space="preserve">Nariamalira </t>
  </si>
  <si>
    <t>Lokitalaebu South Ward</t>
  </si>
  <si>
    <t>Kadapawala</t>
  </si>
  <si>
    <t>Kesimen</t>
  </si>
  <si>
    <t>Diritipuru</t>
  </si>
  <si>
    <t>Lokitalaebu Ward</t>
  </si>
  <si>
    <t>Naratwa</t>
  </si>
  <si>
    <t>Nariamatolim</t>
  </si>
  <si>
    <t>Lokoona Ward</t>
  </si>
  <si>
    <t>Losilang</t>
  </si>
  <si>
    <t>Naperu</t>
  </si>
  <si>
    <t>Napwatapuli</t>
  </si>
  <si>
    <t>West Division</t>
  </si>
  <si>
    <t>Lokore Ward</t>
  </si>
  <si>
    <t>Lobore East</t>
  </si>
  <si>
    <t>Lobore West</t>
  </si>
  <si>
    <t>Lokore  West</t>
  </si>
  <si>
    <t>Lokore East</t>
  </si>
  <si>
    <t>Lotorong</t>
  </si>
  <si>
    <t>Nagolopoe</t>
  </si>
  <si>
    <t>Lokorein</t>
  </si>
  <si>
    <t>Lokatap</t>
  </si>
  <si>
    <t>Lotubo</t>
  </si>
  <si>
    <t>Watakau Tc</t>
  </si>
  <si>
    <t>Gelangole</t>
  </si>
  <si>
    <t>Lochoriapolon</t>
  </si>
  <si>
    <t>Lokiriama</t>
  </si>
  <si>
    <t>Loteteleit</t>
  </si>
  <si>
    <t>Lolito</t>
  </si>
  <si>
    <t>Kaera</t>
  </si>
  <si>
    <t>Kopuwa</t>
  </si>
  <si>
    <t>Lokatiotioe</t>
  </si>
  <si>
    <t>Lokitela-Ekale</t>
  </si>
  <si>
    <t>Lokateteoi</t>
  </si>
  <si>
    <t>Lopeeru Muu</t>
  </si>
  <si>
    <t>Lopeerumuu</t>
  </si>
  <si>
    <t>Nyikinyiki</t>
  </si>
  <si>
    <t>Arengecoto</t>
  </si>
  <si>
    <t>Lologoka</t>
  </si>
  <si>
    <t>Kongesia</t>
  </si>
  <si>
    <t xml:space="preserve">Kongesia </t>
  </si>
  <si>
    <t>Lomonia</t>
  </si>
  <si>
    <t>Kaletewa</t>
  </si>
  <si>
    <t>Lomokori II</t>
  </si>
  <si>
    <t>Lomoru South</t>
  </si>
  <si>
    <t>Naoyakitoe</t>
  </si>
  <si>
    <t>Lookorok</t>
  </si>
  <si>
    <t>Itakwara East</t>
  </si>
  <si>
    <t>Itakwara West</t>
  </si>
  <si>
    <t>Kaawich</t>
  </si>
  <si>
    <t>Lookorok  Trading Centre</t>
  </si>
  <si>
    <t>Nayeel</t>
  </si>
  <si>
    <t>Ngolemor</t>
  </si>
  <si>
    <t>Loongor</t>
  </si>
  <si>
    <t xml:space="preserve">Sinat </t>
  </si>
  <si>
    <t>Lopuyo</t>
  </si>
  <si>
    <t>Karumba</t>
  </si>
  <si>
    <t>Nansiyon</t>
  </si>
  <si>
    <t>Um Um North</t>
  </si>
  <si>
    <t>Um Um South</t>
  </si>
  <si>
    <t>Losakucha</t>
  </si>
  <si>
    <t>Kalolima</t>
  </si>
  <si>
    <t>Kalowt</t>
  </si>
  <si>
    <t>Kanayetareng</t>
  </si>
  <si>
    <t>Kogiligili</t>
  </si>
  <si>
    <t>Komligin</t>
  </si>
  <si>
    <t>Nakosoburin II</t>
  </si>
  <si>
    <t>Lotanyat</t>
  </si>
  <si>
    <t>Lomukoura</t>
  </si>
  <si>
    <t>Loo</t>
  </si>
  <si>
    <t>Loperu Epurut</t>
  </si>
  <si>
    <t>Maani</t>
  </si>
  <si>
    <t>Miresiae Ward</t>
  </si>
  <si>
    <t>Katap</t>
  </si>
  <si>
    <t>Lodera I</t>
  </si>
  <si>
    <t>Lopayan</t>
  </si>
  <si>
    <t>Nawiiejok</t>
  </si>
  <si>
    <t>Modokonyang</t>
  </si>
  <si>
    <t>Karukadong N</t>
  </si>
  <si>
    <t>Karukadong S</t>
  </si>
  <si>
    <t>Longiropoo</t>
  </si>
  <si>
    <t>Modokonyang Central</t>
  </si>
  <si>
    <t>Modokonyang East</t>
  </si>
  <si>
    <t>Modokonyang West</t>
  </si>
  <si>
    <t>Moruitit</t>
  </si>
  <si>
    <t>Kaloturo</t>
  </si>
  <si>
    <t>Makal</t>
  </si>
  <si>
    <t>Morukirion</t>
  </si>
  <si>
    <t>Kongole East</t>
  </si>
  <si>
    <t>Naadoi II</t>
  </si>
  <si>
    <t>Nakaar</t>
  </si>
  <si>
    <t>Nakaburu</t>
  </si>
  <si>
    <t>Namogosit</t>
  </si>
  <si>
    <t>Natapar Awre</t>
  </si>
  <si>
    <t>Nagirigirioi</t>
  </si>
  <si>
    <t>Kaelemuye</t>
  </si>
  <si>
    <t>Kanayatte I</t>
  </si>
  <si>
    <t>Kanayette Ii</t>
  </si>
  <si>
    <t>Nakaal Ward</t>
  </si>
  <si>
    <t>Nakaal Central</t>
  </si>
  <si>
    <t>Nakaalei</t>
  </si>
  <si>
    <t>Narongole</t>
  </si>
  <si>
    <t>Nasogol Lobae</t>
  </si>
  <si>
    <t>Nakapelimoru Town Board</t>
  </si>
  <si>
    <t>Kalogwala</t>
  </si>
  <si>
    <t>Masula I</t>
  </si>
  <si>
    <t>Masula II</t>
  </si>
  <si>
    <t>Kalere</t>
  </si>
  <si>
    <t>Kaloya Kee</t>
  </si>
  <si>
    <t>Lokodokodoi</t>
  </si>
  <si>
    <t>Nabuin East</t>
  </si>
  <si>
    <t>Nakoreeto</t>
  </si>
  <si>
    <t>Nakwaalet</t>
  </si>
  <si>
    <t>Nakwalet</t>
  </si>
  <si>
    <t>Nariwokitoe</t>
  </si>
  <si>
    <t>Nangolemura</t>
  </si>
  <si>
    <t>Taditad</t>
  </si>
  <si>
    <t>Nangayum Ward</t>
  </si>
  <si>
    <t>Kawalapei</t>
  </si>
  <si>
    <t>Lolet Kooyan</t>
  </si>
  <si>
    <t>Natirai</t>
  </si>
  <si>
    <t>Um-Um South</t>
  </si>
  <si>
    <t>Nangelekek</t>
  </si>
  <si>
    <t>Keetumoroi</t>
  </si>
  <si>
    <t>Lokwataruk</t>
  </si>
  <si>
    <t>Namamungok</t>
  </si>
  <si>
    <t>Sokot</t>
  </si>
  <si>
    <t>Naponga</t>
  </si>
  <si>
    <t>Kanamwar I</t>
  </si>
  <si>
    <t>Kanamwar Ii</t>
  </si>
  <si>
    <t>Looyakou</t>
  </si>
  <si>
    <t>Napanga</t>
  </si>
  <si>
    <t>Napupum Town Board</t>
  </si>
  <si>
    <t>Nakongmutu East</t>
  </si>
  <si>
    <t xml:space="preserve">Nakongmutu West </t>
  </si>
  <si>
    <t>Nakongremutu North</t>
  </si>
  <si>
    <t>Nakongumutu Central</t>
  </si>
  <si>
    <t>Nakongumutu South</t>
  </si>
  <si>
    <t>Napumpum Training Centre</t>
  </si>
  <si>
    <t>Natanyabuin</t>
  </si>
  <si>
    <t>Nawii III</t>
  </si>
  <si>
    <t>Naputir</t>
  </si>
  <si>
    <t>Naputir North</t>
  </si>
  <si>
    <t>Narikapet Ward</t>
  </si>
  <si>
    <t>Army Detach</t>
  </si>
  <si>
    <t>Narikapet</t>
  </si>
  <si>
    <t>Police</t>
  </si>
  <si>
    <t>Nayese Ward</t>
  </si>
  <si>
    <t>Kasiwok</t>
  </si>
  <si>
    <t>Nariwo</t>
  </si>
  <si>
    <t>Nayese</t>
  </si>
  <si>
    <t>Potongor</t>
  </si>
  <si>
    <t>Lomejan</t>
  </si>
  <si>
    <t>Longelep</t>
  </si>
  <si>
    <t>Rengen Town Board</t>
  </si>
  <si>
    <t>Kapelok East</t>
  </si>
  <si>
    <t>Lokidorio</t>
  </si>
  <si>
    <t>Rikitae East</t>
  </si>
  <si>
    <t>Lomokoori</t>
  </si>
  <si>
    <t>Lomukura  Ii</t>
  </si>
  <si>
    <t>Moruanadon</t>
  </si>
  <si>
    <t>Rikitea T/Centre</t>
  </si>
  <si>
    <t>Tesio</t>
  </si>
  <si>
    <t>Rikitae West</t>
  </si>
  <si>
    <t>Nadome</t>
  </si>
  <si>
    <t>Nadomeu</t>
  </si>
  <si>
    <t>Nakirioni</t>
  </si>
  <si>
    <t>Nawapeot</t>
  </si>
  <si>
    <t>Illa</t>
  </si>
  <si>
    <t>Rom Rom Ward</t>
  </si>
  <si>
    <t>Kadokochin</t>
  </si>
  <si>
    <t>Meriwala</t>
  </si>
  <si>
    <t>Miresiae</t>
  </si>
  <si>
    <t>Nachailap</t>
  </si>
  <si>
    <t>Nateelo</t>
  </si>
  <si>
    <t>Rutom</t>
  </si>
  <si>
    <t>Kalosogol</t>
  </si>
  <si>
    <t>Loyan</t>
  </si>
  <si>
    <t>Minyanga</t>
  </si>
  <si>
    <t xml:space="preserve">Ruttom </t>
  </si>
  <si>
    <t>Thiwakol</t>
  </si>
  <si>
    <t>Kairwata</t>
  </si>
  <si>
    <t>Lomukura  I</t>
  </si>
  <si>
    <t>Nasiyon</t>
  </si>
  <si>
    <t>Nawapeot  I</t>
  </si>
  <si>
    <t>Peede</t>
  </si>
  <si>
    <t>Poet I</t>
  </si>
  <si>
    <t>Um-Um Ward</t>
  </si>
  <si>
    <t>Kotido S.S.S &amp; Mission</t>
  </si>
  <si>
    <t>Natirapus</t>
  </si>
  <si>
    <t>Um-Um I</t>
  </si>
  <si>
    <t>Um-Um II</t>
  </si>
  <si>
    <t>Um-Um Central</t>
  </si>
  <si>
    <t>Watakau Central</t>
  </si>
  <si>
    <t>Kalogwang W</t>
  </si>
  <si>
    <t>Kalokotido</t>
  </si>
  <si>
    <t>Lobongia</t>
  </si>
  <si>
    <t>Nateele</t>
  </si>
  <si>
    <t>Yeele</t>
  </si>
  <si>
    <t>Lodeele</t>
  </si>
  <si>
    <t>Kemanik</t>
  </si>
  <si>
    <t>Loalakwa</t>
  </si>
  <si>
    <t>Nakarengan</t>
  </si>
  <si>
    <t>Nakingnes</t>
  </si>
  <si>
    <t xml:space="preserve">3-&lt;12 MONTHS </t>
  </si>
  <si>
    <t>NAWOKOTELEI</t>
  </si>
  <si>
    <t>KANGOLE MIDDLE</t>
  </si>
  <si>
    <t>LOPIDA B</t>
  </si>
  <si>
    <t>POLICE CELL</t>
  </si>
  <si>
    <t>SENIOR QARTERS</t>
  </si>
  <si>
    <t>KANGOLE B</t>
  </si>
  <si>
    <t>NASIKE NORTH</t>
  </si>
  <si>
    <t>LOPEENY</t>
  </si>
  <si>
    <t>NASIKE SOUTH</t>
  </si>
  <si>
    <t>NALIGOI A</t>
  </si>
  <si>
    <t>LOREGA</t>
  </si>
  <si>
    <t>KANGOLE CHIN</t>
  </si>
  <si>
    <t>KANGOLE G</t>
  </si>
  <si>
    <t>LOPIIDA A</t>
  </si>
  <si>
    <t>KANGOLE MISSION</t>
  </si>
  <si>
    <t>LOPUTUK</t>
  </si>
  <si>
    <t>Namendera</t>
  </si>
  <si>
    <t>LOMARATOIT</t>
  </si>
  <si>
    <t>KAYODO</t>
  </si>
  <si>
    <t>KALOPIDINGA</t>
  </si>
  <si>
    <t>KONGORIESE</t>
  </si>
  <si>
    <t>LOKITELA ANGIKILIOK</t>
  </si>
  <si>
    <t>LOYEP CAMP</t>
  </si>
  <si>
    <t>NALIOLIO</t>
  </si>
  <si>
    <t>ATUM-CHOKE</t>
  </si>
  <si>
    <t>NAKUYON</t>
  </si>
  <si>
    <t>NABOKAT</t>
  </si>
  <si>
    <t xml:space="preserve">NAMEDERA </t>
  </si>
  <si>
    <t>ALAKAS A</t>
  </si>
  <si>
    <t>MORUSAPIR</t>
  </si>
  <si>
    <t>LOBULIO</t>
  </si>
  <si>
    <t>MORU-ALOKURIO</t>
  </si>
  <si>
    <t>GO-DOWN</t>
  </si>
  <si>
    <t>ARIAMAKOT B</t>
  </si>
  <si>
    <t>TOYEP TOTO</t>
  </si>
  <si>
    <t>KASILE</t>
  </si>
  <si>
    <t>NARO</t>
  </si>
  <si>
    <t>CHELELE</t>
  </si>
  <si>
    <t>KAIGWE</t>
  </si>
  <si>
    <t>KAMOCHA</t>
  </si>
  <si>
    <t>TOWN WARRIOR</t>
  </si>
  <si>
    <t>ALEKILEK</t>
  </si>
  <si>
    <t>LOKWAKWA</t>
  </si>
  <si>
    <t>UP LONDON</t>
  </si>
  <si>
    <t>ARIAMAKOT A</t>
  </si>
  <si>
    <t>ALAKAS B</t>
  </si>
  <si>
    <t>NAKAYOT CAMP</t>
  </si>
  <si>
    <t>LOCHOWA-AKWANGAN</t>
  </si>
  <si>
    <t>KOCHOMIN</t>
  </si>
  <si>
    <t>IRIIRI TC</t>
  </si>
  <si>
    <t>KAURIKIAKINE</t>
  </si>
  <si>
    <t>MORULEMU</t>
  </si>
  <si>
    <t>5-6 years</t>
  </si>
  <si>
    <t>7-10 years</t>
  </si>
  <si>
    <t>5-6 Years</t>
  </si>
  <si>
    <t>7-10years</t>
  </si>
  <si>
    <t>GRAND TOTAL:</t>
  </si>
  <si>
    <t>Kaabong Mission</t>
  </si>
  <si>
    <t>Kaabong District</t>
  </si>
  <si>
    <t xml:space="preserve">Loputuk East </t>
  </si>
  <si>
    <t xml:space="preserve">Loputuk West </t>
  </si>
  <si>
    <t>Naoyabul</t>
  </si>
  <si>
    <t>Komuria South</t>
  </si>
  <si>
    <t>Komuria Central</t>
  </si>
  <si>
    <t>Komuria North</t>
  </si>
  <si>
    <t>Tankhill</t>
  </si>
  <si>
    <t xml:space="preserve">Morukori </t>
  </si>
  <si>
    <t>Napeichokei</t>
  </si>
  <si>
    <t>Nakapiliese</t>
  </si>
  <si>
    <t>Nariogum</t>
  </si>
  <si>
    <t>Moru-angita</t>
  </si>
  <si>
    <t>Nalemusekon</t>
  </si>
  <si>
    <t>Kosui West</t>
  </si>
  <si>
    <t>Kakutatom</t>
  </si>
  <si>
    <t>Morukori Center</t>
  </si>
  <si>
    <t>Natiaket</t>
  </si>
  <si>
    <t>Lodekela</t>
  </si>
  <si>
    <t>Lookuse</t>
  </si>
  <si>
    <t>Lokicher</t>
  </si>
  <si>
    <t>Kailele</t>
  </si>
  <si>
    <t>Nakwanyia</t>
  </si>
  <si>
    <t>Lokoki</t>
  </si>
  <si>
    <t>Tojoromin</t>
  </si>
  <si>
    <t>Lokodopei</t>
  </si>
  <si>
    <t>Natiyachomin</t>
  </si>
  <si>
    <t>Kosui East</t>
  </si>
  <si>
    <t>Moru-Eprich</t>
  </si>
  <si>
    <t>Lochoto</t>
  </si>
  <si>
    <t xml:space="preserve">Usake </t>
  </si>
  <si>
    <t>Morungole Center</t>
  </si>
  <si>
    <t>Usake Center</t>
  </si>
  <si>
    <t>Kagiro</t>
  </si>
  <si>
    <t>Kalemulem</t>
  </si>
  <si>
    <t>Kurumo</t>
  </si>
  <si>
    <t>Puta</t>
  </si>
  <si>
    <t>Nakalele</t>
  </si>
  <si>
    <t>Lomil</t>
  </si>
  <si>
    <t>Palaakan</t>
  </si>
  <si>
    <t>Kokuma</t>
  </si>
  <si>
    <t>Kadumakuj</t>
  </si>
  <si>
    <t>Lokanayona</t>
  </si>
  <si>
    <t>Ligot</t>
  </si>
  <si>
    <t>Lokanayona West</t>
  </si>
  <si>
    <t>Lokanayona Central</t>
  </si>
  <si>
    <t>Lomeruma East</t>
  </si>
  <si>
    <t>Lomeruma West</t>
  </si>
  <si>
    <t>Lolekit</t>
  </si>
  <si>
    <t>Losulut</t>
  </si>
  <si>
    <t>Nakapel&amp;Lopusa</t>
  </si>
  <si>
    <t xml:space="preserve">Lolelia South </t>
  </si>
  <si>
    <t>Lokiyekes</t>
  </si>
  <si>
    <t>Nakachikit</t>
  </si>
  <si>
    <t>Kolimeu</t>
  </si>
  <si>
    <t>Kalokipe</t>
  </si>
  <si>
    <t>Kachuch</t>
  </si>
  <si>
    <t>Leeny</t>
  </si>
  <si>
    <t>Kature</t>
  </si>
  <si>
    <t>Nadukanit</t>
  </si>
  <si>
    <t>Morouita</t>
  </si>
  <si>
    <t>Nakatapan</t>
  </si>
  <si>
    <t>Kalakinci</t>
  </si>
  <si>
    <t>Nakapel</t>
  </si>
  <si>
    <t>Kaatuk</t>
  </si>
  <si>
    <t>Komaran</t>
  </si>
  <si>
    <t>Kathile HC III</t>
  </si>
  <si>
    <t>Nalebeny</t>
  </si>
  <si>
    <t>Lemugete</t>
  </si>
  <si>
    <t>Natipem</t>
  </si>
  <si>
    <t>Nwakapicha</t>
  </si>
  <si>
    <t>Namamutau</t>
  </si>
  <si>
    <t>Nakosowan</t>
  </si>
  <si>
    <t>Kathile West</t>
  </si>
  <si>
    <t>Kathile East</t>
  </si>
  <si>
    <t>Nasuguru</t>
  </si>
  <si>
    <t>Kitum</t>
  </si>
  <si>
    <t>Moru-Angisiria</t>
  </si>
  <si>
    <t>Teregu</t>
  </si>
  <si>
    <t>Lomunyen</t>
  </si>
  <si>
    <t>Lobatou</t>
  </si>
  <si>
    <t>Napachipacha</t>
  </si>
  <si>
    <t>Moru-Angikamar</t>
  </si>
  <si>
    <t>Lokwakaramoe</t>
  </si>
  <si>
    <t>Napetataaba</t>
  </si>
  <si>
    <t>Nase-Alokwar</t>
  </si>
  <si>
    <t>Najokodel</t>
  </si>
  <si>
    <t>Napeikeny</t>
  </si>
  <si>
    <t>Lomeris HC II</t>
  </si>
  <si>
    <t xml:space="preserve">Lokuret </t>
  </si>
  <si>
    <t xml:space="preserve">Lopetun </t>
  </si>
  <si>
    <t xml:space="preserve">Morulem </t>
  </si>
  <si>
    <t>Yokotak</t>
  </si>
  <si>
    <t>Kachikol</t>
  </si>
  <si>
    <t>Kangigetei</t>
  </si>
  <si>
    <t>Moru-erau</t>
  </si>
  <si>
    <t>Kepak</t>
  </si>
  <si>
    <t>Kakerekeroi</t>
  </si>
  <si>
    <t xml:space="preserve">Komei </t>
  </si>
  <si>
    <t>Kangisute</t>
  </si>
  <si>
    <t>Kakamar HC II</t>
  </si>
  <si>
    <t xml:space="preserve">Nagum Alokoringole </t>
  </si>
  <si>
    <t>Napeikidor</t>
  </si>
  <si>
    <t>Nanyangadoket</t>
  </si>
  <si>
    <t>Kanakora</t>
  </si>
  <si>
    <t>Nadwaramukuny</t>
  </si>
  <si>
    <t>Kakakamar</t>
  </si>
  <si>
    <t>Kotirae</t>
  </si>
  <si>
    <t xml:space="preserve">Moruengatuny </t>
  </si>
  <si>
    <t>Kakuma</t>
  </si>
  <si>
    <t>Namus</t>
  </si>
  <si>
    <t>Kayokong</t>
  </si>
  <si>
    <t>Lochuruto</t>
  </si>
  <si>
    <t>Kitelore</t>
  </si>
  <si>
    <t>Nakituruturet</t>
  </si>
  <si>
    <t>Moruese</t>
  </si>
  <si>
    <t>Kopoth HC II</t>
  </si>
  <si>
    <t xml:space="preserve">Longaro South </t>
  </si>
  <si>
    <t>Nakwakou</t>
  </si>
  <si>
    <t xml:space="preserve">Kopoth </t>
  </si>
  <si>
    <t>Louriong</t>
  </si>
  <si>
    <t>Leterwa</t>
  </si>
  <si>
    <t>Kaloula</t>
  </si>
  <si>
    <t>Longaro North</t>
  </si>
  <si>
    <t>Narwarot</t>
  </si>
  <si>
    <t>Nalamanaro</t>
  </si>
  <si>
    <t>Morouti</t>
  </si>
  <si>
    <t>Locherep</t>
  </si>
  <si>
    <t>Nasidok</t>
  </si>
  <si>
    <t>Kachinga</t>
  </si>
  <si>
    <t>Tiiti</t>
  </si>
  <si>
    <t>Lokolia HC II</t>
  </si>
  <si>
    <t xml:space="preserve">Nameri North </t>
  </si>
  <si>
    <t>Moru-ao</t>
  </si>
  <si>
    <t>Loburiekori</t>
  </si>
  <si>
    <t>Nameri South</t>
  </si>
  <si>
    <t>Lominyit</t>
  </si>
  <si>
    <t>Nanyangase</t>
  </si>
  <si>
    <t>Kalaongor</t>
  </si>
  <si>
    <t>Napetabul</t>
  </si>
  <si>
    <t>Nakaramoe</t>
  </si>
  <si>
    <t>Kalodeke</t>
  </si>
  <si>
    <t>Komisika</t>
  </si>
  <si>
    <t>Lokooli</t>
  </si>
  <si>
    <t>Lokolia Center</t>
  </si>
  <si>
    <t>Simalok</t>
  </si>
  <si>
    <t>Toroae</t>
  </si>
  <si>
    <t>Meus HC II</t>
  </si>
  <si>
    <t>Nataparalochoro</t>
  </si>
  <si>
    <t>Lomaas</t>
  </si>
  <si>
    <t>Meus</t>
  </si>
  <si>
    <t>Naseangichomin</t>
  </si>
  <si>
    <t>Meus Center</t>
  </si>
  <si>
    <t>Lotubae</t>
  </si>
  <si>
    <t>Moruangita</t>
  </si>
  <si>
    <t>Nariwogum East</t>
  </si>
  <si>
    <t>Napaat</t>
  </si>
  <si>
    <t>Dongore</t>
  </si>
  <si>
    <t xml:space="preserve">Nariwogum West </t>
  </si>
  <si>
    <t>Kamacharikol HC II</t>
  </si>
  <si>
    <t xml:space="preserve">Kamacharikol Center </t>
  </si>
  <si>
    <t>Urutukapel</t>
  </si>
  <si>
    <t>Napeiratil</t>
  </si>
  <si>
    <t>Nachukul Center</t>
  </si>
  <si>
    <t>Kapelimong</t>
  </si>
  <si>
    <t xml:space="preserve">Nachukul West </t>
  </si>
  <si>
    <t xml:space="preserve">Nachukul East </t>
  </si>
  <si>
    <t>Nakemilian</t>
  </si>
  <si>
    <t xml:space="preserve">Tulianyang </t>
  </si>
  <si>
    <t xml:space="preserve">Kamacharikol </t>
  </si>
  <si>
    <t xml:space="preserve">Peikale </t>
  </si>
  <si>
    <t>Lodoket A</t>
  </si>
  <si>
    <t>Komeresae</t>
  </si>
  <si>
    <t>Kamion HC II</t>
  </si>
  <si>
    <t xml:space="preserve">Kamion Center </t>
  </si>
  <si>
    <t>Lokiyoto</t>
  </si>
  <si>
    <t>Nawadou</t>
  </si>
  <si>
    <t>Lousuna</t>
  </si>
  <si>
    <t>Nachakunet</t>
  </si>
  <si>
    <t>Moru-atap</t>
  </si>
  <si>
    <t>Kokosowa</t>
  </si>
  <si>
    <t>Lotinyam</t>
  </si>
  <si>
    <t>Losera</t>
  </si>
  <si>
    <t>Longoromit HC II</t>
  </si>
  <si>
    <t>Nagala A</t>
  </si>
  <si>
    <t>Nagala B</t>
  </si>
  <si>
    <t>Moromojong</t>
  </si>
  <si>
    <t xml:space="preserve">Lobongia </t>
  </si>
  <si>
    <t>Nangoletaba</t>
  </si>
  <si>
    <t>Sokomej</t>
  </si>
  <si>
    <t xml:space="preserve">Nakwalet </t>
  </si>
  <si>
    <t>Lokumomoe</t>
  </si>
  <si>
    <t>Lokirinya</t>
  </si>
  <si>
    <t>Namorukuk</t>
  </si>
  <si>
    <t xml:space="preserve">Kaabong Prison </t>
  </si>
  <si>
    <t xml:space="preserve">Kaiset </t>
  </si>
  <si>
    <t>Lomusian</t>
  </si>
  <si>
    <t>Naoit</t>
  </si>
  <si>
    <t>Morualokeiny</t>
  </si>
  <si>
    <t>Nalingaro</t>
  </si>
  <si>
    <t>Pajar</t>
  </si>
  <si>
    <t>Mogadishu</t>
  </si>
  <si>
    <t>Naakot</t>
  </si>
  <si>
    <t>Karukan</t>
  </si>
  <si>
    <t>Longoromit</t>
  </si>
  <si>
    <t>Kaabong Hospital</t>
  </si>
  <si>
    <t xml:space="preserve">Biafra East </t>
  </si>
  <si>
    <t xml:space="preserve">Kapilan bar West </t>
  </si>
  <si>
    <t>Nadirikitoe</t>
  </si>
  <si>
    <t xml:space="preserve">Jerusalem </t>
  </si>
  <si>
    <t>Hospital Qtrs</t>
  </si>
  <si>
    <t>Nakadelio</t>
  </si>
  <si>
    <t>Biafra North</t>
  </si>
  <si>
    <t>Campswahili East</t>
  </si>
  <si>
    <t xml:space="preserve">Biafra South </t>
  </si>
  <si>
    <t>Campswahili North</t>
  </si>
  <si>
    <t>Lopedo Road</t>
  </si>
  <si>
    <t>Lomachariworet</t>
  </si>
  <si>
    <t>Central West</t>
  </si>
  <si>
    <t>Central East</t>
  </si>
  <si>
    <t>Capswahili South</t>
  </si>
  <si>
    <t>Karongo</t>
  </si>
  <si>
    <t>Kimese HC III</t>
  </si>
  <si>
    <t>Lochokei</t>
  </si>
  <si>
    <t>Kaeruruk</t>
  </si>
  <si>
    <t>Morukinei</t>
  </si>
  <si>
    <t>Piyoitu</t>
  </si>
  <si>
    <t>Nakutakuwam</t>
  </si>
  <si>
    <t>Nacheletem</t>
  </si>
  <si>
    <t>Riteen</t>
  </si>
  <si>
    <t>Natedepong</t>
  </si>
  <si>
    <t>Lokapakine</t>
  </si>
  <si>
    <t>Lokiriwo</t>
  </si>
  <si>
    <t>Golapak</t>
  </si>
  <si>
    <t>Kalotwo</t>
  </si>
  <si>
    <t>Kasenyiseny</t>
  </si>
  <si>
    <t>Umuum</t>
  </si>
  <si>
    <t>Kotarukot</t>
  </si>
  <si>
    <t>Lolelia Center</t>
  </si>
  <si>
    <t>Nangolekuri</t>
  </si>
  <si>
    <t>Kabilkichir</t>
  </si>
  <si>
    <t xml:space="preserve">Kamugemuge </t>
  </si>
  <si>
    <t>Moru-Angita</t>
  </si>
  <si>
    <t>Lomodoch HC II</t>
  </si>
  <si>
    <t>Kaiwele</t>
  </si>
  <si>
    <t>Takamirikial</t>
  </si>
  <si>
    <t>Naoyapye</t>
  </si>
  <si>
    <t>Natorokokito</t>
  </si>
  <si>
    <t>Natumugerae</t>
  </si>
  <si>
    <t>Naudiot</t>
  </si>
  <si>
    <t>Naligoit</t>
  </si>
  <si>
    <t>Chumiakaku</t>
  </si>
  <si>
    <t>Kataachi</t>
  </si>
  <si>
    <t>Narogos</t>
  </si>
  <si>
    <t>Kailob</t>
  </si>
  <si>
    <t>Napaorukolong</t>
  </si>
  <si>
    <t>Nakodiokodioi</t>
  </si>
  <si>
    <t>Kalapata HC III</t>
  </si>
  <si>
    <t>Kabutakuri</t>
  </si>
  <si>
    <t>Natoko</t>
  </si>
  <si>
    <t>Kachemichem</t>
  </si>
  <si>
    <t>Kaitach</t>
  </si>
  <si>
    <t>Nakarach</t>
  </si>
  <si>
    <t>Maburiakitoe</t>
  </si>
  <si>
    <t>Kurao</t>
  </si>
  <si>
    <t>Moru-Anaido</t>
  </si>
  <si>
    <t>Locheger-West (Kurao)</t>
  </si>
  <si>
    <t>Locheger-East (Kurao)</t>
  </si>
  <si>
    <t>Lopeitapar</t>
  </si>
  <si>
    <t>Kaibeye</t>
  </si>
  <si>
    <t>Lokasenyak</t>
  </si>
  <si>
    <t xml:space="preserve">Moru-edikae East </t>
  </si>
  <si>
    <t xml:space="preserve">Moru-edikae West </t>
  </si>
  <si>
    <t>Nanyangaese</t>
  </si>
  <si>
    <t>Kalapata Center</t>
  </si>
  <si>
    <t xml:space="preserve">Kalonyangat South </t>
  </si>
  <si>
    <t>Kalonyangat North</t>
  </si>
  <si>
    <t>Kanakuruk</t>
  </si>
  <si>
    <t>Locheger West (Nabonya)</t>
  </si>
  <si>
    <t>Locheger East (Nabonya)</t>
  </si>
  <si>
    <t>Moruchoro</t>
  </si>
  <si>
    <t>Nabonya</t>
  </si>
  <si>
    <t>Narengekero</t>
  </si>
  <si>
    <t>Napetakori</t>
  </si>
  <si>
    <t>Lotwal Lokut</t>
  </si>
  <si>
    <t>Moru-Angikiria</t>
  </si>
  <si>
    <t>Lokwakaramoe HC II</t>
  </si>
  <si>
    <t>Natipeem</t>
  </si>
  <si>
    <t xml:space="preserve">Lokorinya </t>
  </si>
  <si>
    <t>Lokwakaramoe East</t>
  </si>
  <si>
    <t>Kaiteba</t>
  </si>
  <si>
    <t>Lokwakaramoe Central</t>
  </si>
  <si>
    <t xml:space="preserve">Morulem HC II </t>
  </si>
  <si>
    <t xml:space="preserve">Moroto East </t>
  </si>
  <si>
    <t xml:space="preserve">Moroto West </t>
  </si>
  <si>
    <t xml:space="preserve">Kanyalita </t>
  </si>
  <si>
    <t xml:space="preserve">Morulem South </t>
  </si>
  <si>
    <t xml:space="preserve">Morulem Center </t>
  </si>
  <si>
    <t>Morulem North</t>
  </si>
  <si>
    <t xml:space="preserve">Lodwar East </t>
  </si>
  <si>
    <t xml:space="preserve">Lodwar West </t>
  </si>
  <si>
    <t xml:space="preserve">Lomonye </t>
  </si>
  <si>
    <t>Risae</t>
  </si>
  <si>
    <t xml:space="preserve">Sokodu South </t>
  </si>
  <si>
    <t>Sokodu North</t>
  </si>
  <si>
    <t xml:space="preserve">Natedero </t>
  </si>
  <si>
    <t xml:space="preserve">Lodiko HC II </t>
  </si>
  <si>
    <t xml:space="preserve">Kakuta </t>
  </si>
  <si>
    <t>Naoyakal</t>
  </si>
  <si>
    <t>Lopedo</t>
  </si>
  <si>
    <t>Loguto</t>
  </si>
  <si>
    <t>Naoyakitela</t>
  </si>
  <si>
    <t>Naburekitoe</t>
  </si>
  <si>
    <t>Napedeepong</t>
  </si>
  <si>
    <t>Kotome Center</t>
  </si>
  <si>
    <t>Lomilip</t>
  </si>
  <si>
    <t>Nalimaniko</t>
  </si>
  <si>
    <t>Kangios North</t>
  </si>
  <si>
    <t>Kanaro</t>
  </si>
  <si>
    <t>Sokodu</t>
  </si>
  <si>
    <t>Narionomoru</t>
  </si>
  <si>
    <t>Lomuton</t>
  </si>
  <si>
    <t>Nariwobwal West</t>
  </si>
  <si>
    <t>Lokodoe</t>
  </si>
  <si>
    <t>Lomamulepot</t>
  </si>
  <si>
    <t>Nalemusekon 2</t>
  </si>
  <si>
    <t>Morudochi</t>
  </si>
  <si>
    <t>Naukoret</t>
  </si>
  <si>
    <t>Nariwobwal East</t>
  </si>
  <si>
    <t>Nalemusekon 1</t>
  </si>
  <si>
    <t xml:space="preserve">Kangios East </t>
  </si>
  <si>
    <t>HELTH CENTRE</t>
  </si>
  <si>
    <t>SUB COUNTY</t>
  </si>
  <si>
    <t>Parish/Ward</t>
  </si>
  <si>
    <t>Tapac Health Centre III</t>
  </si>
  <si>
    <t>Moroto</t>
  </si>
  <si>
    <t>TAPAC</t>
  </si>
  <si>
    <t>TAPACH</t>
  </si>
  <si>
    <t>Akariwon</t>
  </si>
  <si>
    <t>Lonyilik</t>
  </si>
  <si>
    <t>Timingorok</t>
  </si>
  <si>
    <t>LOYARABOTH</t>
  </si>
  <si>
    <t>Narachuch</t>
  </si>
  <si>
    <t>Lokiles</t>
  </si>
  <si>
    <t>Napak-Akimul</t>
  </si>
  <si>
    <t>Lomudita</t>
  </si>
  <si>
    <t>NAKWANGA</t>
  </si>
  <si>
    <t>Nalup-Akwangak</t>
  </si>
  <si>
    <t>NARENGENYA</t>
  </si>
  <si>
    <t>Moru-Kegwe</t>
  </si>
  <si>
    <t>Seget</t>
  </si>
  <si>
    <t>Lopelipel Health Centre III</t>
  </si>
  <si>
    <t>Lopelpel</t>
  </si>
  <si>
    <t>Didi</t>
  </si>
  <si>
    <t>Mutia</t>
  </si>
  <si>
    <t>Kare-Apetuko</t>
  </si>
  <si>
    <t>Adulai</t>
  </si>
  <si>
    <t>KAKINGOL</t>
  </si>
  <si>
    <t>Nakwanga</t>
  </si>
  <si>
    <t>Alamai</t>
  </si>
  <si>
    <t>Nakoromwai</t>
  </si>
  <si>
    <t>Natabakelejoi</t>
  </si>
  <si>
    <t>LOKWAKIPI</t>
  </si>
  <si>
    <t>Lokwakipi</t>
  </si>
  <si>
    <t>NATUMUKALE</t>
  </si>
  <si>
    <t>Lotongor</t>
  </si>
  <si>
    <t>Morukeris</t>
  </si>
  <si>
    <t>Nalemukaleith</t>
  </si>
  <si>
    <t>Loputuk Health Centre III</t>
  </si>
  <si>
    <t>NACHOGOROM</t>
  </si>
  <si>
    <t>Nachogorom</t>
  </si>
  <si>
    <t>Nariamaregai</t>
  </si>
  <si>
    <t>NADUNGET</t>
  </si>
  <si>
    <t>KOMARET</t>
  </si>
  <si>
    <t>Lodooi</t>
  </si>
  <si>
    <t>Aworobu</t>
  </si>
  <si>
    <t>Kalopwanya</t>
  </si>
  <si>
    <t>Natapar</t>
  </si>
  <si>
    <t>Apetaoi</t>
  </si>
  <si>
    <t>Nadiket</t>
  </si>
  <si>
    <t>Chokolias</t>
  </si>
  <si>
    <t>Akwapua</t>
  </si>
  <si>
    <t>Nangorkipi</t>
  </si>
  <si>
    <t>Lobei</t>
  </si>
  <si>
    <t>Kalogilikol</t>
  </si>
  <si>
    <t>Nakidoka</t>
  </si>
  <si>
    <t>Total</t>
  </si>
  <si>
    <t>Acherer Health Centre II</t>
  </si>
  <si>
    <t>NATAPARAKWANGAN</t>
  </si>
  <si>
    <t>ACHERER</t>
  </si>
  <si>
    <t>Simon</t>
  </si>
  <si>
    <t>Kopoe</t>
  </si>
  <si>
    <t>Arengkeju</t>
  </si>
  <si>
    <t>Kaipetar</t>
  </si>
  <si>
    <t>LOTISAN</t>
  </si>
  <si>
    <t>Naregae</t>
  </si>
  <si>
    <t>Nadunget Health Centre III</t>
  </si>
  <si>
    <t>LOKERIAUT</t>
  </si>
  <si>
    <t>Katelengo</t>
  </si>
  <si>
    <t>KALOE</t>
  </si>
  <si>
    <t>MUSUPO</t>
  </si>
  <si>
    <t>Kailkong</t>
  </si>
  <si>
    <t>RUPA</t>
  </si>
  <si>
    <t>Lolemupal</t>
  </si>
  <si>
    <t>Nalepon</t>
  </si>
  <si>
    <t>NAKAMISTAE WARD</t>
  </si>
  <si>
    <t>Nakaparat</t>
  </si>
  <si>
    <t>Naputh Liogoi</t>
  </si>
  <si>
    <t>KOTARUK</t>
  </si>
  <si>
    <t>Kotaruk</t>
  </si>
  <si>
    <t>Lolet-Ekiya</t>
  </si>
  <si>
    <t>Katanga A</t>
  </si>
  <si>
    <t>Katanga B</t>
  </si>
  <si>
    <t>Naonokitoe</t>
  </si>
  <si>
    <t>Kanakomol</t>
  </si>
  <si>
    <t>Namijmij</t>
  </si>
  <si>
    <t>Kakodarenng</t>
  </si>
  <si>
    <t>Awoimuju</t>
  </si>
  <si>
    <t>NANGORIT</t>
  </si>
  <si>
    <t>Nangorit</t>
  </si>
  <si>
    <t>Losiyae</t>
  </si>
  <si>
    <t>Nabokat</t>
  </si>
  <si>
    <t>NADUNGET TOWN COUNCIL</t>
  </si>
  <si>
    <t>Kachakatom</t>
  </si>
  <si>
    <t>LORIKOKWA WARD</t>
  </si>
  <si>
    <t>Lorikokwa</t>
  </si>
  <si>
    <t>Loputiput</t>
  </si>
  <si>
    <t>Longoleki</t>
  </si>
  <si>
    <t>NAKAPELIMEN WARD</t>
  </si>
  <si>
    <t>Lolain</t>
  </si>
  <si>
    <t>Lokorirot</t>
  </si>
  <si>
    <t>Lokilala</t>
  </si>
  <si>
    <t>Apopong</t>
  </si>
  <si>
    <t>Kalopeilem</t>
  </si>
  <si>
    <t>Kanengu</t>
  </si>
  <si>
    <t>Kanimesek</t>
  </si>
  <si>
    <t>Lokaburu</t>
  </si>
  <si>
    <t>Lokeriaut A</t>
  </si>
  <si>
    <t>Lokeriaut B</t>
  </si>
  <si>
    <t>Nakiloro Health Centre III</t>
  </si>
  <si>
    <t>KAPWAATA</t>
  </si>
  <si>
    <t>Napedo</t>
  </si>
  <si>
    <t>KATIKEKILE</t>
  </si>
  <si>
    <t>Kaimekuya</t>
  </si>
  <si>
    <t>Lokwachom</t>
  </si>
  <si>
    <t>NAKILORO</t>
  </si>
  <si>
    <t>Lolung</t>
  </si>
  <si>
    <t>Lomunyenkirion</t>
  </si>
  <si>
    <t>Lopetakwang</t>
  </si>
  <si>
    <t>Morukaekero</t>
  </si>
  <si>
    <t>Naput</t>
  </si>
  <si>
    <t>Namaire</t>
  </si>
  <si>
    <t>Nakabat</t>
  </si>
  <si>
    <t>St.Pius Kidepo  Health Centre III</t>
  </si>
  <si>
    <t>Akwakipii</t>
  </si>
  <si>
    <t>LOKISILEI</t>
  </si>
  <si>
    <t>Akwapuwa</t>
  </si>
  <si>
    <t>LOREGAIT</t>
  </si>
  <si>
    <t>Amunyodoi</t>
  </si>
  <si>
    <t>LOO-ARENGAK</t>
  </si>
  <si>
    <t>Apeitirir</t>
  </si>
  <si>
    <t>Atirwae</t>
  </si>
  <si>
    <t>NAKADELI</t>
  </si>
  <si>
    <t>Kaloi A</t>
  </si>
  <si>
    <t>Kaloi B</t>
  </si>
  <si>
    <t>PUPU</t>
  </si>
  <si>
    <t>Lokadukak</t>
  </si>
  <si>
    <t>Kanakol</t>
  </si>
  <si>
    <t>Kidepo A</t>
  </si>
  <si>
    <t>Kidepo B</t>
  </si>
  <si>
    <t>Kisop</t>
  </si>
  <si>
    <t>Lobongrwa</t>
  </si>
  <si>
    <t>Lokaal</t>
  </si>
  <si>
    <t>Lokalimon</t>
  </si>
  <si>
    <t>Nangolet</t>
  </si>
  <si>
    <t>Lokipuro</t>
  </si>
  <si>
    <t>Lokisilei</t>
  </si>
  <si>
    <t>LOBUNEIT</t>
  </si>
  <si>
    <t>Lokitelakapes</t>
  </si>
  <si>
    <t>Lokitumo</t>
  </si>
  <si>
    <t>Kobebe</t>
  </si>
  <si>
    <t>Lolukten</t>
  </si>
  <si>
    <t>Longoroko</t>
  </si>
  <si>
    <t>Loyakaromoe</t>
  </si>
  <si>
    <t>Moru-Adakai</t>
  </si>
  <si>
    <t>Namogorat</t>
  </si>
  <si>
    <t>Natikokinei</t>
  </si>
  <si>
    <t>Nayelel</t>
  </si>
  <si>
    <t>Kobebe B</t>
  </si>
  <si>
    <t>Poroo</t>
  </si>
  <si>
    <t>Pupu</t>
  </si>
  <si>
    <t>Rupa Health Centre II</t>
  </si>
  <si>
    <t>Acholi-Inn</t>
  </si>
  <si>
    <t>Kadilakeny</t>
  </si>
  <si>
    <t>Kochinoi</t>
  </si>
  <si>
    <t>Lomario</t>
  </si>
  <si>
    <t>Lokemerikapel</t>
  </si>
  <si>
    <t>Looreng</t>
  </si>
  <si>
    <t>Lorukumo</t>
  </si>
  <si>
    <t>Kailekol</t>
  </si>
  <si>
    <t>Musupo</t>
  </si>
  <si>
    <t>Naminam</t>
  </si>
  <si>
    <t>Lomunyekirion</t>
  </si>
  <si>
    <t>Naturumurum</t>
  </si>
  <si>
    <t>Tangadel</t>
  </si>
  <si>
    <t>Rata</t>
  </si>
  <si>
    <t>Lonyasan</t>
  </si>
  <si>
    <t>Lotirir Health Centre II</t>
  </si>
  <si>
    <t>LOTIRIR</t>
  </si>
  <si>
    <t>Lopur</t>
  </si>
  <si>
    <t>Lorengetela</t>
  </si>
  <si>
    <t>NAWANATAU</t>
  </si>
  <si>
    <t>Namatwee</t>
  </si>
  <si>
    <t>Nangorikipi</t>
  </si>
  <si>
    <t>Natari</t>
  </si>
  <si>
    <t>Nawanatau</t>
  </si>
  <si>
    <t>Kosirori Health Centre II</t>
  </si>
  <si>
    <t>Akolitela</t>
  </si>
  <si>
    <t>Aoyakeru</t>
  </si>
  <si>
    <t>Katikekile B</t>
  </si>
  <si>
    <t>Katikekile A</t>
  </si>
  <si>
    <t>Kosiro A</t>
  </si>
  <si>
    <t>Kosiroi B</t>
  </si>
  <si>
    <t>KODONYO</t>
  </si>
  <si>
    <t>Lomuria Aperit</t>
  </si>
  <si>
    <t>Nakomoliwaret</t>
  </si>
  <si>
    <t>Amerikorwa</t>
  </si>
  <si>
    <t>Namanang</t>
  </si>
  <si>
    <t>Kauriong</t>
  </si>
  <si>
    <t>Kodonyo Health Centre II</t>
  </si>
  <si>
    <t>MUSAS</t>
  </si>
  <si>
    <t>Achukul</t>
  </si>
  <si>
    <t>Ariamabul</t>
  </si>
  <si>
    <t>Belemit</t>
  </si>
  <si>
    <t>Kaethin</t>
  </si>
  <si>
    <t>Nachileta</t>
  </si>
  <si>
    <t>Kosomoita</t>
  </si>
  <si>
    <t>Lobur-Angikwaamong</t>
  </si>
  <si>
    <t>Lokutakori A</t>
  </si>
  <si>
    <t>Lomor-Arengak</t>
  </si>
  <si>
    <t>Lomunyenkipurat</t>
  </si>
  <si>
    <t>Mojir</t>
  </si>
  <si>
    <t>Musas</t>
  </si>
  <si>
    <t>Nakamichora</t>
  </si>
  <si>
    <t>Loemat</t>
  </si>
  <si>
    <t>Namichot</t>
  </si>
  <si>
    <t>Loopong</t>
  </si>
  <si>
    <t>Ogolot</t>
  </si>
  <si>
    <t>Sogolomog</t>
  </si>
  <si>
    <t>Tikokin</t>
  </si>
  <si>
    <t>Kalemungole Health Centre II</t>
  </si>
  <si>
    <t>Kamukuchi</t>
  </si>
  <si>
    <t>Lonyowa</t>
  </si>
  <si>
    <t>Lopetai</t>
  </si>
  <si>
    <t>Apuruchino</t>
  </si>
  <si>
    <t>Nakimet</t>
  </si>
  <si>
    <t>Nakukuse</t>
  </si>
  <si>
    <t>Naturongole</t>
  </si>
  <si>
    <t>Poro</t>
  </si>
  <si>
    <t>Napao-Achokon</t>
  </si>
  <si>
    <t>Komun</t>
  </si>
  <si>
    <t>Lodoket A Moroto</t>
  </si>
  <si>
    <t>Kakingol Health Centre II</t>
  </si>
  <si>
    <t>Abulio</t>
  </si>
  <si>
    <t>Arengechoto</t>
  </si>
  <si>
    <t>Kaabong</t>
  </si>
  <si>
    <t>Kaitura</t>
  </si>
  <si>
    <t>Lokolias</t>
  </si>
  <si>
    <t>Longurepe</t>
  </si>
  <si>
    <t>Lopong</t>
  </si>
  <si>
    <t>Moru-Kaekori</t>
  </si>
  <si>
    <t>Moru-Kechom</t>
  </si>
  <si>
    <t>Nachoca</t>
  </si>
  <si>
    <t>Nakodet</t>
  </si>
  <si>
    <t>Kokiliokit</t>
  </si>
  <si>
    <t>Nameja</t>
  </si>
  <si>
    <t>Natedekenyait</t>
  </si>
  <si>
    <t>Narengenya</t>
  </si>
  <si>
    <t>Naroo</t>
  </si>
  <si>
    <t>LIA</t>
  </si>
  <si>
    <t>Nangataret</t>
  </si>
  <si>
    <t>Omutuk</t>
  </si>
  <si>
    <t>DMOs Clinic Health Centre III</t>
  </si>
  <si>
    <t>NORTH DIVISION</t>
  </si>
  <si>
    <t>BOMA NORTH</t>
  </si>
  <si>
    <t>Natumkasikou</t>
  </si>
  <si>
    <t>Baazar</t>
  </si>
  <si>
    <t>Junior Quarters</t>
  </si>
  <si>
    <t>Moroto High School</t>
  </si>
  <si>
    <t>Police Barracks</t>
  </si>
  <si>
    <t xml:space="preserve">Senior Quarters </t>
  </si>
  <si>
    <t>Army Barracks</t>
  </si>
  <si>
    <t>Hospital Quarters</t>
  </si>
  <si>
    <t xml:space="preserve">Rtc </t>
  </si>
  <si>
    <t xml:space="preserve">Prisons Barracks </t>
  </si>
  <si>
    <t>Nagis</t>
  </si>
  <si>
    <t>Nakapelimen Health Centre II</t>
  </si>
  <si>
    <t>Ariowose</t>
  </si>
  <si>
    <t>SOUTH DIVISION</t>
  </si>
  <si>
    <t>CAMPSWAHILI CHIN</t>
  </si>
  <si>
    <t>Camp/Chin</t>
  </si>
  <si>
    <t>CAMPSWAHILI JUU</t>
  </si>
  <si>
    <t>Camp/Juu</t>
  </si>
  <si>
    <t>Kakoliye</t>
  </si>
  <si>
    <t>Kambizi</t>
  </si>
  <si>
    <t>Labourline</t>
  </si>
  <si>
    <t>Lowoi</t>
  </si>
  <si>
    <t>Nabuin</t>
  </si>
  <si>
    <t>Nadukon</t>
  </si>
  <si>
    <t>Nakachat</t>
  </si>
  <si>
    <t>Namorutomei</t>
  </si>
  <si>
    <t>Singila</t>
  </si>
  <si>
    <t>Regina Mundi</t>
  </si>
  <si>
    <t>Kanawat HC III</t>
  </si>
  <si>
    <t>Kacheri HC III</t>
  </si>
  <si>
    <t>Lopuyo HC II</t>
  </si>
  <si>
    <t>KDDO HC III</t>
  </si>
  <si>
    <t>Losilang HC III</t>
  </si>
  <si>
    <t>Lookorok HC II</t>
  </si>
  <si>
    <t>Nakapelimoru HC III</t>
  </si>
  <si>
    <t>405 BGDE HC III</t>
  </si>
  <si>
    <t>Napumpum HC III</t>
  </si>
  <si>
    <t>Rikitea HC II</t>
  </si>
  <si>
    <t>Panyangara HC III</t>
  </si>
  <si>
    <t>Lotim HC II</t>
  </si>
  <si>
    <t>Lotim</t>
  </si>
  <si>
    <t>Morukori</t>
  </si>
  <si>
    <t>Narengepak HC II</t>
  </si>
  <si>
    <t>Kathile South</t>
  </si>
  <si>
    <t>Narengepak</t>
  </si>
  <si>
    <t>Loit</t>
  </si>
  <si>
    <t>Moru Etom</t>
  </si>
  <si>
    <t>Najeelem</t>
  </si>
  <si>
    <t>Nakilar</t>
  </si>
  <si>
    <t>Nakore North</t>
  </si>
  <si>
    <t>Naryamaoi HC II</t>
  </si>
  <si>
    <t>Nariamaaoi</t>
  </si>
  <si>
    <t>Nariamaaoi North</t>
  </si>
  <si>
    <t>Nariamaaoi South</t>
  </si>
  <si>
    <t>Lokerui HC II</t>
  </si>
  <si>
    <t>Kaabong West</t>
  </si>
  <si>
    <t>Lokerui Centre</t>
  </si>
  <si>
    <t>Karimojong</t>
  </si>
  <si>
    <t>Lokerui North</t>
  </si>
  <si>
    <t>Lokerui South</t>
  </si>
  <si>
    <t>Yerun</t>
  </si>
  <si>
    <t>Timu HC II</t>
  </si>
  <si>
    <t>Kapalu</t>
  </si>
  <si>
    <t>Domok</t>
  </si>
  <si>
    <t>Lokitela Ka Elob</t>
  </si>
  <si>
    <t>Napongo</t>
  </si>
  <si>
    <t>Tutet</t>
  </si>
  <si>
    <t>Loyoro HC II</t>
  </si>
  <si>
    <t>Loleokot</t>
  </si>
  <si>
    <t>Losulut/Nakicher</t>
  </si>
  <si>
    <t>Lochom HC II</t>
  </si>
  <si>
    <t>Sidok</t>
  </si>
  <si>
    <t>CHILDREN</t>
  </si>
  <si>
    <t>Kacholo HC III</t>
  </si>
  <si>
    <t>kalimon HC III</t>
  </si>
  <si>
    <t>Kapedo HC III</t>
  </si>
  <si>
    <t>Karenga HC IV</t>
  </si>
  <si>
    <t>Kidepo HC II</t>
  </si>
  <si>
    <t>Koholo HC II</t>
  </si>
  <si>
    <t>Lobalangit HC III</t>
  </si>
  <si>
    <t>Lokori HC II</t>
  </si>
  <si>
    <t>Pire HC II</t>
  </si>
  <si>
    <t>St. Jude HC II</t>
  </si>
  <si>
    <t>Nabulenger  Health Centre III</t>
  </si>
  <si>
    <t xml:space="preserve"> </t>
  </si>
  <si>
    <t>Kamoru</t>
  </si>
  <si>
    <t>Kamoru HC III</t>
  </si>
  <si>
    <t>Kotido General Hospital</t>
  </si>
  <si>
    <t>lobanya HC 11</t>
  </si>
  <si>
    <t>Loctelabue  HC 127</t>
  </si>
  <si>
    <t>lokitelaebu</t>
  </si>
  <si>
    <t>kapuyon</t>
  </si>
  <si>
    <t>Lokitelaebu HC III</t>
  </si>
  <si>
    <t>Losakucha HCII</t>
  </si>
  <si>
    <t>Karamo</t>
  </si>
  <si>
    <t>nakwakwa hc 11</t>
  </si>
  <si>
    <t>morunyang</t>
  </si>
  <si>
    <t>Regen HC III</t>
  </si>
  <si>
    <t>Dwaragwe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</si>
</sst>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4" tint="-0.499984740745262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Display"/>
      <family val="2"/>
    </font>
    <font>
      <b/>
      <sz val="12"/>
      <name val="Aptos Display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1"/>
      <name val="Aptos Narrow"/>
      <family val="2"/>
    </font>
    <font>
      <b/>
      <sz val="12"/>
      <color theme="1"/>
      <name val="Aptos Display"/>
      <family val="2"/>
    </font>
    <font>
      <b/>
      <sz val="10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FFFF00"/>
      </patternFill>
    </fill>
    <fill>
      <patternFill patternType="solid">
        <fgColor rgb="FFA2A2A2"/>
        <bgColor indexed="64"/>
      </patternFill>
    </fill>
    <fill>
      <patternFill patternType="solid">
        <fgColor rgb="FFA2A2A2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2A2A2"/>
        <bgColor rgb="FF9CC2E5"/>
      </patternFill>
    </fill>
    <fill>
      <patternFill patternType="solid">
        <fgColor rgb="FFA2A2A2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375">
    <xf numFmtId="0" fontId="0" fillId="0" borderId="0" xfId="0"/>
    <xf numFmtId="0" fontId="4" fillId="9" borderId="1" xfId="0" applyFont="1" applyFill="1" applyBorder="1"/>
    <xf numFmtId="0" fontId="4" fillId="12" borderId="1" xfId="0" applyFont="1" applyFill="1" applyBorder="1"/>
    <xf numFmtId="0" fontId="4" fillId="0" borderId="0" xfId="0" applyFont="1"/>
    <xf numFmtId="1" fontId="4" fillId="0" borderId="0" xfId="0" applyNumberFormat="1" applyFont="1"/>
    <xf numFmtId="0" fontId="4" fillId="2" borderId="0" xfId="0" applyFont="1" applyFill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 applyProtection="1">
      <alignment horizontal="right" wrapText="1"/>
      <protection locked="0"/>
    </xf>
    <xf numFmtId="1" fontId="8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right"/>
    </xf>
    <xf numFmtId="1" fontId="8" fillId="0" borderId="1" xfId="0" applyNumberFormat="1" applyFont="1" applyBorder="1" applyAlignment="1">
      <alignment horizontal="right" vertical="center"/>
    </xf>
    <xf numFmtId="164" fontId="8" fillId="0" borderId="1" xfId="1" applyFont="1" applyFill="1" applyBorder="1" applyAlignment="1" applyProtection="1">
      <alignment horizontal="right" wrapText="1"/>
      <protection locked="0"/>
    </xf>
    <xf numFmtId="0" fontId="3" fillId="2" borderId="1" xfId="0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right" vertical="center"/>
    </xf>
    <xf numFmtId="1" fontId="6" fillId="7" borderId="1" xfId="0" quotePrefix="1" applyNumberFormat="1" applyFont="1" applyFill="1" applyBorder="1" applyAlignment="1">
      <alignment horizontal="center"/>
    </xf>
    <xf numFmtId="1" fontId="8" fillId="7" borderId="1" xfId="0" applyNumberFormat="1" applyFont="1" applyFill="1" applyBorder="1"/>
    <xf numFmtId="0" fontId="9" fillId="7" borderId="1" xfId="0" applyFont="1" applyFill="1" applyBorder="1" applyAlignment="1">
      <alignment vertical="center" wrapText="1"/>
    </xf>
    <xf numFmtId="1" fontId="6" fillId="7" borderId="1" xfId="0" applyNumberFormat="1" applyFont="1" applyFill="1" applyBorder="1" applyAlignment="1">
      <alignment horizontal="right"/>
    </xf>
    <xf numFmtId="1" fontId="6" fillId="7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1" fontId="6" fillId="7" borderId="1" xfId="0" applyNumberFormat="1" applyFont="1" applyFill="1" applyBorder="1"/>
    <xf numFmtId="1" fontId="6" fillId="0" borderId="1" xfId="0" quotePrefix="1" applyNumberFormat="1" applyFont="1" applyBorder="1" applyAlignment="1">
      <alignment horizontal="center"/>
    </xf>
    <xf numFmtId="1" fontId="6" fillId="2" borderId="1" xfId="0" applyNumberFormat="1" applyFont="1" applyFill="1" applyBorder="1"/>
    <xf numFmtId="0" fontId="8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4" fillId="0" borderId="1" xfId="0" applyFont="1" applyBorder="1" applyAlignment="1">
      <alignment vertical="center" wrapText="1"/>
    </xf>
    <xf numFmtId="1" fontId="8" fillId="0" borderId="1" xfId="0" applyNumberFormat="1" applyFont="1" applyBorder="1"/>
    <xf numFmtId="0" fontId="8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8" borderId="1" xfId="0" applyFont="1" applyFill="1" applyBorder="1"/>
    <xf numFmtId="0" fontId="3" fillId="8" borderId="1" xfId="0" applyFont="1" applyFill="1" applyBorder="1" applyAlignment="1">
      <alignment horizontal="justify" vertical="center"/>
    </xf>
    <xf numFmtId="0" fontId="3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8" borderId="1" xfId="0" applyFont="1" applyFill="1" applyBorder="1" applyAlignment="1">
      <alignment horizontal="justify"/>
    </xf>
    <xf numFmtId="0" fontId="3" fillId="8" borderId="1" xfId="0" applyFont="1" applyFill="1" applyBorder="1"/>
    <xf numFmtId="1" fontId="8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>
      <alignment vertical="top" wrapText="1"/>
    </xf>
    <xf numFmtId="0" fontId="4" fillId="10" borderId="1" xfId="0" applyFont="1" applyFill="1" applyBorder="1" applyAlignment="1">
      <alignment wrapText="1"/>
    </xf>
    <xf numFmtId="0" fontId="4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8" fillId="2" borderId="2" xfId="0" applyNumberFormat="1" applyFont="1" applyFill="1" applyBorder="1" applyAlignment="1">
      <alignment vertical="top"/>
    </xf>
    <xf numFmtId="0" fontId="9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" fontId="8" fillId="13" borderId="2" xfId="0" applyNumberFormat="1" applyFont="1" applyFill="1" applyBorder="1" applyAlignment="1">
      <alignment vertical="top"/>
    </xf>
    <xf numFmtId="1" fontId="8" fillId="13" borderId="4" xfId="0" applyNumberFormat="1" applyFont="1" applyFill="1" applyBorder="1" applyAlignment="1">
      <alignment vertical="top"/>
    </xf>
    <xf numFmtId="0" fontId="4" fillId="13" borderId="4" xfId="0" applyFont="1" applyFill="1" applyBorder="1" applyAlignment="1">
      <alignment vertical="top"/>
    </xf>
    <xf numFmtId="0" fontId="9" fillId="13" borderId="1" xfId="0" applyFont="1" applyFill="1" applyBorder="1" applyAlignment="1">
      <alignment horizontal="justify" vertical="center"/>
    </xf>
    <xf numFmtId="0" fontId="9" fillId="13" borderId="1" xfId="0" applyFont="1" applyFill="1" applyBorder="1" applyAlignment="1">
      <alignment vertical="center"/>
    </xf>
    <xf numFmtId="0" fontId="4" fillId="13" borderId="1" xfId="0" applyFont="1" applyFill="1" applyBorder="1"/>
    <xf numFmtId="1" fontId="8" fillId="13" borderId="1" xfId="0" applyNumberFormat="1" applyFont="1" applyFill="1" applyBorder="1"/>
    <xf numFmtId="0" fontId="8" fillId="13" borderId="1" xfId="0" applyFont="1" applyFill="1" applyBorder="1" applyAlignment="1">
      <alignment vertical="top"/>
    </xf>
    <xf numFmtId="0" fontId="6" fillId="13" borderId="1" xfId="0" applyFont="1" applyFill="1" applyBorder="1"/>
    <xf numFmtId="0" fontId="5" fillId="13" borderId="1" xfId="0" applyFont="1" applyFill="1" applyBorder="1"/>
    <xf numFmtId="0" fontId="5" fillId="14" borderId="1" xfId="0" applyFont="1" applyFill="1" applyBorder="1"/>
    <xf numFmtId="0" fontId="8" fillId="13" borderId="1" xfId="0" applyFont="1" applyFill="1" applyBorder="1"/>
    <xf numFmtId="0" fontId="4" fillId="14" borderId="1" xfId="0" applyFont="1" applyFill="1" applyBorder="1"/>
    <xf numFmtId="0" fontId="8" fillId="15" borderId="1" xfId="0" applyFont="1" applyFill="1" applyBorder="1"/>
    <xf numFmtId="0" fontId="5" fillId="15" borderId="1" xfId="0" applyFont="1" applyFill="1" applyBorder="1"/>
    <xf numFmtId="0" fontId="4" fillId="0" borderId="1" xfId="0" applyFont="1" applyBorder="1" applyAlignment="1">
      <alignment horizontal="right" vertical="center" wrapText="1"/>
    </xf>
    <xf numFmtId="0" fontId="5" fillId="16" borderId="1" xfId="0" applyFont="1" applyFill="1" applyBorder="1"/>
    <xf numFmtId="0" fontId="4" fillId="17" borderId="1" xfId="0" applyFont="1" applyFill="1" applyBorder="1"/>
    <xf numFmtId="0" fontId="5" fillId="13" borderId="1" xfId="0" applyFont="1" applyFill="1" applyBorder="1" applyAlignment="1">
      <alignment vertical="center"/>
    </xf>
    <xf numFmtId="0" fontId="4" fillId="11" borderId="1" xfId="0" applyFont="1" applyFill="1" applyBorder="1"/>
    <xf numFmtId="0" fontId="4" fillId="16" borderId="1" xfId="0" applyFont="1" applyFill="1" applyBorder="1"/>
    <xf numFmtId="0" fontId="3" fillId="2" borderId="1" xfId="0" applyFont="1" applyFill="1" applyBorder="1" applyAlignment="1">
      <alignment horizontal="justify" vertical="top"/>
    </xf>
    <xf numFmtId="0" fontId="3" fillId="8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9" fillId="13" borderId="1" xfId="0" applyFont="1" applyFill="1" applyBorder="1" applyAlignment="1">
      <alignment horizontal="justify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164" fontId="8" fillId="0" borderId="1" xfId="1" applyFont="1" applyFill="1" applyBorder="1" applyAlignment="1" applyProtection="1">
      <alignment horizontal="center" vertical="center" wrapText="1"/>
      <protection locked="0"/>
    </xf>
    <xf numFmtId="1" fontId="8" fillId="18" borderId="1" xfId="0" applyNumberFormat="1" applyFont="1" applyFill="1" applyBorder="1" applyAlignment="1" applyProtection="1">
      <alignment horizontal="right" vertical="center"/>
      <protection locked="0"/>
    </xf>
    <xf numFmtId="164" fontId="6" fillId="7" borderId="1" xfId="1" applyFont="1" applyFill="1" applyBorder="1" applyAlignment="1" applyProtection="1">
      <alignment horizontal="right" wrapText="1"/>
      <protection locked="0"/>
    </xf>
    <xf numFmtId="1" fontId="6" fillId="7" borderId="1" xfId="0" applyNumberFormat="1" applyFont="1" applyFill="1" applyBorder="1" applyAlignment="1" applyProtection="1">
      <alignment horizontal="right" vertical="center"/>
      <protection locked="0"/>
    </xf>
    <xf numFmtId="164" fontId="8" fillId="2" borderId="1" xfId="1" applyFont="1" applyFill="1" applyBorder="1" applyAlignment="1" applyProtection="1">
      <alignment horizontal="right" wrapText="1"/>
      <protection locked="0"/>
    </xf>
    <xf numFmtId="1" fontId="8" fillId="0" borderId="2" xfId="0" applyNumberFormat="1" applyFont="1" applyBorder="1" applyAlignment="1">
      <alignment vertical="top"/>
    </xf>
    <xf numFmtId="0" fontId="8" fillId="2" borderId="1" xfId="0" applyFont="1" applyFill="1" applyBorder="1" applyAlignment="1">
      <alignment vertical="top" wrapText="1"/>
    </xf>
    <xf numFmtId="1" fontId="8" fillId="2" borderId="2" xfId="0" applyNumberFormat="1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1" fontId="8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8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" fontId="6" fillId="0" borderId="1" xfId="0" applyNumberFormat="1" applyFont="1" applyBorder="1"/>
    <xf numFmtId="1" fontId="4" fillId="0" borderId="1" xfId="0" applyNumberFormat="1" applyFont="1" applyBorder="1"/>
    <xf numFmtId="0" fontId="3" fillId="0" borderId="1" xfId="0" applyFont="1" applyBorder="1"/>
    <xf numFmtId="3" fontId="4" fillId="0" borderId="1" xfId="0" applyNumberFormat="1" applyFont="1" applyBorder="1"/>
    <xf numFmtId="0" fontId="9" fillId="8" borderId="8" xfId="0" applyFont="1" applyFill="1" applyBorder="1" applyAlignment="1">
      <alignment horizontal="center" vertical="center"/>
    </xf>
    <xf numFmtId="0" fontId="0" fillId="0" borderId="1" xfId="0" applyBorder="1"/>
    <xf numFmtId="0" fontId="6" fillId="7" borderId="1" xfId="0" applyFont="1" applyFill="1" applyBorder="1"/>
    <xf numFmtId="0" fontId="5" fillId="7" borderId="1" xfId="0" applyFont="1" applyFill="1" applyBorder="1"/>
    <xf numFmtId="0" fontId="5" fillId="20" borderId="1" xfId="0" applyFont="1" applyFill="1" applyBorder="1"/>
    <xf numFmtId="0" fontId="10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8" fillId="7" borderId="1" xfId="0" applyFont="1" applyFill="1" applyBorder="1"/>
    <xf numFmtId="0" fontId="4" fillId="19" borderId="1" xfId="0" applyFont="1" applyFill="1" applyBorder="1"/>
    <xf numFmtId="0" fontId="4" fillId="7" borderId="0" xfId="0" applyFont="1" applyFill="1"/>
    <xf numFmtId="0" fontId="4" fillId="7" borderId="1" xfId="0" applyFont="1" applyFill="1" applyBorder="1"/>
    <xf numFmtId="0" fontId="8" fillId="2" borderId="2" xfId="0" applyFont="1" applyFill="1" applyBorder="1"/>
    <xf numFmtId="0" fontId="4" fillId="9" borderId="2" xfId="0" applyFont="1" applyFill="1" applyBorder="1"/>
    <xf numFmtId="0" fontId="0" fillId="2" borderId="2" xfId="0" applyFill="1" applyBorder="1"/>
    <xf numFmtId="0" fontId="0" fillId="0" borderId="2" xfId="0" applyBorder="1"/>
    <xf numFmtId="0" fontId="8" fillId="2" borderId="4" xfId="0" applyFont="1" applyFill="1" applyBorder="1"/>
    <xf numFmtId="0" fontId="4" fillId="0" borderId="4" xfId="0" applyFont="1" applyBorder="1"/>
    <xf numFmtId="0" fontId="1" fillId="2" borderId="4" xfId="0" applyFont="1" applyFill="1" applyBorder="1"/>
    <xf numFmtId="0" fontId="0" fillId="0" borderId="4" xfId="0" applyBorder="1"/>
    <xf numFmtId="1" fontId="5" fillId="20" borderId="1" xfId="0" applyNumberFormat="1" applyFont="1" applyFill="1" applyBorder="1"/>
    <xf numFmtId="0" fontId="5" fillId="4" borderId="0" xfId="0" applyFont="1" applyFill="1"/>
    <xf numFmtId="0" fontId="5" fillId="21" borderId="1" xfId="0" applyFont="1" applyFill="1" applyBorder="1"/>
    <xf numFmtId="0" fontId="5" fillId="22" borderId="1" xfId="0" applyFont="1" applyFill="1" applyBorder="1"/>
    <xf numFmtId="0" fontId="5" fillId="23" borderId="1" xfId="0" applyFont="1" applyFill="1" applyBorder="1"/>
    <xf numFmtId="0" fontId="5" fillId="23" borderId="1" xfId="0" applyFont="1" applyFill="1" applyBorder="1" applyAlignment="1">
      <alignment vertical="center" wrapText="1"/>
    </xf>
    <xf numFmtId="1" fontId="5" fillId="23" borderId="1" xfId="0" applyNumberFormat="1" applyFont="1" applyFill="1" applyBorder="1" applyAlignment="1">
      <alignment vertical="center" wrapText="1"/>
    </xf>
    <xf numFmtId="0" fontId="5" fillId="24" borderId="1" xfId="0" applyFont="1" applyFill="1" applyBorder="1"/>
    <xf numFmtId="0" fontId="5" fillId="24" borderId="1" xfId="0" applyFont="1" applyFill="1" applyBorder="1" applyAlignment="1">
      <alignment vertical="center" wrapText="1"/>
    </xf>
    <xf numFmtId="1" fontId="5" fillId="24" borderId="1" xfId="0" applyNumberFormat="1" applyFont="1" applyFill="1" applyBorder="1" applyAlignment="1">
      <alignment vertical="center" wrapText="1"/>
    </xf>
    <xf numFmtId="0" fontId="4" fillId="25" borderId="1" xfId="0" applyFont="1" applyFill="1" applyBorder="1"/>
    <xf numFmtId="0" fontId="0" fillId="25" borderId="1" xfId="0" applyFill="1" applyBorder="1"/>
    <xf numFmtId="1" fontId="4" fillId="25" borderId="1" xfId="0" applyNumberFormat="1" applyFont="1" applyFill="1" applyBorder="1"/>
    <xf numFmtId="0" fontId="4" fillId="2" borderId="15" xfId="0" applyFont="1" applyFill="1" applyBorder="1"/>
    <xf numFmtId="0" fontId="10" fillId="25" borderId="1" xfId="0" applyFont="1" applyFill="1" applyBorder="1"/>
    <xf numFmtId="0" fontId="4" fillId="27" borderId="1" xfId="0" applyFont="1" applyFill="1" applyBorder="1"/>
    <xf numFmtId="0" fontId="0" fillId="27" borderId="1" xfId="0" applyFill="1" applyBorder="1"/>
    <xf numFmtId="1" fontId="0" fillId="27" borderId="1" xfId="0" applyNumberFormat="1" applyFill="1" applyBorder="1"/>
    <xf numFmtId="3" fontId="0" fillId="27" borderId="1" xfId="0" applyNumberFormat="1" applyFill="1" applyBorder="1"/>
    <xf numFmtId="0" fontId="4" fillId="28" borderId="1" xfId="0" applyFont="1" applyFill="1" applyBorder="1"/>
    <xf numFmtId="0" fontId="5" fillId="28" borderId="1" xfId="0" applyFont="1" applyFill="1" applyBorder="1"/>
    <xf numFmtId="1" fontId="4" fillId="20" borderId="1" xfId="0" applyNumberFormat="1" applyFont="1" applyFill="1" applyBorder="1"/>
    <xf numFmtId="0" fontId="5" fillId="29" borderId="1" xfId="0" applyFont="1" applyFill="1" applyBorder="1"/>
    <xf numFmtId="0" fontId="4" fillId="29" borderId="1" xfId="0" applyFont="1" applyFill="1" applyBorder="1"/>
    <xf numFmtId="1" fontId="4" fillId="29" borderId="1" xfId="0" applyNumberFormat="1" applyFont="1" applyFill="1" applyBorder="1"/>
    <xf numFmtId="1" fontId="4" fillId="30" borderId="1" xfId="0" applyNumberFormat="1" applyFont="1" applyFill="1" applyBorder="1"/>
    <xf numFmtId="1" fontId="4" fillId="26" borderId="1" xfId="0" applyNumberFormat="1" applyFont="1" applyFill="1" applyBorder="1"/>
    <xf numFmtId="0" fontId="5" fillId="18" borderId="1" xfId="0" applyFont="1" applyFill="1" applyBorder="1"/>
    <xf numFmtId="0" fontId="14" fillId="2" borderId="1" xfId="0" applyFont="1" applyFill="1" applyBorder="1" applyAlignment="1">
      <alignment vertical="center" wrapText="1"/>
    </xf>
    <xf numFmtId="0" fontId="0" fillId="31" borderId="0" xfId="0" applyFill="1"/>
    <xf numFmtId="0" fontId="15" fillId="31" borderId="4" xfId="0" applyFont="1" applyFill="1" applyBorder="1" applyAlignment="1">
      <alignment vertical="center" wrapText="1"/>
    </xf>
    <xf numFmtId="0" fontId="11" fillId="4" borderId="4" xfId="0" applyFont="1" applyFill="1" applyBorder="1"/>
    <xf numFmtId="0" fontId="11" fillId="6" borderId="4" xfId="0" applyFont="1" applyFill="1" applyBorder="1"/>
    <xf numFmtId="0" fontId="11" fillId="20" borderId="4" xfId="0" applyFont="1" applyFill="1" applyBorder="1"/>
    <xf numFmtId="0" fontId="11" fillId="18" borderId="4" xfId="0" applyFont="1" applyFill="1" applyBorder="1"/>
    <xf numFmtId="0" fontId="14" fillId="2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 wrapText="1"/>
    </xf>
    <xf numFmtId="1" fontId="17" fillId="2" borderId="1" xfId="0" applyNumberFormat="1" applyFont="1" applyFill="1" applyBorder="1"/>
    <xf numFmtId="0" fontId="15" fillId="7" borderId="2" xfId="0" applyFont="1" applyFill="1" applyBorder="1" applyAlignment="1">
      <alignment vertical="center" wrapText="1"/>
    </xf>
    <xf numFmtId="0" fontId="11" fillId="4" borderId="3" xfId="0" applyFont="1" applyFill="1" applyBorder="1"/>
    <xf numFmtId="0" fontId="11" fillId="6" borderId="3" xfId="0" applyFont="1" applyFill="1" applyBorder="1"/>
    <xf numFmtId="0" fontId="11" fillId="20" borderId="3" xfId="0" applyFont="1" applyFill="1" applyBorder="1"/>
    <xf numFmtId="0" fontId="11" fillId="18" borderId="3" xfId="0" applyFont="1" applyFill="1" applyBorder="1"/>
    <xf numFmtId="0" fontId="17" fillId="2" borderId="1" xfId="0" applyFont="1" applyFill="1" applyBorder="1" applyAlignment="1">
      <alignment vertical="center" wrapText="1"/>
    </xf>
    <xf numFmtId="1" fontId="17" fillId="2" borderId="1" xfId="0" applyNumberFormat="1" applyFont="1" applyFill="1" applyBorder="1" applyAlignment="1">
      <alignment horizontal="left"/>
    </xf>
    <xf numFmtId="1" fontId="4" fillId="4" borderId="1" xfId="0" applyNumberFormat="1" applyFont="1" applyFill="1" applyBorder="1"/>
    <xf numFmtId="1" fontId="4" fillId="6" borderId="1" xfId="0" applyNumberFormat="1" applyFont="1" applyFill="1" applyBorder="1"/>
    <xf numFmtId="1" fontId="5" fillId="4" borderId="1" xfId="0" applyNumberFormat="1" applyFont="1" applyFill="1" applyBorder="1"/>
    <xf numFmtId="0" fontId="5" fillId="32" borderId="1" xfId="0" applyFont="1" applyFill="1" applyBorder="1"/>
    <xf numFmtId="0" fontId="5" fillId="33" borderId="1" xfId="0" applyFont="1" applyFill="1" applyBorder="1" applyAlignment="1">
      <alignment vertical="center" wrapText="1"/>
    </xf>
    <xf numFmtId="0" fontId="5" fillId="32" borderId="1" xfId="0" applyFont="1" applyFill="1" applyBorder="1" applyAlignment="1">
      <alignment vertical="center" wrapText="1"/>
    </xf>
    <xf numFmtId="1" fontId="5" fillId="32" borderId="1" xfId="0" applyNumberFormat="1" applyFont="1" applyFill="1" applyBorder="1" applyAlignment="1">
      <alignment vertical="center" wrapText="1"/>
    </xf>
    <xf numFmtId="1" fontId="5" fillId="33" borderId="1" xfId="0" applyNumberFormat="1" applyFont="1" applyFill="1" applyBorder="1" applyAlignment="1">
      <alignment vertical="center" wrapText="1"/>
    </xf>
    <xf numFmtId="1" fontId="8" fillId="0" borderId="1" xfId="0" quotePrefix="1" applyNumberFormat="1" applyFont="1" applyBorder="1" applyAlignment="1">
      <alignment horizontal="left" vertical="top"/>
    </xf>
    <xf numFmtId="0" fontId="4" fillId="2" borderId="18" xfId="0" applyFont="1" applyFill="1" applyBorder="1"/>
    <xf numFmtId="0" fontId="4" fillId="2" borderId="19" xfId="0" applyFont="1" applyFill="1" applyBorder="1"/>
    <xf numFmtId="0" fontId="4" fillId="2" borderId="20" xfId="0" applyFont="1" applyFill="1" applyBorder="1"/>
    <xf numFmtId="0" fontId="4" fillId="2" borderId="21" xfId="0" applyFont="1" applyFill="1" applyBorder="1"/>
    <xf numFmtId="0" fontId="8" fillId="2" borderId="1" xfId="0" applyFont="1" applyFill="1" applyBorder="1" applyAlignment="1">
      <alignment horizontal="left"/>
    </xf>
    <xf numFmtId="0" fontId="4" fillId="2" borderId="14" xfId="0" applyFont="1" applyFill="1" applyBorder="1" applyAlignment="1">
      <alignment vertical="center" wrapText="1"/>
    </xf>
    <xf numFmtId="1" fontId="8" fillId="2" borderId="4" xfId="0" applyNumberFormat="1" applyFont="1" applyFill="1" applyBorder="1" applyAlignment="1">
      <alignment horizontal="right" vertical="center"/>
    </xf>
    <xf numFmtId="0" fontId="4" fillId="2" borderId="19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  <xf numFmtId="0" fontId="4" fillId="2" borderId="14" xfId="0" applyFont="1" applyFill="1" applyBorder="1"/>
    <xf numFmtId="0" fontId="4" fillId="2" borderId="23" xfId="0" applyFont="1" applyFill="1" applyBorder="1"/>
    <xf numFmtId="0" fontId="4" fillId="2" borderId="19" xfId="0" applyFont="1" applyFill="1" applyBorder="1" applyAlignment="1">
      <alignment horizontal="left"/>
    </xf>
    <xf numFmtId="1" fontId="6" fillId="20" borderId="1" xfId="0" applyNumberFormat="1" applyFont="1" applyFill="1" applyBorder="1"/>
    <xf numFmtId="1" fontId="6" fillId="20" borderId="1" xfId="0" applyNumberFormat="1" applyFont="1" applyFill="1" applyBorder="1" applyAlignment="1">
      <alignment horizontal="right"/>
    </xf>
    <xf numFmtId="0" fontId="0" fillId="31" borderId="1" xfId="0" applyFill="1" applyBorder="1"/>
    <xf numFmtId="0" fontId="9" fillId="20" borderId="1" xfId="0" applyFont="1" applyFill="1" applyBorder="1" applyAlignment="1">
      <alignment horizontal="justify" vertical="center"/>
    </xf>
    <xf numFmtId="0" fontId="11" fillId="20" borderId="1" xfId="0" applyFont="1" applyFill="1" applyBorder="1"/>
    <xf numFmtId="0" fontId="4" fillId="20" borderId="1" xfId="0" applyFont="1" applyFill="1" applyBorder="1"/>
    <xf numFmtId="0" fontId="4" fillId="18" borderId="1" xfId="0" applyFont="1" applyFill="1" applyBorder="1"/>
    <xf numFmtId="0" fontId="9" fillId="20" borderId="1" xfId="0" applyFont="1" applyFill="1" applyBorder="1" applyAlignment="1">
      <alignment vertical="center"/>
    </xf>
    <xf numFmtId="0" fontId="9" fillId="18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vertical="center"/>
    </xf>
    <xf numFmtId="0" fontId="9" fillId="4" borderId="1" xfId="0" applyFont="1" applyFill="1" applyBorder="1"/>
    <xf numFmtId="0" fontId="9" fillId="6" borderId="1" xfId="0" applyFont="1" applyFill="1" applyBorder="1"/>
    <xf numFmtId="0" fontId="9" fillId="20" borderId="1" xfId="0" applyFont="1" applyFill="1" applyBorder="1"/>
    <xf numFmtId="0" fontId="9" fillId="18" borderId="1" xfId="0" applyFont="1" applyFill="1" applyBorder="1"/>
    <xf numFmtId="1" fontId="8" fillId="0" borderId="3" xfId="0" quotePrefix="1" applyNumberFormat="1" applyFont="1" applyBorder="1" applyAlignment="1">
      <alignment horizontal="center" vertical="top"/>
    </xf>
    <xf numFmtId="0" fontId="0" fillId="0" borderId="15" xfId="0" applyBorder="1"/>
    <xf numFmtId="0" fontId="0" fillId="0" borderId="1" xfId="0" applyBorder="1" applyAlignment="1">
      <alignment vertical="center" wrapText="1"/>
    </xf>
    <xf numFmtId="0" fontId="15" fillId="7" borderId="3" xfId="0" applyFont="1" applyFill="1" applyBorder="1" applyAlignment="1">
      <alignment vertical="center" wrapText="1"/>
    </xf>
    <xf numFmtId="1" fontId="0" fillId="0" borderId="1" xfId="0" applyNumberFormat="1" applyBorder="1"/>
    <xf numFmtId="1" fontId="11" fillId="4" borderId="3" xfId="0" applyNumberFormat="1" applyFont="1" applyFill="1" applyBorder="1"/>
    <xf numFmtId="1" fontId="11" fillId="6" borderId="3" xfId="0" applyNumberFormat="1" applyFont="1" applyFill="1" applyBorder="1"/>
    <xf numFmtId="1" fontId="11" fillId="20" borderId="3" xfId="0" applyNumberFormat="1" applyFont="1" applyFill="1" applyBorder="1"/>
    <xf numFmtId="1" fontId="11" fillId="18" borderId="3" xfId="0" applyNumberFormat="1" applyFont="1" applyFill="1" applyBorder="1"/>
    <xf numFmtId="0" fontId="11" fillId="20" borderId="1" xfId="0" applyFont="1" applyFill="1" applyBorder="1" applyAlignment="1">
      <alignment vertical="center" wrapText="1"/>
    </xf>
    <xf numFmtId="1" fontId="11" fillId="20" borderId="1" xfId="0" applyNumberFormat="1" applyFont="1" applyFill="1" applyBorder="1"/>
    <xf numFmtId="0" fontId="5" fillId="34" borderId="1" xfId="0" applyFont="1" applyFill="1" applyBorder="1"/>
    <xf numFmtId="1" fontId="5" fillId="35" borderId="1" xfId="0" applyNumberFormat="1" applyFont="1" applyFill="1" applyBorder="1"/>
    <xf numFmtId="1" fontId="4" fillId="34" borderId="1" xfId="0" applyNumberFormat="1" applyFont="1" applyFill="1" applyBorder="1"/>
    <xf numFmtId="0" fontId="9" fillId="2" borderId="1" xfId="0" applyFont="1" applyFill="1" applyBorder="1" applyAlignment="1">
      <alignment horizontal="center" vertical="center"/>
    </xf>
    <xf numFmtId="1" fontId="0" fillId="34" borderId="1" xfId="0" applyNumberFormat="1" applyFill="1" applyBorder="1"/>
    <xf numFmtId="1" fontId="8" fillId="31" borderId="3" xfId="0" quotePrefix="1" applyNumberFormat="1" applyFont="1" applyFill="1" applyBorder="1" applyAlignment="1">
      <alignment horizontal="center" vertical="top" wrapText="1"/>
    </xf>
    <xf numFmtId="1" fontId="8" fillId="31" borderId="1" xfId="0" quotePrefix="1" applyNumberFormat="1" applyFont="1" applyFill="1" applyBorder="1" applyAlignment="1">
      <alignment horizontal="left" vertical="top"/>
    </xf>
    <xf numFmtId="0" fontId="3" fillId="31" borderId="1" xfId="0" applyFont="1" applyFill="1" applyBorder="1" applyAlignment="1">
      <alignment vertical="center" wrapText="1"/>
    </xf>
    <xf numFmtId="0" fontId="6" fillId="31" borderId="1" xfId="0" applyFont="1" applyFill="1" applyBorder="1"/>
    <xf numFmtId="1" fontId="11" fillId="35" borderId="1" xfId="0" applyNumberFormat="1" applyFont="1" applyFill="1" applyBorder="1"/>
    <xf numFmtId="0" fontId="3" fillId="8" borderId="1" xfId="0" applyFont="1" applyFill="1" applyBorder="1" applyAlignment="1">
      <alignment horizontal="right" vertical="center"/>
    </xf>
    <xf numFmtId="0" fontId="11" fillId="31" borderId="1" xfId="0" applyFont="1" applyFill="1" applyBorder="1"/>
    <xf numFmtId="0" fontId="3" fillId="8" borderId="4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9" borderId="2" xfId="0" applyFont="1" applyFill="1" applyBorder="1" applyAlignment="1">
      <alignment horizontal="center" vertical="top"/>
    </xf>
    <xf numFmtId="0" fontId="4" fillId="9" borderId="3" xfId="0" applyFont="1" applyFill="1" applyBorder="1" applyAlignment="1">
      <alignment horizontal="center" vertical="top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6" fillId="3" borderId="3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 vertical="top"/>
    </xf>
    <xf numFmtId="1" fontId="8" fillId="0" borderId="3" xfId="0" applyNumberFormat="1" applyFont="1" applyBorder="1" applyAlignment="1">
      <alignment horizontal="center" vertical="top"/>
    </xf>
    <xf numFmtId="1" fontId="8" fillId="0" borderId="2" xfId="0" quotePrefix="1" applyNumberFormat="1" applyFont="1" applyBorder="1" applyAlignment="1">
      <alignment horizontal="center" vertical="top"/>
    </xf>
    <xf numFmtId="1" fontId="8" fillId="0" borderId="3" xfId="0" quotePrefix="1" applyNumberFormat="1" applyFont="1" applyBorder="1" applyAlignment="1">
      <alignment horizontal="center" vertical="top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8" fillId="0" borderId="1" xfId="0" quotePrefix="1" applyNumberFormat="1" applyFont="1" applyBorder="1" applyAlignment="1">
      <alignment horizontal="center" vertical="top"/>
    </xf>
    <xf numFmtId="1" fontId="8" fillId="2" borderId="2" xfId="0" applyNumberFormat="1" applyFont="1" applyFill="1" applyBorder="1" applyAlignment="1">
      <alignment vertical="top"/>
    </xf>
    <xf numFmtId="1" fontId="8" fillId="2" borderId="3" xfId="0" applyNumberFormat="1" applyFont="1" applyFill="1" applyBorder="1" applyAlignment="1">
      <alignment vertical="top"/>
    </xf>
    <xf numFmtId="1" fontId="8" fillId="2" borderId="4" xfId="0" applyNumberFormat="1" applyFont="1" applyFill="1" applyBorder="1" applyAlignment="1">
      <alignment vertical="top"/>
    </xf>
    <xf numFmtId="1" fontId="8" fillId="2" borderId="2" xfId="0" applyNumberFormat="1" applyFont="1" applyFill="1" applyBorder="1" applyAlignment="1">
      <alignment vertical="top" wrapText="1"/>
    </xf>
    <xf numFmtId="1" fontId="8" fillId="2" borderId="3" xfId="0" applyNumberFormat="1" applyFont="1" applyFill="1" applyBorder="1" applyAlignment="1">
      <alignment vertical="top" wrapText="1"/>
    </xf>
    <xf numFmtId="1" fontId="8" fillId="2" borderId="4" xfId="0" applyNumberFormat="1" applyFont="1" applyFill="1" applyBorder="1" applyAlignment="1">
      <alignment vertical="top" wrapText="1"/>
    </xf>
    <xf numFmtId="1" fontId="8" fillId="2" borderId="1" xfId="0" quotePrefix="1" applyNumberFormat="1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1" fontId="4" fillId="2" borderId="2" xfId="0" applyNumberFormat="1" applyFont="1" applyFill="1" applyBorder="1" applyAlignment="1">
      <alignment vertical="top" wrapText="1"/>
    </xf>
    <xf numFmtId="1" fontId="4" fillId="2" borderId="3" xfId="0" applyNumberFormat="1" applyFont="1" applyFill="1" applyBorder="1" applyAlignment="1">
      <alignment vertical="top" wrapText="1"/>
    </xf>
    <xf numFmtId="1" fontId="4" fillId="2" borderId="4" xfId="0" applyNumberFormat="1" applyFont="1" applyFill="1" applyBorder="1" applyAlignment="1">
      <alignment vertical="top" wrapText="1"/>
    </xf>
    <xf numFmtId="0" fontId="9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  <xf numFmtId="0" fontId="5" fillId="34" borderId="2" xfId="0" applyFont="1" applyFill="1" applyBorder="1" applyAlignment="1">
      <alignment horizontal="center" wrapText="1"/>
    </xf>
    <xf numFmtId="0" fontId="5" fillId="34" borderId="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/>
    </xf>
    <xf numFmtId="164" fontId="6" fillId="5" borderId="1" xfId="1" applyFont="1" applyFill="1" applyBorder="1" applyAlignment="1" applyProtection="1">
      <alignment horizontal="right" vertical="center" wrapText="1"/>
      <protection locked="0"/>
    </xf>
    <xf numFmtId="0" fontId="4" fillId="0" borderId="1" xfId="0" applyFont="1" applyBorder="1" applyAlignment="1">
      <alignment horizontal="right" wrapText="1"/>
    </xf>
    <xf numFmtId="164" fontId="6" fillId="6" borderId="1" xfId="1" applyFont="1" applyFill="1" applyBorder="1" applyAlignment="1" applyProtection="1">
      <alignment horizontal="right" vertical="center" wrapText="1"/>
      <protection locked="0"/>
    </xf>
    <xf numFmtId="164" fontId="6" fillId="18" borderId="1" xfId="1" applyFont="1" applyFill="1" applyBorder="1" applyAlignment="1" applyProtection="1">
      <alignment horizontal="right" vertical="center" wrapText="1"/>
      <protection locked="0"/>
    </xf>
    <xf numFmtId="1" fontId="8" fillId="0" borderId="4" xfId="0" applyNumberFormat="1" applyFont="1" applyBorder="1" applyAlignment="1">
      <alignment horizontal="center" vertical="top"/>
    </xf>
    <xf numFmtId="1" fontId="8" fillId="2" borderId="2" xfId="0" applyNumberFormat="1" applyFont="1" applyFill="1" applyBorder="1" applyAlignment="1">
      <alignment horizontal="center" vertical="top" wrapText="1"/>
    </xf>
    <xf numFmtId="1" fontId="8" fillId="2" borderId="3" xfId="0" applyNumberFormat="1" applyFont="1" applyFill="1" applyBorder="1" applyAlignment="1">
      <alignment horizontal="center" vertical="top" wrapText="1"/>
    </xf>
    <xf numFmtId="1" fontId="8" fillId="2" borderId="4" xfId="0" applyNumberFormat="1" applyFont="1" applyFill="1" applyBorder="1" applyAlignment="1">
      <alignment horizontal="center" vertical="top" wrapText="1"/>
    </xf>
    <xf numFmtId="1" fontId="8" fillId="2" borderId="2" xfId="0" quotePrefix="1" applyNumberFormat="1" applyFont="1" applyFill="1" applyBorder="1" applyAlignment="1">
      <alignment horizontal="center" vertical="top"/>
    </xf>
    <xf numFmtId="1" fontId="8" fillId="2" borderId="3" xfId="0" quotePrefix="1" applyNumberFormat="1" applyFont="1" applyFill="1" applyBorder="1" applyAlignment="1">
      <alignment horizontal="center" vertical="top"/>
    </xf>
    <xf numFmtId="1" fontId="8" fillId="2" borderId="4" xfId="0" quotePrefix="1" applyNumberFormat="1" applyFont="1" applyFill="1" applyBorder="1" applyAlignment="1">
      <alignment horizontal="center" vertical="top"/>
    </xf>
    <xf numFmtId="1" fontId="8" fillId="2" borderId="2" xfId="0" applyNumberFormat="1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" fontId="8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1" fontId="8" fillId="0" borderId="4" xfId="0" quotePrefix="1" applyNumberFormat="1" applyFont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" fontId="12" fillId="2" borderId="2" xfId="0" applyNumberFormat="1" applyFont="1" applyFill="1" applyBorder="1" applyAlignment="1">
      <alignment horizontal="center" vertical="top"/>
    </xf>
    <xf numFmtId="1" fontId="12" fillId="2" borderId="3" xfId="0" applyNumberFormat="1" applyFont="1" applyFill="1" applyBorder="1" applyAlignment="1">
      <alignment horizontal="center" vertical="top"/>
    </xf>
    <xf numFmtId="1" fontId="12" fillId="2" borderId="4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8" fillId="0" borderId="2" xfId="0" quotePrefix="1" applyNumberFormat="1" applyFont="1" applyBorder="1" applyAlignment="1">
      <alignment horizontal="center" vertical="top" wrapText="1"/>
    </xf>
    <xf numFmtId="1" fontId="8" fillId="0" borderId="3" xfId="0" quotePrefix="1" applyNumberFormat="1" applyFont="1" applyBorder="1" applyAlignment="1">
      <alignment horizontal="center" vertical="top" wrapText="1"/>
    </xf>
    <xf numFmtId="1" fontId="8" fillId="0" borderId="4" xfId="0" quotePrefix="1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" fontId="12" fillId="2" borderId="2" xfId="0" quotePrefix="1" applyNumberFormat="1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1" fontId="13" fillId="2" borderId="2" xfId="0" applyNumberFormat="1" applyFont="1" applyFill="1" applyBorder="1" applyAlignment="1">
      <alignment vertical="top"/>
    </xf>
    <xf numFmtId="1" fontId="13" fillId="2" borderId="3" xfId="0" applyNumberFormat="1" applyFont="1" applyFill="1" applyBorder="1" applyAlignment="1">
      <alignment vertical="top"/>
    </xf>
    <xf numFmtId="1" fontId="13" fillId="2" borderId="4" xfId="0" applyNumberFormat="1" applyFont="1" applyFill="1" applyBorder="1" applyAlignment="1">
      <alignment vertical="top"/>
    </xf>
    <xf numFmtId="1" fontId="13" fillId="2" borderId="2" xfId="0" quotePrefix="1" applyNumberFormat="1" applyFont="1" applyFill="1" applyBorder="1" applyAlignment="1">
      <alignment horizontal="left" vertical="top"/>
    </xf>
    <xf numFmtId="1" fontId="13" fillId="2" borderId="3" xfId="0" quotePrefix="1" applyNumberFormat="1" applyFont="1" applyFill="1" applyBorder="1" applyAlignment="1">
      <alignment horizontal="left" vertical="top"/>
    </xf>
    <xf numFmtId="1" fontId="13" fillId="2" borderId="4" xfId="0" quotePrefix="1" applyNumberFormat="1" applyFont="1" applyFill="1" applyBorder="1" applyAlignment="1">
      <alignment horizontal="left" vertical="top"/>
    </xf>
    <xf numFmtId="1" fontId="13" fillId="2" borderId="2" xfId="0" applyNumberFormat="1" applyFont="1" applyFill="1" applyBorder="1" applyAlignment="1">
      <alignment horizontal="left" vertical="top"/>
    </xf>
    <xf numFmtId="1" fontId="13" fillId="2" borderId="3" xfId="0" applyNumberFormat="1" applyFont="1" applyFill="1" applyBorder="1" applyAlignment="1">
      <alignment horizontal="left" vertical="top"/>
    </xf>
    <xf numFmtId="1" fontId="13" fillId="2" borderId="4" xfId="0" applyNumberFormat="1" applyFont="1" applyFill="1" applyBorder="1" applyAlignment="1">
      <alignment horizontal="left" vertical="top"/>
    </xf>
    <xf numFmtId="1" fontId="12" fillId="2" borderId="1" xfId="0" quotePrefix="1" applyNumberFormat="1" applyFont="1" applyFill="1" applyBorder="1" applyAlignment="1">
      <alignment horizontal="center" vertical="top"/>
    </xf>
    <xf numFmtId="0" fontId="16" fillId="2" borderId="1" xfId="0" applyFont="1" applyFill="1" applyBorder="1" applyAlignment="1">
      <alignment horizontal="center" vertical="top"/>
    </xf>
    <xf numFmtId="1" fontId="13" fillId="2" borderId="2" xfId="0" applyNumberFormat="1" applyFont="1" applyFill="1" applyBorder="1" applyAlignment="1">
      <alignment vertical="top" wrapText="1"/>
    </xf>
    <xf numFmtId="1" fontId="13" fillId="2" borderId="3" xfId="0" applyNumberFormat="1" applyFont="1" applyFill="1" applyBorder="1" applyAlignment="1">
      <alignment vertical="top" wrapText="1"/>
    </xf>
    <xf numFmtId="0" fontId="16" fillId="2" borderId="16" xfId="0" applyFont="1" applyFill="1" applyBorder="1" applyAlignment="1">
      <alignment horizontal="left" vertical="top"/>
    </xf>
    <xf numFmtId="0" fontId="16" fillId="2" borderId="17" xfId="0" applyFont="1" applyFill="1" applyBorder="1" applyAlignment="1">
      <alignment horizontal="left" vertical="top"/>
    </xf>
    <xf numFmtId="0" fontId="16" fillId="2" borderId="7" xfId="0" applyFont="1" applyFill="1" applyBorder="1" applyAlignment="1">
      <alignment horizontal="left" vertical="top"/>
    </xf>
    <xf numFmtId="1" fontId="18" fillId="2" borderId="2" xfId="0" applyNumberFormat="1" applyFont="1" applyFill="1" applyBorder="1" applyAlignment="1">
      <alignment horizontal="left" vertical="top"/>
    </xf>
    <xf numFmtId="1" fontId="18" fillId="2" borderId="3" xfId="0" applyNumberFormat="1" applyFont="1" applyFill="1" applyBorder="1" applyAlignment="1">
      <alignment horizontal="left" vertical="top"/>
    </xf>
    <xf numFmtId="1" fontId="18" fillId="2" borderId="4" xfId="0" applyNumberFormat="1" applyFont="1" applyFill="1" applyBorder="1" applyAlignment="1">
      <alignment horizontal="left" vertical="top"/>
    </xf>
    <xf numFmtId="1" fontId="13" fillId="2" borderId="2" xfId="0" quotePrefix="1" applyNumberFormat="1" applyFont="1" applyFill="1" applyBorder="1" applyAlignment="1">
      <alignment horizontal="center" vertical="top"/>
    </xf>
    <xf numFmtId="1" fontId="13" fillId="2" borderId="3" xfId="0" quotePrefix="1" applyNumberFormat="1" applyFont="1" applyFill="1" applyBorder="1" applyAlignment="1">
      <alignment horizontal="center" vertical="top"/>
    </xf>
    <xf numFmtId="1" fontId="13" fillId="2" borderId="4" xfId="0" quotePrefix="1" applyNumberFormat="1" applyFont="1" applyFill="1" applyBorder="1" applyAlignment="1">
      <alignment horizontal="center" vertical="top"/>
    </xf>
    <xf numFmtId="1" fontId="12" fillId="2" borderId="3" xfId="0" quotePrefix="1" applyNumberFormat="1" applyFont="1" applyFill="1" applyBorder="1" applyAlignment="1">
      <alignment horizontal="center" vertical="top"/>
    </xf>
    <xf numFmtId="1" fontId="12" fillId="2" borderId="4" xfId="0" quotePrefix="1" applyNumberFormat="1" applyFont="1" applyFill="1" applyBorder="1" applyAlignment="1">
      <alignment horizontal="center" vertical="top"/>
    </xf>
    <xf numFmtId="1" fontId="12" fillId="0" borderId="2" xfId="0" quotePrefix="1" applyNumberFormat="1" applyFont="1" applyBorder="1" applyAlignment="1">
      <alignment horizontal="center" vertical="top"/>
    </xf>
    <xf numFmtId="1" fontId="12" fillId="0" borderId="1" xfId="0" quotePrefix="1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1" fontId="18" fillId="2" borderId="2" xfId="0" applyNumberFormat="1" applyFont="1" applyFill="1" applyBorder="1" applyAlignment="1">
      <alignment vertical="top" wrapText="1"/>
    </xf>
    <xf numFmtId="1" fontId="18" fillId="2" borderId="3" xfId="0" applyNumberFormat="1" applyFont="1" applyFill="1" applyBorder="1" applyAlignment="1">
      <alignment vertical="top" wrapText="1"/>
    </xf>
    <xf numFmtId="1" fontId="12" fillId="0" borderId="3" xfId="0" quotePrefix="1" applyNumberFormat="1" applyFont="1" applyBorder="1" applyAlignment="1">
      <alignment horizontal="center" vertical="top"/>
    </xf>
    <xf numFmtId="1" fontId="13" fillId="2" borderId="4" xfId="0" applyNumberFormat="1" applyFont="1" applyFill="1" applyBorder="1" applyAlignment="1">
      <alignment vertical="top" wrapText="1"/>
    </xf>
    <xf numFmtId="0" fontId="11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9" fillId="21" borderId="12" xfId="0" applyFont="1" applyFill="1" applyBorder="1" applyAlignment="1">
      <alignment horizontal="center" vertical="center" wrapText="1"/>
    </xf>
    <xf numFmtId="0" fontId="9" fillId="21" borderId="11" xfId="0" applyFont="1" applyFill="1" applyBorder="1" applyAlignment="1">
      <alignment horizontal="center" vertical="center" wrapText="1"/>
    </xf>
    <xf numFmtId="0" fontId="9" fillId="26" borderId="12" xfId="0" applyFont="1" applyFill="1" applyBorder="1" applyAlignment="1">
      <alignment horizontal="center" vertical="center" wrapText="1"/>
    </xf>
    <xf numFmtId="0" fontId="9" fillId="26" borderId="1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</cellXfs>
  <cellStyles count="3">
    <cellStyle name="Comma [0]" xfId="1" builtinId="6"/>
    <cellStyle name="Normal" xfId="0" builtinId="0"/>
    <cellStyle name="Normal 2" xfId="2" xr:uid="{B44E3E3F-DDD5-4F95-8D51-C12A60B4F5D8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205678</xdr:colOff>
      <xdr:row>1</xdr:row>
      <xdr:rowOff>45358</xdr:rowOff>
    </xdr:to>
    <xdr:pic>
      <xdr:nvPicPr>
        <xdr:cNvPr id="2" name="Picture 3" descr="A picture containing text, clipart&#10;&#10;Description automatically generated">
          <a:extLst>
            <a:ext uri="{FF2B5EF4-FFF2-40B4-BE49-F238E27FC236}">
              <a16:creationId xmlns:a16="http://schemas.microsoft.com/office/drawing/2014/main" id="{2C12FBC4-134D-4CC6-9C21-774F201D7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50607" cy="371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254000</xdr:colOff>
      <xdr:row>0</xdr:row>
      <xdr:rowOff>0</xdr:rowOff>
    </xdr:from>
    <xdr:to>
      <xdr:col>10</xdr:col>
      <xdr:colOff>830493</xdr:colOff>
      <xdr:row>0</xdr:row>
      <xdr:rowOff>305153</xdr:rowOff>
    </xdr:to>
    <xdr:pic>
      <xdr:nvPicPr>
        <xdr:cNvPr id="3" name="Picture 2" descr="Graphical user interface, text&#10;&#10;Description automatically generated with medium confidence">
          <a:extLst>
            <a:ext uri="{FF2B5EF4-FFF2-40B4-BE49-F238E27FC236}">
              <a16:creationId xmlns:a16="http://schemas.microsoft.com/office/drawing/2014/main" id="{0D30096F-BC77-4457-B38B-1EC49E6F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0"/>
          <a:ext cx="576493" cy="305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261409</xdr:colOff>
      <xdr:row>0</xdr:row>
      <xdr:rowOff>31749</xdr:rowOff>
    </xdr:from>
    <xdr:to>
      <xdr:col>10</xdr:col>
      <xdr:colOff>840579</xdr:colOff>
      <xdr:row>0</xdr:row>
      <xdr:rowOff>336575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6BED7A-1D83-EA67-D9F7-6BAACDC43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7742" y="31749"/>
          <a:ext cx="579170" cy="3048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265130</xdr:colOff>
      <xdr:row>0</xdr:row>
      <xdr:rowOff>371888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B3410D6-84E0-56E0-EF4C-539C9A3D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0"/>
          <a:ext cx="445047" cy="3718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234950</xdr:colOff>
      <xdr:row>0</xdr:row>
      <xdr:rowOff>50800</xdr:rowOff>
    </xdr:from>
    <xdr:to>
      <xdr:col>13</xdr:col>
      <xdr:colOff>793300</xdr:colOff>
      <xdr:row>0</xdr:row>
      <xdr:rowOff>365024</xdr:rowOff>
    </xdr:to>
    <xdr:pic>
      <xdr:nvPicPr>
        <xdr:cNvPr id="2" name="Picture 1" descr="Graphical user interface, text&#10;&#10;Description automatically generated with medium confidence">
          <a:extLst>
            <a:ext uri="{FF2B5EF4-FFF2-40B4-BE49-F238E27FC236}">
              <a16:creationId xmlns:a16="http://schemas.microsoft.com/office/drawing/2014/main" id="{333544F7-051B-4053-B3C0-0C9D9EF3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0250" y="50800"/>
          <a:ext cx="577400" cy="307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119944</xdr:colOff>
      <xdr:row>0</xdr:row>
      <xdr:rowOff>0</xdr:rowOff>
    </xdr:from>
    <xdr:to>
      <xdr:col>1</xdr:col>
      <xdr:colOff>254200</xdr:colOff>
      <xdr:row>1</xdr:row>
      <xdr:rowOff>146222</xdr:rowOff>
    </xdr:to>
    <xdr:pic>
      <xdr:nvPicPr>
        <xdr:cNvPr id="3" name="Picture 3" descr="A picture containing text, clipart&#10;&#10;Description automatically generated">
          <a:extLst>
            <a:ext uri="{FF2B5EF4-FFF2-40B4-BE49-F238E27FC236}">
              <a16:creationId xmlns:a16="http://schemas.microsoft.com/office/drawing/2014/main" id="{EDFA78A1-AE42-47E1-8266-DDCEFE75E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44" y="0"/>
          <a:ext cx="564645" cy="583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45661</xdr:colOff>
      <xdr:row>0</xdr:row>
      <xdr:rowOff>530905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02F1B3-9856-4C22-B4E2-594BE8132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26686" cy="53090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45661</xdr:colOff>
      <xdr:row>0</xdr:row>
      <xdr:rowOff>530905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80B170-356B-496E-B848-DA5BC85F3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26686" cy="530905"/>
        </a:xfrm>
        <a:prstGeom prst="rect">
          <a:avLst/>
        </a:prstGeom>
      </xdr:spPr>
    </xdr:pic>
    <xdr:clientData/>
  </xdr:twoCellAnchor>
  <xdr:twoCellAnchor editAs="oneCell">
    <xdr:from>
      <xdr:col>9</xdr:col>
      <xdr:colOff>549275</xdr:colOff>
      <xdr:row>0</xdr:row>
      <xdr:rowOff>12700</xdr:rowOff>
    </xdr:from>
    <xdr:to>
      <xdr:col>10</xdr:col>
      <xdr:colOff>552450</xdr:colOff>
      <xdr:row>0</xdr:row>
      <xdr:rowOff>374197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2DB2E6-0558-4624-B2DD-10B0DA9EB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3775" y="12700"/>
          <a:ext cx="612775" cy="3614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407611</xdr:colOff>
      <xdr:row>0</xdr:row>
      <xdr:rowOff>530905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C3C686-5C07-4E7B-9740-6AF738723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26686" cy="530905"/>
        </a:xfrm>
        <a:prstGeom prst="rect">
          <a:avLst/>
        </a:prstGeom>
      </xdr:spPr>
    </xdr:pic>
    <xdr:clientData/>
  </xdr:twoCellAnchor>
  <xdr:twoCellAnchor editAs="oneCell">
    <xdr:from>
      <xdr:col>9</xdr:col>
      <xdr:colOff>549275</xdr:colOff>
      <xdr:row>0</xdr:row>
      <xdr:rowOff>12700</xdr:rowOff>
    </xdr:from>
    <xdr:to>
      <xdr:col>10</xdr:col>
      <xdr:colOff>851958</xdr:colOff>
      <xdr:row>0</xdr:row>
      <xdr:rowOff>550887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6B5CCC-1383-4228-A042-9C3E06411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5525" y="12700"/>
          <a:ext cx="912283" cy="53818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407611</xdr:colOff>
      <xdr:row>0</xdr:row>
      <xdr:rowOff>530905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1C29E3-6146-4993-A505-8DD6D1004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26686" cy="530905"/>
        </a:xfrm>
        <a:prstGeom prst="rect">
          <a:avLst/>
        </a:prstGeom>
      </xdr:spPr>
    </xdr:pic>
    <xdr:clientData/>
  </xdr:twoCellAnchor>
  <xdr:twoCellAnchor editAs="oneCell">
    <xdr:from>
      <xdr:col>9</xdr:col>
      <xdr:colOff>549275</xdr:colOff>
      <xdr:row>0</xdr:row>
      <xdr:rowOff>12700</xdr:rowOff>
    </xdr:from>
    <xdr:to>
      <xdr:col>10</xdr:col>
      <xdr:colOff>851958</xdr:colOff>
      <xdr:row>0</xdr:row>
      <xdr:rowOff>550887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F3CF28-ED89-45E5-A86A-0AA82AA9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45525" y="12700"/>
          <a:ext cx="912283" cy="5381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161925</xdr:rowOff>
    </xdr:from>
    <xdr:to>
      <xdr:col>1</xdr:col>
      <xdr:colOff>379942</xdr:colOff>
      <xdr:row>0</xdr:row>
      <xdr:rowOff>692830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C186FA-F407-4C81-A47E-639BD648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61925"/>
          <a:ext cx="618067" cy="530905"/>
        </a:xfrm>
        <a:prstGeom prst="rect">
          <a:avLst/>
        </a:prstGeom>
      </xdr:spPr>
    </xdr:pic>
    <xdr:clientData/>
  </xdr:twoCellAnchor>
  <xdr:twoCellAnchor editAs="oneCell">
    <xdr:from>
      <xdr:col>9</xdr:col>
      <xdr:colOff>695325</xdr:colOff>
      <xdr:row>0</xdr:row>
      <xdr:rowOff>0</xdr:rowOff>
    </xdr:from>
    <xdr:to>
      <xdr:col>11</xdr:col>
      <xdr:colOff>296333</xdr:colOff>
      <xdr:row>0</xdr:row>
      <xdr:rowOff>538187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ADCD7-8DFE-45A1-AF93-99FA63579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5" y="0"/>
          <a:ext cx="905933" cy="5381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398464</xdr:colOff>
      <xdr:row>0</xdr:row>
      <xdr:rowOff>7937</xdr:rowOff>
    </xdr:from>
    <xdr:to>
      <xdr:col>11</xdr:col>
      <xdr:colOff>14209</xdr:colOff>
      <xdr:row>0</xdr:row>
      <xdr:rowOff>404812</xdr:rowOff>
    </xdr:to>
    <xdr:pic>
      <xdr:nvPicPr>
        <xdr:cNvPr id="2" name="Picture 2" descr="Malaria Consortium Badge">
          <a:extLst>
            <a:ext uri="{FF2B5EF4-FFF2-40B4-BE49-F238E27FC236}">
              <a16:creationId xmlns:a16="http://schemas.microsoft.com/office/drawing/2014/main" id="{1213D99B-69CF-4160-8E15-F496DC757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9" r="7637"/>
        <a:stretch>
          <a:fillRect/>
        </a:stretch>
      </xdr:blipFill>
      <xdr:spPr bwMode="auto">
        <a:xfrm>
          <a:off x="11828464" y="7937"/>
          <a:ext cx="739695" cy="39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226786</xdr:colOff>
      <xdr:row>1</xdr:row>
      <xdr:rowOff>260900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2B9EBE-DA93-45D6-B5EE-1A4D3F719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98500" cy="7598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370417</xdr:colOff>
      <xdr:row>0</xdr:row>
      <xdr:rowOff>530905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F850A4-D4A3-4BE3-9982-221F501E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638175" cy="530905"/>
        </a:xfrm>
        <a:prstGeom prst="rect">
          <a:avLst/>
        </a:prstGeom>
      </xdr:spPr>
    </xdr:pic>
    <xdr:clientData/>
  </xdr:twoCellAnchor>
  <xdr:twoCellAnchor editAs="oneCell">
    <xdr:from>
      <xdr:col>14</xdr:col>
      <xdr:colOff>205468</xdr:colOff>
      <xdr:row>0</xdr:row>
      <xdr:rowOff>117928</xdr:rowOff>
    </xdr:from>
    <xdr:to>
      <xdr:col>15</xdr:col>
      <xdr:colOff>400654</xdr:colOff>
      <xdr:row>1</xdr:row>
      <xdr:rowOff>102758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F7C0F-08FA-4497-8207-F43FD6DA3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77825" y="117928"/>
          <a:ext cx="948115" cy="538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B4C4-A87A-423A-8169-8A44B59F8DC8}">
  <dimension ref="A1:L233"/>
  <sheetViews>
    <sheetView zoomScale="80" zoomScaleNormal="80" workbookViewId="0">
      <selection activeCell="L233" sqref="L233"/>
    </sheetView>
  </sheetViews>
  <sheetFormatPr defaultColWidth="8.7265625" defaultRowHeight="14.5" x14ac:dyDescent="0.35"/>
  <cols>
    <col min="1" max="1" width="3.54296875" style="3" bestFit="1" customWidth="1"/>
    <col min="2" max="2" width="30.1796875" style="3" bestFit="1" customWidth="1"/>
    <col min="3" max="3" width="10.453125" style="3" customWidth="1"/>
    <col min="4" max="4" width="19.1796875" style="3" bestFit="1" customWidth="1"/>
    <col min="5" max="5" width="17.453125" style="3" customWidth="1"/>
    <col min="6" max="6" width="16.26953125" style="3" customWidth="1"/>
    <col min="7" max="7" width="18.453125" style="3" customWidth="1"/>
    <col min="8" max="8" width="10.54296875" style="3" customWidth="1"/>
    <col min="9" max="9" width="11.26953125" style="3" customWidth="1"/>
    <col min="10" max="10" width="9.1796875" style="3" customWidth="1"/>
    <col min="11" max="11" width="13.1796875" style="3" customWidth="1"/>
    <col min="12" max="12" width="11.26953125" style="3" customWidth="1"/>
    <col min="13" max="16384" width="8.7265625" style="3"/>
  </cols>
  <sheetData>
    <row r="1" spans="1:12" ht="26.15" customHeight="1" x14ac:dyDescent="0.35">
      <c r="A1" s="6"/>
      <c r="B1" s="249" t="s">
        <v>0</v>
      </c>
      <c r="C1" s="250"/>
      <c r="D1" s="250"/>
      <c r="E1" s="250"/>
      <c r="F1" s="250"/>
      <c r="G1" s="250"/>
      <c r="H1" s="250"/>
      <c r="I1" s="250"/>
      <c r="J1" s="250"/>
      <c r="K1" s="251"/>
    </row>
    <row r="2" spans="1:12" x14ac:dyDescent="0.35">
      <c r="A2" s="245" t="s">
        <v>1</v>
      </c>
      <c r="B2" s="246" t="s">
        <v>25</v>
      </c>
      <c r="C2" s="261" t="s">
        <v>1622</v>
      </c>
      <c r="D2" s="264" t="s">
        <v>1621</v>
      </c>
      <c r="E2" s="264" t="s">
        <v>1620</v>
      </c>
      <c r="F2" s="264" t="s">
        <v>1619</v>
      </c>
      <c r="G2" s="246" t="s">
        <v>12</v>
      </c>
      <c r="H2" s="256" t="s">
        <v>15</v>
      </c>
      <c r="I2" s="256"/>
      <c r="J2" s="257"/>
      <c r="K2" s="257"/>
    </row>
    <row r="3" spans="1:12" x14ac:dyDescent="0.35">
      <c r="A3" s="237"/>
      <c r="B3" s="247"/>
      <c r="C3" s="262"/>
      <c r="D3" s="265"/>
      <c r="E3" s="265"/>
      <c r="F3" s="265"/>
      <c r="G3" s="247"/>
      <c r="H3" s="258" t="s">
        <v>13</v>
      </c>
      <c r="I3" s="257"/>
      <c r="J3" s="259" t="s">
        <v>131</v>
      </c>
      <c r="K3" s="260"/>
      <c r="L3" s="216" t="s">
        <v>2</v>
      </c>
    </row>
    <row r="4" spans="1:12" x14ac:dyDescent="0.35">
      <c r="A4" s="237"/>
      <c r="B4" s="248"/>
      <c r="C4" s="263"/>
      <c r="D4" s="266"/>
      <c r="E4" s="266"/>
      <c r="F4" s="266"/>
      <c r="G4" s="248"/>
      <c r="H4" s="8" t="s">
        <v>3</v>
      </c>
      <c r="I4" s="8" t="s">
        <v>4</v>
      </c>
      <c r="J4" s="8" t="s">
        <v>3</v>
      </c>
      <c r="K4" s="8" t="s">
        <v>4</v>
      </c>
      <c r="L4" s="216" t="s">
        <v>3296</v>
      </c>
    </row>
    <row r="5" spans="1:12" x14ac:dyDescent="0.35">
      <c r="A5" s="267">
        <v>1</v>
      </c>
      <c r="B5" s="268" t="s">
        <v>132</v>
      </c>
      <c r="C5" s="46" t="s">
        <v>1623</v>
      </c>
      <c r="D5" s="46" t="s">
        <v>1647</v>
      </c>
      <c r="E5" s="39" t="s">
        <v>1657</v>
      </c>
      <c r="F5" s="39" t="s">
        <v>1656</v>
      </c>
      <c r="G5" s="10" t="s">
        <v>133</v>
      </c>
      <c r="H5" s="12">
        <v>20</v>
      </c>
      <c r="I5" s="12">
        <v>20</v>
      </c>
      <c r="J5" s="12">
        <v>31</v>
      </c>
      <c r="K5" s="12">
        <v>23</v>
      </c>
      <c r="L5" s="220">
        <f>H5+I5+J5+K5</f>
        <v>94</v>
      </c>
    </row>
    <row r="6" spans="1:12" x14ac:dyDescent="0.35">
      <c r="A6" s="229"/>
      <c r="B6" s="269"/>
      <c r="C6" s="46" t="s">
        <v>1623</v>
      </c>
      <c r="D6" s="46" t="s">
        <v>1647</v>
      </c>
      <c r="E6" s="39" t="s">
        <v>1657</v>
      </c>
      <c r="F6" s="39" t="s">
        <v>1658</v>
      </c>
      <c r="G6" s="10" t="s">
        <v>134</v>
      </c>
      <c r="H6" s="12">
        <v>7</v>
      </c>
      <c r="I6" s="12">
        <v>9</v>
      </c>
      <c r="J6" s="12">
        <v>21</v>
      </c>
      <c r="K6" s="12">
        <v>26</v>
      </c>
      <c r="L6" s="220">
        <f t="shared" ref="L6:L69" si="0">H6+I6+J6+K6</f>
        <v>63</v>
      </c>
    </row>
    <row r="7" spans="1:12" x14ac:dyDescent="0.35">
      <c r="A7" s="229"/>
      <c r="B7" s="269"/>
      <c r="C7" s="46" t="s">
        <v>1623</v>
      </c>
      <c r="D7" s="46" t="s">
        <v>1647</v>
      </c>
      <c r="E7" s="39" t="s">
        <v>1657</v>
      </c>
      <c r="F7" s="39" t="s">
        <v>1658</v>
      </c>
      <c r="G7" s="10" t="s">
        <v>135</v>
      </c>
      <c r="H7" s="12">
        <v>7</v>
      </c>
      <c r="I7" s="12">
        <v>6</v>
      </c>
      <c r="J7" s="12">
        <v>32</v>
      </c>
      <c r="K7" s="12">
        <v>27</v>
      </c>
      <c r="L7" s="220">
        <f t="shared" si="0"/>
        <v>72</v>
      </c>
    </row>
    <row r="8" spans="1:12" x14ac:dyDescent="0.35">
      <c r="A8" s="229"/>
      <c r="B8" s="269"/>
      <c r="C8" s="46" t="s">
        <v>1623</v>
      </c>
      <c r="D8" s="46" t="s">
        <v>1647</v>
      </c>
      <c r="E8" s="39" t="s">
        <v>1657</v>
      </c>
      <c r="F8" s="39" t="s">
        <v>1658</v>
      </c>
      <c r="G8" s="14" t="s">
        <v>136</v>
      </c>
      <c r="H8" s="15">
        <v>3</v>
      </c>
      <c r="I8" s="15">
        <v>3</v>
      </c>
      <c r="J8" s="15">
        <v>19</v>
      </c>
      <c r="K8" s="15">
        <v>23</v>
      </c>
      <c r="L8" s="220">
        <f t="shared" si="0"/>
        <v>48</v>
      </c>
    </row>
    <row r="9" spans="1:12" x14ac:dyDescent="0.35">
      <c r="A9" s="229"/>
      <c r="B9" s="269"/>
      <c r="C9" s="46" t="s">
        <v>1623</v>
      </c>
      <c r="D9" s="46" t="s">
        <v>1647</v>
      </c>
      <c r="E9" s="39" t="s">
        <v>1657</v>
      </c>
      <c r="F9" s="39" t="s">
        <v>1659</v>
      </c>
      <c r="G9" s="14" t="s">
        <v>137</v>
      </c>
      <c r="H9" s="15">
        <v>6</v>
      </c>
      <c r="I9" s="15">
        <v>10</v>
      </c>
      <c r="J9" s="15">
        <v>23</v>
      </c>
      <c r="K9" s="15">
        <v>22</v>
      </c>
      <c r="L9" s="220">
        <f t="shared" si="0"/>
        <v>61</v>
      </c>
    </row>
    <row r="10" spans="1:12" x14ac:dyDescent="0.35">
      <c r="A10" s="229"/>
      <c r="B10" s="269"/>
      <c r="C10" s="46" t="s">
        <v>1623</v>
      </c>
      <c r="D10" s="46" t="s">
        <v>1647</v>
      </c>
      <c r="E10" s="39" t="s">
        <v>1657</v>
      </c>
      <c r="F10" s="39" t="s">
        <v>1656</v>
      </c>
      <c r="G10" s="14" t="s">
        <v>138</v>
      </c>
      <c r="H10" s="12">
        <v>7</v>
      </c>
      <c r="I10" s="12">
        <v>7</v>
      </c>
      <c r="J10" s="12">
        <v>28</v>
      </c>
      <c r="K10" s="12">
        <v>28</v>
      </c>
      <c r="L10" s="220">
        <f t="shared" si="0"/>
        <v>70</v>
      </c>
    </row>
    <row r="11" spans="1:12" x14ac:dyDescent="0.35">
      <c r="A11" s="229"/>
      <c r="B11" s="269"/>
      <c r="C11" s="46" t="s">
        <v>1623</v>
      </c>
      <c r="D11" s="46" t="s">
        <v>1647</v>
      </c>
      <c r="E11" s="39" t="s">
        <v>1657</v>
      </c>
      <c r="F11" s="39" t="s">
        <v>1658</v>
      </c>
      <c r="G11" s="10" t="s">
        <v>139</v>
      </c>
      <c r="H11" s="12">
        <v>7</v>
      </c>
      <c r="I11" s="12">
        <v>10</v>
      </c>
      <c r="J11" s="12">
        <v>36</v>
      </c>
      <c r="K11" s="12">
        <v>52</v>
      </c>
      <c r="L11" s="220">
        <f t="shared" si="0"/>
        <v>105</v>
      </c>
    </row>
    <row r="12" spans="1:12" x14ac:dyDescent="0.35">
      <c r="A12" s="229"/>
      <c r="B12" s="269"/>
      <c r="C12" s="46" t="s">
        <v>1623</v>
      </c>
      <c r="D12" s="46" t="s">
        <v>1647</v>
      </c>
      <c r="E12" s="39" t="s">
        <v>1657</v>
      </c>
      <c r="F12" s="39" t="s">
        <v>1658</v>
      </c>
      <c r="G12" s="10" t="s">
        <v>140</v>
      </c>
      <c r="H12" s="12">
        <v>13</v>
      </c>
      <c r="I12" s="12">
        <v>14</v>
      </c>
      <c r="J12" s="12">
        <v>24</v>
      </c>
      <c r="K12" s="12">
        <v>21</v>
      </c>
      <c r="L12" s="220">
        <f t="shared" si="0"/>
        <v>72</v>
      </c>
    </row>
    <row r="13" spans="1:12" x14ac:dyDescent="0.35">
      <c r="A13" s="229"/>
      <c r="B13" s="269"/>
      <c r="C13" s="46" t="s">
        <v>1623</v>
      </c>
      <c r="D13" s="46" t="s">
        <v>1647</v>
      </c>
      <c r="E13" s="39" t="s">
        <v>1657</v>
      </c>
      <c r="F13" s="39" t="s">
        <v>1660</v>
      </c>
      <c r="G13" s="10" t="s">
        <v>141</v>
      </c>
      <c r="H13" s="12">
        <v>6</v>
      </c>
      <c r="I13" s="12">
        <v>9</v>
      </c>
      <c r="J13" s="12">
        <v>20</v>
      </c>
      <c r="K13" s="12">
        <v>26</v>
      </c>
      <c r="L13" s="220">
        <f t="shared" si="0"/>
        <v>61</v>
      </c>
    </row>
    <row r="14" spans="1:12" x14ac:dyDescent="0.35">
      <c r="A14" s="229"/>
      <c r="B14" s="269"/>
      <c r="C14" s="46" t="s">
        <v>1623</v>
      </c>
      <c r="D14" s="46" t="s">
        <v>1647</v>
      </c>
      <c r="E14" s="39" t="s">
        <v>1657</v>
      </c>
      <c r="F14" s="39" t="s">
        <v>1658</v>
      </c>
      <c r="G14" s="10" t="s">
        <v>142</v>
      </c>
      <c r="H14" s="15">
        <v>11</v>
      </c>
      <c r="I14" s="15">
        <v>15</v>
      </c>
      <c r="J14" s="15">
        <v>53</v>
      </c>
      <c r="K14" s="15">
        <v>60</v>
      </c>
      <c r="L14" s="220">
        <f t="shared" si="0"/>
        <v>139</v>
      </c>
    </row>
    <row r="15" spans="1:12" x14ac:dyDescent="0.35">
      <c r="A15" s="229"/>
      <c r="B15" s="269"/>
      <c r="C15" s="46" t="s">
        <v>1623</v>
      </c>
      <c r="D15" s="46" t="s">
        <v>1647</v>
      </c>
      <c r="E15" s="39" t="s">
        <v>1657</v>
      </c>
      <c r="F15" s="39" t="s">
        <v>1656</v>
      </c>
      <c r="G15" s="10" t="s">
        <v>143</v>
      </c>
      <c r="H15" s="12">
        <v>14</v>
      </c>
      <c r="I15" s="12">
        <v>12</v>
      </c>
      <c r="J15" s="12">
        <v>74</v>
      </c>
      <c r="K15" s="12">
        <v>80</v>
      </c>
      <c r="L15" s="220">
        <f t="shared" si="0"/>
        <v>180</v>
      </c>
    </row>
    <row r="16" spans="1:12" x14ac:dyDescent="0.35">
      <c r="A16" s="229"/>
      <c r="B16" s="269"/>
      <c r="C16" s="46" t="s">
        <v>1623</v>
      </c>
      <c r="D16" s="46" t="s">
        <v>1647</v>
      </c>
      <c r="E16" s="39" t="s">
        <v>1657</v>
      </c>
      <c r="F16" s="39" t="s">
        <v>1659</v>
      </c>
      <c r="G16" s="10" t="s">
        <v>144</v>
      </c>
      <c r="H16" s="12">
        <v>9</v>
      </c>
      <c r="I16" s="12">
        <v>4</v>
      </c>
      <c r="J16" s="12">
        <v>25</v>
      </c>
      <c r="K16" s="12">
        <v>14</v>
      </c>
      <c r="L16" s="220">
        <f t="shared" si="0"/>
        <v>52</v>
      </c>
    </row>
    <row r="17" spans="1:12" x14ac:dyDescent="0.35">
      <c r="A17" s="229"/>
      <c r="B17" s="269"/>
      <c r="C17" s="46" t="s">
        <v>1623</v>
      </c>
      <c r="D17" s="46" t="s">
        <v>1647</v>
      </c>
      <c r="E17" s="39" t="s">
        <v>1657</v>
      </c>
      <c r="F17" s="39" t="s">
        <v>1658</v>
      </c>
      <c r="G17" s="10" t="s">
        <v>145</v>
      </c>
      <c r="H17" s="15">
        <v>9</v>
      </c>
      <c r="I17" s="15">
        <v>11</v>
      </c>
      <c r="J17" s="15">
        <v>25</v>
      </c>
      <c r="K17" s="15">
        <v>26</v>
      </c>
      <c r="L17" s="220">
        <f t="shared" si="0"/>
        <v>71</v>
      </c>
    </row>
    <row r="18" spans="1:12" x14ac:dyDescent="0.35">
      <c r="A18" s="229"/>
      <c r="B18" s="269"/>
      <c r="C18" s="46" t="s">
        <v>1623</v>
      </c>
      <c r="D18" s="46" t="s">
        <v>1647</v>
      </c>
      <c r="E18" s="39" t="s">
        <v>1657</v>
      </c>
      <c r="F18" s="39" t="s">
        <v>1660</v>
      </c>
      <c r="G18" s="10" t="s">
        <v>146</v>
      </c>
      <c r="H18" s="12">
        <v>10</v>
      </c>
      <c r="I18" s="12">
        <v>7</v>
      </c>
      <c r="J18" s="12">
        <v>36</v>
      </c>
      <c r="K18" s="12">
        <v>31</v>
      </c>
      <c r="L18" s="220">
        <f t="shared" si="0"/>
        <v>84</v>
      </c>
    </row>
    <row r="19" spans="1:12" x14ac:dyDescent="0.35">
      <c r="A19" s="229"/>
      <c r="B19" s="269"/>
      <c r="C19" s="46" t="s">
        <v>1623</v>
      </c>
      <c r="D19" s="46" t="s">
        <v>1647</v>
      </c>
      <c r="E19" s="39" t="s">
        <v>1657</v>
      </c>
      <c r="F19" s="39" t="s">
        <v>1660</v>
      </c>
      <c r="G19" s="10" t="s">
        <v>147</v>
      </c>
      <c r="H19" s="12">
        <v>13</v>
      </c>
      <c r="I19" s="12">
        <v>12</v>
      </c>
      <c r="J19" s="12">
        <v>40</v>
      </c>
      <c r="K19" s="12">
        <v>42</v>
      </c>
      <c r="L19" s="220">
        <f t="shared" si="0"/>
        <v>107</v>
      </c>
    </row>
    <row r="20" spans="1:12" x14ac:dyDescent="0.35">
      <c r="A20" s="229"/>
      <c r="B20" s="269"/>
      <c r="C20" s="46" t="s">
        <v>1623</v>
      </c>
      <c r="D20" s="46" t="s">
        <v>1647</v>
      </c>
      <c r="E20" s="39" t="s">
        <v>1657</v>
      </c>
      <c r="F20" s="39" t="s">
        <v>1660</v>
      </c>
      <c r="G20" s="10" t="s">
        <v>148</v>
      </c>
      <c r="H20" s="12">
        <v>6</v>
      </c>
      <c r="I20" s="12">
        <v>9</v>
      </c>
      <c r="J20" s="12">
        <v>13</v>
      </c>
      <c r="K20" s="12">
        <v>22</v>
      </c>
      <c r="L20" s="220">
        <f t="shared" si="0"/>
        <v>50</v>
      </c>
    </row>
    <row r="21" spans="1:12" x14ac:dyDescent="0.35">
      <c r="A21" s="229"/>
      <c r="B21" s="269"/>
      <c r="C21" s="46" t="s">
        <v>1623</v>
      </c>
      <c r="D21" s="46" t="s">
        <v>1647</v>
      </c>
      <c r="E21" s="39" t="s">
        <v>1657</v>
      </c>
      <c r="F21" s="39" t="s">
        <v>1658</v>
      </c>
      <c r="G21" s="14" t="s">
        <v>149</v>
      </c>
      <c r="H21" s="15">
        <v>11</v>
      </c>
      <c r="I21" s="15">
        <v>10</v>
      </c>
      <c r="J21" s="15">
        <v>53</v>
      </c>
      <c r="K21" s="15">
        <v>32</v>
      </c>
      <c r="L21" s="220">
        <f t="shared" si="0"/>
        <v>106</v>
      </c>
    </row>
    <row r="22" spans="1:12" x14ac:dyDescent="0.35">
      <c r="A22" s="229"/>
      <c r="B22" s="269"/>
      <c r="C22" s="46" t="s">
        <v>1623</v>
      </c>
      <c r="D22" s="46" t="s">
        <v>1647</v>
      </c>
      <c r="E22" s="39" t="s">
        <v>1657</v>
      </c>
      <c r="F22" s="39" t="s">
        <v>1656</v>
      </c>
      <c r="G22" s="10" t="s">
        <v>150</v>
      </c>
      <c r="H22" s="12">
        <v>4</v>
      </c>
      <c r="I22" s="12">
        <v>8</v>
      </c>
      <c r="J22" s="12">
        <v>28</v>
      </c>
      <c r="K22" s="12">
        <v>29</v>
      </c>
      <c r="L22" s="220">
        <f t="shared" si="0"/>
        <v>69</v>
      </c>
    </row>
    <row r="23" spans="1:12" x14ac:dyDescent="0.35">
      <c r="A23" s="229"/>
      <c r="B23" s="269"/>
      <c r="C23" s="46" t="s">
        <v>1623</v>
      </c>
      <c r="D23" s="46" t="s">
        <v>1647</v>
      </c>
      <c r="E23" s="39" t="s">
        <v>1657</v>
      </c>
      <c r="F23" s="39" t="s">
        <v>1656</v>
      </c>
      <c r="G23" s="10" t="s">
        <v>151</v>
      </c>
      <c r="H23" s="12">
        <v>5</v>
      </c>
      <c r="I23" s="12">
        <v>8</v>
      </c>
      <c r="J23" s="12">
        <v>28</v>
      </c>
      <c r="K23" s="12">
        <v>27</v>
      </c>
      <c r="L23" s="220">
        <f t="shared" si="0"/>
        <v>68</v>
      </c>
    </row>
    <row r="24" spans="1:12" x14ac:dyDescent="0.35">
      <c r="A24" s="229"/>
      <c r="B24" s="269"/>
      <c r="C24" s="46" t="s">
        <v>1623</v>
      </c>
      <c r="D24" s="46" t="s">
        <v>1647</v>
      </c>
      <c r="E24" s="39" t="s">
        <v>1657</v>
      </c>
      <c r="F24" s="39" t="s">
        <v>1656</v>
      </c>
      <c r="G24" s="10" t="s">
        <v>152</v>
      </c>
      <c r="H24" s="12">
        <v>10</v>
      </c>
      <c r="I24" s="12">
        <v>13</v>
      </c>
      <c r="J24" s="12">
        <v>55</v>
      </c>
      <c r="K24" s="12">
        <v>55</v>
      </c>
      <c r="L24" s="220">
        <f t="shared" si="0"/>
        <v>133</v>
      </c>
    </row>
    <row r="25" spans="1:12" x14ac:dyDescent="0.35">
      <c r="A25" s="229"/>
      <c r="B25" s="269"/>
      <c r="C25" s="46" t="s">
        <v>1623</v>
      </c>
      <c r="D25" s="46" t="s">
        <v>1647</v>
      </c>
      <c r="E25" s="39" t="s">
        <v>1657</v>
      </c>
      <c r="F25" s="39" t="s">
        <v>1658</v>
      </c>
      <c r="G25" s="10" t="s">
        <v>153</v>
      </c>
      <c r="H25" s="12">
        <v>4</v>
      </c>
      <c r="I25" s="12">
        <v>4</v>
      </c>
      <c r="J25" s="12">
        <v>27</v>
      </c>
      <c r="K25" s="12">
        <v>31</v>
      </c>
      <c r="L25" s="220">
        <f t="shared" si="0"/>
        <v>66</v>
      </c>
    </row>
    <row r="26" spans="1:12" x14ac:dyDescent="0.35">
      <c r="A26" s="229"/>
      <c r="B26" s="269"/>
      <c r="C26" s="46" t="s">
        <v>1623</v>
      </c>
      <c r="D26" s="46" t="s">
        <v>1647</v>
      </c>
      <c r="E26" s="39" t="s">
        <v>1657</v>
      </c>
      <c r="F26" s="39" t="s">
        <v>1656</v>
      </c>
      <c r="G26" s="14" t="s">
        <v>154</v>
      </c>
      <c r="H26" s="12">
        <v>5</v>
      </c>
      <c r="I26" s="12">
        <v>7</v>
      </c>
      <c r="J26" s="12">
        <v>19</v>
      </c>
      <c r="K26" s="12">
        <v>32</v>
      </c>
      <c r="L26" s="220">
        <f t="shared" si="0"/>
        <v>63</v>
      </c>
    </row>
    <row r="27" spans="1:12" x14ac:dyDescent="0.35">
      <c r="A27" s="229"/>
      <c r="B27" s="269"/>
      <c r="C27" s="46" t="s">
        <v>1623</v>
      </c>
      <c r="D27" s="46" t="s">
        <v>1647</v>
      </c>
      <c r="E27" s="39" t="s">
        <v>1657</v>
      </c>
      <c r="F27" s="39" t="s">
        <v>1658</v>
      </c>
      <c r="G27" s="10" t="s">
        <v>155</v>
      </c>
      <c r="H27" s="12">
        <v>6</v>
      </c>
      <c r="I27" s="12">
        <v>6</v>
      </c>
      <c r="J27" s="12">
        <v>19</v>
      </c>
      <c r="K27" s="12">
        <v>23</v>
      </c>
      <c r="L27" s="220">
        <f t="shared" si="0"/>
        <v>54</v>
      </c>
    </row>
    <row r="28" spans="1:12" x14ac:dyDescent="0.35">
      <c r="A28" s="229"/>
      <c r="B28" s="270"/>
      <c r="C28" s="46" t="s">
        <v>1623</v>
      </c>
      <c r="D28" s="46" t="s">
        <v>1647</v>
      </c>
      <c r="E28" s="39" t="s">
        <v>1657</v>
      </c>
      <c r="F28" s="39" t="s">
        <v>1659</v>
      </c>
      <c r="G28" s="14" t="s">
        <v>156</v>
      </c>
      <c r="H28" s="15">
        <v>7</v>
      </c>
      <c r="I28" s="15">
        <v>8</v>
      </c>
      <c r="J28" s="15">
        <v>46</v>
      </c>
      <c r="K28" s="15">
        <v>62</v>
      </c>
      <c r="L28" s="220">
        <f t="shared" si="0"/>
        <v>123</v>
      </c>
    </row>
    <row r="29" spans="1:12" x14ac:dyDescent="0.35">
      <c r="A29" s="16"/>
      <c r="B29" s="55"/>
      <c r="C29" s="49"/>
      <c r="D29" s="49"/>
      <c r="E29" s="17"/>
      <c r="F29" s="17"/>
      <c r="G29" s="18" t="s">
        <v>2</v>
      </c>
      <c r="H29" s="20">
        <f>SUM(H5:H28)</f>
        <v>200</v>
      </c>
      <c r="I29" s="20">
        <f>SUM(I5:I28)</f>
        <v>222</v>
      </c>
      <c r="J29" s="20">
        <f>SUM(J5:J28)</f>
        <v>775</v>
      </c>
      <c r="K29" s="20">
        <f>SUM(K5:K28)</f>
        <v>814</v>
      </c>
      <c r="L29" s="225">
        <f t="shared" si="0"/>
        <v>2011</v>
      </c>
    </row>
    <row r="30" spans="1:12" x14ac:dyDescent="0.35">
      <c r="A30" s="267">
        <v>2</v>
      </c>
      <c r="B30" s="271" t="s">
        <v>157</v>
      </c>
      <c r="C30" s="46" t="s">
        <v>1623</v>
      </c>
      <c r="D30" s="46" t="s">
        <v>1647</v>
      </c>
      <c r="E30" s="44" t="s">
        <v>1662</v>
      </c>
      <c r="F30" s="44" t="s">
        <v>1661</v>
      </c>
      <c r="G30" s="21" t="s">
        <v>158</v>
      </c>
      <c r="H30" s="12">
        <v>8</v>
      </c>
      <c r="I30" s="12">
        <v>9</v>
      </c>
      <c r="J30" s="12">
        <v>56</v>
      </c>
      <c r="K30" s="12">
        <v>60</v>
      </c>
      <c r="L30" s="220">
        <f t="shared" si="0"/>
        <v>133</v>
      </c>
    </row>
    <row r="31" spans="1:12" x14ac:dyDescent="0.35">
      <c r="A31" s="229"/>
      <c r="B31" s="272"/>
      <c r="C31" s="46" t="s">
        <v>1623</v>
      </c>
      <c r="D31" s="46" t="s">
        <v>1647</v>
      </c>
      <c r="E31" s="44" t="s">
        <v>1662</v>
      </c>
      <c r="F31" s="44" t="s">
        <v>1661</v>
      </c>
      <c r="G31" s="21" t="s">
        <v>159</v>
      </c>
      <c r="H31" s="12">
        <v>8</v>
      </c>
      <c r="I31" s="12">
        <v>6</v>
      </c>
      <c r="J31" s="12">
        <v>34</v>
      </c>
      <c r="K31" s="12">
        <v>24</v>
      </c>
      <c r="L31" s="220">
        <f t="shared" si="0"/>
        <v>72</v>
      </c>
    </row>
    <row r="32" spans="1:12" x14ac:dyDescent="0.35">
      <c r="A32" s="229"/>
      <c r="B32" s="272"/>
      <c r="C32" s="46" t="s">
        <v>1623</v>
      </c>
      <c r="D32" s="46" t="s">
        <v>1647</v>
      </c>
      <c r="E32" s="44" t="s">
        <v>1662</v>
      </c>
      <c r="F32" s="44" t="s">
        <v>1661</v>
      </c>
      <c r="G32" s="21" t="s">
        <v>160</v>
      </c>
      <c r="H32" s="12">
        <v>4</v>
      </c>
      <c r="I32" s="12">
        <v>5</v>
      </c>
      <c r="J32" s="12">
        <v>25</v>
      </c>
      <c r="K32" s="12">
        <v>12</v>
      </c>
      <c r="L32" s="220">
        <f t="shared" si="0"/>
        <v>46</v>
      </c>
    </row>
    <row r="33" spans="1:12" x14ac:dyDescent="0.35">
      <c r="A33" s="229"/>
      <c r="B33" s="272"/>
      <c r="C33" s="46" t="s">
        <v>1623</v>
      </c>
      <c r="D33" s="46" t="s">
        <v>1647</v>
      </c>
      <c r="E33" s="44" t="s">
        <v>1662</v>
      </c>
      <c r="F33" s="44" t="s">
        <v>1661</v>
      </c>
      <c r="G33" s="21" t="s">
        <v>161</v>
      </c>
      <c r="H33" s="12">
        <v>6</v>
      </c>
      <c r="I33" s="12">
        <v>8</v>
      </c>
      <c r="J33" s="12">
        <v>12</v>
      </c>
      <c r="K33" s="12">
        <v>16</v>
      </c>
      <c r="L33" s="220">
        <f t="shared" si="0"/>
        <v>42</v>
      </c>
    </row>
    <row r="34" spans="1:12" x14ac:dyDescent="0.35">
      <c r="A34" s="229"/>
      <c r="B34" s="272"/>
      <c r="C34" s="46" t="s">
        <v>1623</v>
      </c>
      <c r="D34" s="46" t="s">
        <v>1647</v>
      </c>
      <c r="E34" s="44" t="s">
        <v>1662</v>
      </c>
      <c r="F34" s="44" t="s">
        <v>1661</v>
      </c>
      <c r="G34" s="21" t="s">
        <v>162</v>
      </c>
      <c r="H34" s="12">
        <v>1</v>
      </c>
      <c r="I34" s="12">
        <v>7</v>
      </c>
      <c r="J34" s="12">
        <v>13</v>
      </c>
      <c r="K34" s="12">
        <v>12</v>
      </c>
      <c r="L34" s="220">
        <f t="shared" si="0"/>
        <v>33</v>
      </c>
    </row>
    <row r="35" spans="1:12" x14ac:dyDescent="0.35">
      <c r="A35" s="229"/>
      <c r="B35" s="272"/>
      <c r="C35" s="46" t="s">
        <v>1623</v>
      </c>
      <c r="D35" s="46" t="s">
        <v>1647</v>
      </c>
      <c r="E35" s="44" t="s">
        <v>1662</v>
      </c>
      <c r="F35" s="44" t="s">
        <v>1661</v>
      </c>
      <c r="G35" s="21" t="s">
        <v>163</v>
      </c>
      <c r="H35" s="12">
        <v>1</v>
      </c>
      <c r="I35" s="12">
        <v>2</v>
      </c>
      <c r="J35" s="12">
        <v>15</v>
      </c>
      <c r="K35" s="12">
        <v>25</v>
      </c>
      <c r="L35" s="220">
        <f t="shared" si="0"/>
        <v>43</v>
      </c>
    </row>
    <row r="36" spans="1:12" x14ac:dyDescent="0.35">
      <c r="A36" s="229"/>
      <c r="B36" s="273"/>
      <c r="C36" s="46" t="s">
        <v>1623</v>
      </c>
      <c r="D36" s="46" t="s">
        <v>1647</v>
      </c>
      <c r="E36" s="44" t="s">
        <v>1662</v>
      </c>
      <c r="F36" s="44" t="s">
        <v>1661</v>
      </c>
      <c r="G36" s="21" t="s">
        <v>164</v>
      </c>
      <c r="H36" s="12">
        <v>1</v>
      </c>
      <c r="I36" s="12">
        <v>2</v>
      </c>
      <c r="J36" s="12">
        <v>15</v>
      </c>
      <c r="K36" s="12">
        <v>29</v>
      </c>
      <c r="L36" s="220">
        <f t="shared" si="0"/>
        <v>47</v>
      </c>
    </row>
    <row r="37" spans="1:12" x14ac:dyDescent="0.35">
      <c r="A37" s="16"/>
      <c r="B37" s="17"/>
      <c r="C37" s="49"/>
      <c r="D37" s="49"/>
      <c r="E37" s="17"/>
      <c r="F37" s="17"/>
      <c r="G37" s="18" t="s">
        <v>2</v>
      </c>
      <c r="H37" s="20">
        <f t="shared" ref="H37:K37" si="1">SUM(H30:H36)</f>
        <v>29</v>
      </c>
      <c r="I37" s="20">
        <f t="shared" si="1"/>
        <v>39</v>
      </c>
      <c r="J37" s="20">
        <f t="shared" si="1"/>
        <v>170</v>
      </c>
      <c r="K37" s="20">
        <f t="shared" si="1"/>
        <v>178</v>
      </c>
      <c r="L37" s="225">
        <f t="shared" si="0"/>
        <v>416</v>
      </c>
    </row>
    <row r="38" spans="1:12" x14ac:dyDescent="0.35">
      <c r="A38" s="274">
        <v>3</v>
      </c>
      <c r="B38" s="271" t="s">
        <v>165</v>
      </c>
      <c r="C38" s="46" t="s">
        <v>1623</v>
      </c>
      <c r="D38" s="46" t="s">
        <v>1647</v>
      </c>
      <c r="E38" s="44" t="s">
        <v>1662</v>
      </c>
      <c r="F38" s="44" t="s">
        <v>1663</v>
      </c>
      <c r="G38" s="21" t="s">
        <v>166</v>
      </c>
      <c r="H38" s="12">
        <v>6</v>
      </c>
      <c r="I38" s="12">
        <v>9</v>
      </c>
      <c r="J38" s="12">
        <v>26</v>
      </c>
      <c r="K38" s="12">
        <v>24</v>
      </c>
      <c r="L38" s="220">
        <f t="shared" si="0"/>
        <v>65</v>
      </c>
    </row>
    <row r="39" spans="1:12" x14ac:dyDescent="0.35">
      <c r="A39" s="274"/>
      <c r="B39" s="272"/>
      <c r="C39" s="46" t="s">
        <v>1623</v>
      </c>
      <c r="D39" s="46" t="s">
        <v>1647</v>
      </c>
      <c r="E39" s="44" t="s">
        <v>1662</v>
      </c>
      <c r="F39" s="44" t="s">
        <v>1663</v>
      </c>
      <c r="G39" s="21" t="s">
        <v>167</v>
      </c>
      <c r="H39" s="12">
        <v>5</v>
      </c>
      <c r="I39" s="12">
        <v>4</v>
      </c>
      <c r="J39" s="12">
        <v>21</v>
      </c>
      <c r="K39" s="12">
        <v>27</v>
      </c>
      <c r="L39" s="220">
        <f t="shared" si="0"/>
        <v>57</v>
      </c>
    </row>
    <row r="40" spans="1:12" x14ac:dyDescent="0.35">
      <c r="A40" s="274"/>
      <c r="B40" s="272"/>
      <c r="C40" s="46" t="s">
        <v>1623</v>
      </c>
      <c r="D40" s="46" t="s">
        <v>1647</v>
      </c>
      <c r="E40" s="44" t="s">
        <v>1662</v>
      </c>
      <c r="F40" s="44" t="s">
        <v>1663</v>
      </c>
      <c r="G40" s="21" t="s">
        <v>168</v>
      </c>
      <c r="H40" s="12">
        <v>5</v>
      </c>
      <c r="I40" s="12">
        <v>5</v>
      </c>
      <c r="J40" s="12">
        <v>23</v>
      </c>
      <c r="K40" s="12">
        <v>21</v>
      </c>
      <c r="L40" s="220">
        <f t="shared" si="0"/>
        <v>54</v>
      </c>
    </row>
    <row r="41" spans="1:12" x14ac:dyDescent="0.35">
      <c r="A41" s="229"/>
      <c r="B41" s="272"/>
      <c r="C41" s="46" t="s">
        <v>1623</v>
      </c>
      <c r="D41" s="46" t="s">
        <v>1647</v>
      </c>
      <c r="E41" s="44" t="s">
        <v>1662</v>
      </c>
      <c r="F41" s="44" t="s">
        <v>1663</v>
      </c>
      <c r="G41" s="21" t="s">
        <v>169</v>
      </c>
      <c r="H41" s="12">
        <v>13</v>
      </c>
      <c r="I41" s="12">
        <v>9</v>
      </c>
      <c r="J41" s="12">
        <v>32</v>
      </c>
      <c r="K41" s="12">
        <v>21</v>
      </c>
      <c r="L41" s="220">
        <f t="shared" si="0"/>
        <v>75</v>
      </c>
    </row>
    <row r="42" spans="1:12" x14ac:dyDescent="0.35">
      <c r="A42" s="229"/>
      <c r="B42" s="272"/>
      <c r="C42" s="46" t="s">
        <v>1623</v>
      </c>
      <c r="D42" s="46" t="s">
        <v>1647</v>
      </c>
      <c r="E42" s="44" t="s">
        <v>1662</v>
      </c>
      <c r="F42" s="44" t="s">
        <v>1663</v>
      </c>
      <c r="G42" s="21" t="s">
        <v>170</v>
      </c>
      <c r="H42" s="12">
        <v>11</v>
      </c>
      <c r="I42" s="12">
        <v>12</v>
      </c>
      <c r="J42" s="12">
        <v>22</v>
      </c>
      <c r="K42" s="12">
        <v>35</v>
      </c>
      <c r="L42" s="220">
        <f t="shared" si="0"/>
        <v>80</v>
      </c>
    </row>
    <row r="43" spans="1:12" x14ac:dyDescent="0.35">
      <c r="A43" s="229"/>
      <c r="B43" s="272"/>
      <c r="C43" s="46" t="s">
        <v>1623</v>
      </c>
      <c r="D43" s="46" t="s">
        <v>1647</v>
      </c>
      <c r="E43" s="44" t="s">
        <v>1662</v>
      </c>
      <c r="F43" s="44" t="s">
        <v>1663</v>
      </c>
      <c r="G43" s="21" t="s">
        <v>171</v>
      </c>
      <c r="H43" s="12">
        <v>3</v>
      </c>
      <c r="I43" s="12">
        <v>6</v>
      </c>
      <c r="J43" s="12">
        <v>13</v>
      </c>
      <c r="K43" s="12">
        <v>23</v>
      </c>
      <c r="L43" s="220">
        <f t="shared" si="0"/>
        <v>45</v>
      </c>
    </row>
    <row r="44" spans="1:12" x14ac:dyDescent="0.35">
      <c r="A44" s="229"/>
      <c r="B44" s="272"/>
      <c r="C44" s="46" t="s">
        <v>1623</v>
      </c>
      <c r="D44" s="46" t="s">
        <v>1647</v>
      </c>
      <c r="E44" s="44" t="s">
        <v>1662</v>
      </c>
      <c r="F44" s="44" t="s">
        <v>1663</v>
      </c>
      <c r="G44" s="21" t="s">
        <v>172</v>
      </c>
      <c r="H44" s="12">
        <v>5</v>
      </c>
      <c r="I44" s="12">
        <v>5</v>
      </c>
      <c r="J44" s="12">
        <v>15</v>
      </c>
      <c r="K44" s="12">
        <v>16</v>
      </c>
      <c r="L44" s="220">
        <f t="shared" si="0"/>
        <v>41</v>
      </c>
    </row>
    <row r="45" spans="1:12" x14ac:dyDescent="0.35">
      <c r="A45" s="229"/>
      <c r="B45" s="273"/>
      <c r="C45" s="46" t="s">
        <v>1623</v>
      </c>
      <c r="D45" s="46" t="s">
        <v>1647</v>
      </c>
      <c r="E45" s="44" t="s">
        <v>1662</v>
      </c>
      <c r="F45" s="44" t="s">
        <v>1663</v>
      </c>
      <c r="G45" s="21" t="s">
        <v>173</v>
      </c>
      <c r="H45" s="15">
        <v>6</v>
      </c>
      <c r="I45" s="15">
        <v>9</v>
      </c>
      <c r="J45" s="15">
        <v>23</v>
      </c>
      <c r="K45" s="15">
        <v>27</v>
      </c>
      <c r="L45" s="220">
        <f t="shared" si="0"/>
        <v>65</v>
      </c>
    </row>
    <row r="46" spans="1:12" x14ac:dyDescent="0.35">
      <c r="A46" s="16"/>
      <c r="B46" s="17"/>
      <c r="C46" s="49"/>
      <c r="D46" s="49"/>
      <c r="E46" s="17"/>
      <c r="F46" s="17"/>
      <c r="G46" s="22" t="s">
        <v>2</v>
      </c>
      <c r="H46" s="19">
        <f t="shared" ref="H46:K46" si="2">SUM(H38:H45)</f>
        <v>54</v>
      </c>
      <c r="I46" s="19">
        <f t="shared" si="2"/>
        <v>59</v>
      </c>
      <c r="J46" s="19">
        <f t="shared" si="2"/>
        <v>175</v>
      </c>
      <c r="K46" s="19">
        <f t="shared" si="2"/>
        <v>194</v>
      </c>
      <c r="L46" s="225">
        <f t="shared" si="0"/>
        <v>482</v>
      </c>
    </row>
    <row r="47" spans="1:12" x14ac:dyDescent="0.35">
      <c r="A47" s="254">
        <v>4</v>
      </c>
      <c r="B47" s="252" t="s">
        <v>174</v>
      </c>
      <c r="C47" s="46" t="s">
        <v>1623</v>
      </c>
      <c r="D47" s="46" t="s">
        <v>1647</v>
      </c>
      <c r="E47" s="9" t="s">
        <v>1648</v>
      </c>
      <c r="F47" s="9" t="s">
        <v>175</v>
      </c>
      <c r="G47" s="21" t="s">
        <v>175</v>
      </c>
      <c r="H47" s="12">
        <v>3</v>
      </c>
      <c r="I47" s="12">
        <v>3</v>
      </c>
      <c r="J47" s="12">
        <v>9</v>
      </c>
      <c r="K47" s="12">
        <v>13</v>
      </c>
      <c r="L47" s="220">
        <f t="shared" si="0"/>
        <v>28</v>
      </c>
    </row>
    <row r="48" spans="1:12" x14ac:dyDescent="0.35">
      <c r="A48" s="255"/>
      <c r="B48" s="253"/>
      <c r="C48" s="46" t="s">
        <v>1623</v>
      </c>
      <c r="D48" s="46" t="s">
        <v>1647</v>
      </c>
      <c r="E48" s="9" t="s">
        <v>1648</v>
      </c>
      <c r="F48" s="9" t="s">
        <v>188</v>
      </c>
      <c r="G48" s="21" t="s">
        <v>176</v>
      </c>
      <c r="H48" s="12">
        <v>5</v>
      </c>
      <c r="I48" s="12">
        <v>10</v>
      </c>
      <c r="J48" s="12">
        <v>19</v>
      </c>
      <c r="K48" s="12">
        <v>14</v>
      </c>
      <c r="L48" s="220">
        <f t="shared" si="0"/>
        <v>48</v>
      </c>
    </row>
    <row r="49" spans="1:12" x14ac:dyDescent="0.35">
      <c r="A49" s="255"/>
      <c r="B49" s="253"/>
      <c r="C49" s="46" t="s">
        <v>1623</v>
      </c>
      <c r="D49" s="46" t="s">
        <v>1647</v>
      </c>
      <c r="E49" s="9" t="s">
        <v>1648</v>
      </c>
      <c r="F49" s="9" t="s">
        <v>189</v>
      </c>
      <c r="G49" s="21" t="s">
        <v>177</v>
      </c>
      <c r="H49" s="12">
        <v>2</v>
      </c>
      <c r="I49" s="12">
        <v>0</v>
      </c>
      <c r="J49" s="12">
        <v>5</v>
      </c>
      <c r="K49" s="12">
        <v>4</v>
      </c>
      <c r="L49" s="220">
        <f t="shared" si="0"/>
        <v>11</v>
      </c>
    </row>
    <row r="50" spans="1:12" x14ac:dyDescent="0.35">
      <c r="A50" s="255"/>
      <c r="B50" s="253"/>
      <c r="C50" s="46" t="s">
        <v>1623</v>
      </c>
      <c r="D50" s="46" t="s">
        <v>1647</v>
      </c>
      <c r="E50" s="9" t="s">
        <v>1648</v>
      </c>
      <c r="F50" s="9" t="s">
        <v>188</v>
      </c>
      <c r="G50" s="21" t="s">
        <v>178</v>
      </c>
      <c r="H50" s="12">
        <v>0</v>
      </c>
      <c r="I50" s="12">
        <v>3</v>
      </c>
      <c r="J50" s="12">
        <v>9</v>
      </c>
      <c r="K50" s="12">
        <v>15</v>
      </c>
      <c r="L50" s="220">
        <f t="shared" si="0"/>
        <v>27</v>
      </c>
    </row>
    <row r="51" spans="1:12" x14ac:dyDescent="0.35">
      <c r="A51" s="255"/>
      <c r="B51" s="253"/>
      <c r="C51" s="46" t="s">
        <v>1623</v>
      </c>
      <c r="D51" s="46" t="s">
        <v>1647</v>
      </c>
      <c r="E51" s="9" t="s">
        <v>1648</v>
      </c>
      <c r="F51" s="9" t="s">
        <v>188</v>
      </c>
      <c r="G51" s="21" t="s">
        <v>179</v>
      </c>
      <c r="H51" s="12">
        <v>7</v>
      </c>
      <c r="I51" s="12">
        <v>11</v>
      </c>
      <c r="J51" s="12">
        <v>12</v>
      </c>
      <c r="K51" s="12">
        <v>11</v>
      </c>
      <c r="L51" s="220">
        <f t="shared" si="0"/>
        <v>41</v>
      </c>
    </row>
    <row r="52" spans="1:12" x14ac:dyDescent="0.35">
      <c r="A52" s="255"/>
      <c r="B52" s="253"/>
      <c r="C52" s="46" t="s">
        <v>1623</v>
      </c>
      <c r="D52" s="46" t="s">
        <v>1647</v>
      </c>
      <c r="E52" s="9" t="s">
        <v>1648</v>
      </c>
      <c r="F52" s="9" t="s">
        <v>201</v>
      </c>
      <c r="G52" s="21" t="s">
        <v>180</v>
      </c>
      <c r="H52" s="12">
        <v>17</v>
      </c>
      <c r="I52" s="12">
        <v>19</v>
      </c>
      <c r="J52" s="12">
        <v>28</v>
      </c>
      <c r="K52" s="12">
        <v>33</v>
      </c>
      <c r="L52" s="220">
        <f t="shared" si="0"/>
        <v>97</v>
      </c>
    </row>
    <row r="53" spans="1:12" x14ac:dyDescent="0.35">
      <c r="A53" s="255"/>
      <c r="B53" s="253"/>
      <c r="C53" s="46" t="s">
        <v>1623</v>
      </c>
      <c r="D53" s="46" t="s">
        <v>1647</v>
      </c>
      <c r="E53" s="9" t="s">
        <v>1648</v>
      </c>
      <c r="F53" s="9" t="s">
        <v>188</v>
      </c>
      <c r="G53" s="21" t="s">
        <v>181</v>
      </c>
      <c r="H53" s="12">
        <v>5</v>
      </c>
      <c r="I53" s="12">
        <v>8</v>
      </c>
      <c r="J53" s="12">
        <v>32</v>
      </c>
      <c r="K53" s="12">
        <v>34</v>
      </c>
      <c r="L53" s="220">
        <f t="shared" si="0"/>
        <v>79</v>
      </c>
    </row>
    <row r="54" spans="1:12" x14ac:dyDescent="0.35">
      <c r="A54" s="255"/>
      <c r="B54" s="253"/>
      <c r="C54" s="46" t="s">
        <v>1623</v>
      </c>
      <c r="D54" s="46" t="s">
        <v>1647</v>
      </c>
      <c r="E54" s="9" t="s">
        <v>1648</v>
      </c>
      <c r="F54" s="9" t="s">
        <v>201</v>
      </c>
      <c r="G54" s="21" t="s">
        <v>182</v>
      </c>
      <c r="H54" s="12">
        <v>13</v>
      </c>
      <c r="I54" s="12">
        <v>7</v>
      </c>
      <c r="J54" s="12">
        <v>31</v>
      </c>
      <c r="K54" s="12">
        <v>33</v>
      </c>
      <c r="L54" s="220">
        <f t="shared" si="0"/>
        <v>84</v>
      </c>
    </row>
    <row r="55" spans="1:12" x14ac:dyDescent="0.35">
      <c r="A55" s="255"/>
      <c r="B55" s="253"/>
      <c r="C55" s="46" t="s">
        <v>1623</v>
      </c>
      <c r="D55" s="46" t="s">
        <v>1647</v>
      </c>
      <c r="E55" s="9" t="s">
        <v>1648</v>
      </c>
      <c r="F55" s="9" t="s">
        <v>176</v>
      </c>
      <c r="G55" s="21" t="s">
        <v>183</v>
      </c>
      <c r="H55" s="12">
        <v>2</v>
      </c>
      <c r="I55" s="12">
        <v>3</v>
      </c>
      <c r="J55" s="12">
        <v>13</v>
      </c>
      <c r="K55" s="12">
        <v>11</v>
      </c>
      <c r="L55" s="220">
        <f t="shared" si="0"/>
        <v>29</v>
      </c>
    </row>
    <row r="56" spans="1:12" x14ac:dyDescent="0.35">
      <c r="A56" s="255"/>
      <c r="B56" s="253"/>
      <c r="C56" s="46" t="s">
        <v>1623</v>
      </c>
      <c r="D56" s="46" t="s">
        <v>1647</v>
      </c>
      <c r="E56" s="9" t="s">
        <v>1648</v>
      </c>
      <c r="F56" s="9" t="s">
        <v>176</v>
      </c>
      <c r="G56" s="21" t="s">
        <v>184</v>
      </c>
      <c r="H56" s="12">
        <v>8</v>
      </c>
      <c r="I56" s="12">
        <v>7</v>
      </c>
      <c r="J56" s="12">
        <v>11</v>
      </c>
      <c r="K56" s="12">
        <v>9</v>
      </c>
      <c r="L56" s="220">
        <f t="shared" si="0"/>
        <v>35</v>
      </c>
    </row>
    <row r="57" spans="1:12" x14ac:dyDescent="0.35">
      <c r="A57" s="255"/>
      <c r="B57" s="253"/>
      <c r="C57" s="46" t="s">
        <v>1623</v>
      </c>
      <c r="D57" s="46" t="s">
        <v>1647</v>
      </c>
      <c r="E57" s="9" t="s">
        <v>1648</v>
      </c>
      <c r="F57" s="9" t="s">
        <v>176</v>
      </c>
      <c r="G57" s="21" t="s">
        <v>185</v>
      </c>
      <c r="H57" s="12">
        <v>13</v>
      </c>
      <c r="I57" s="12">
        <v>4</v>
      </c>
      <c r="J57" s="12">
        <v>17</v>
      </c>
      <c r="K57" s="12">
        <v>5</v>
      </c>
      <c r="L57" s="220">
        <f t="shared" si="0"/>
        <v>39</v>
      </c>
    </row>
    <row r="58" spans="1:12" x14ac:dyDescent="0.35">
      <c r="A58" s="255"/>
      <c r="B58" s="253"/>
      <c r="C58" s="46" t="s">
        <v>1623</v>
      </c>
      <c r="D58" s="46" t="s">
        <v>1647</v>
      </c>
      <c r="E58" s="9" t="s">
        <v>1648</v>
      </c>
      <c r="F58" s="9" t="s">
        <v>188</v>
      </c>
      <c r="G58" s="21" t="s">
        <v>186</v>
      </c>
      <c r="H58" s="12">
        <v>9</v>
      </c>
      <c r="I58" s="12">
        <v>9</v>
      </c>
      <c r="J58" s="12">
        <v>35</v>
      </c>
      <c r="K58" s="12">
        <v>39</v>
      </c>
      <c r="L58" s="220">
        <f t="shared" si="0"/>
        <v>92</v>
      </c>
    </row>
    <row r="59" spans="1:12" x14ac:dyDescent="0.35">
      <c r="A59" s="255"/>
      <c r="B59" s="253"/>
      <c r="C59" s="46" t="s">
        <v>1623</v>
      </c>
      <c r="D59" s="46" t="s">
        <v>1647</v>
      </c>
      <c r="E59" s="9" t="s">
        <v>1648</v>
      </c>
      <c r="F59" s="9" t="s">
        <v>175</v>
      </c>
      <c r="G59" s="21" t="s">
        <v>187</v>
      </c>
      <c r="H59" s="12">
        <v>9</v>
      </c>
      <c r="I59" s="12">
        <v>12</v>
      </c>
      <c r="J59" s="12">
        <v>20</v>
      </c>
      <c r="K59" s="12">
        <v>12</v>
      </c>
      <c r="L59" s="220">
        <f t="shared" si="0"/>
        <v>53</v>
      </c>
    </row>
    <row r="60" spans="1:12" x14ac:dyDescent="0.35">
      <c r="A60" s="255"/>
      <c r="B60" s="253"/>
      <c r="C60" s="46" t="s">
        <v>1623</v>
      </c>
      <c r="D60" s="46" t="s">
        <v>1647</v>
      </c>
      <c r="E60" s="9" t="s">
        <v>1648</v>
      </c>
      <c r="F60" s="9" t="s">
        <v>188</v>
      </c>
      <c r="G60" s="21" t="s">
        <v>188</v>
      </c>
      <c r="H60" s="12">
        <v>3</v>
      </c>
      <c r="I60" s="12">
        <v>3</v>
      </c>
      <c r="J60" s="12">
        <v>15</v>
      </c>
      <c r="K60" s="12">
        <v>10</v>
      </c>
      <c r="L60" s="220">
        <f t="shared" si="0"/>
        <v>31</v>
      </c>
    </row>
    <row r="61" spans="1:12" x14ac:dyDescent="0.35">
      <c r="A61" s="255"/>
      <c r="B61" s="253"/>
      <c r="C61" s="46" t="s">
        <v>1623</v>
      </c>
      <c r="D61" s="46" t="s">
        <v>1647</v>
      </c>
      <c r="E61" s="9" t="s">
        <v>1648</v>
      </c>
      <c r="F61" s="9" t="s">
        <v>189</v>
      </c>
      <c r="G61" s="21" t="s">
        <v>189</v>
      </c>
      <c r="H61" s="12">
        <v>2</v>
      </c>
      <c r="I61" s="12">
        <v>0</v>
      </c>
      <c r="J61" s="12">
        <v>4</v>
      </c>
      <c r="K61" s="12">
        <v>8</v>
      </c>
      <c r="L61" s="220">
        <f t="shared" si="0"/>
        <v>14</v>
      </c>
    </row>
    <row r="62" spans="1:12" x14ac:dyDescent="0.35">
      <c r="A62" s="255"/>
      <c r="B62" s="253"/>
      <c r="C62" s="46" t="s">
        <v>1623</v>
      </c>
      <c r="D62" s="46" t="s">
        <v>1647</v>
      </c>
      <c r="E62" s="9" t="s">
        <v>1648</v>
      </c>
      <c r="F62" s="9" t="s">
        <v>176</v>
      </c>
      <c r="G62" s="21" t="s">
        <v>190</v>
      </c>
      <c r="H62" s="12">
        <v>4</v>
      </c>
      <c r="I62" s="12">
        <v>4</v>
      </c>
      <c r="J62" s="12">
        <v>4</v>
      </c>
      <c r="K62" s="12">
        <v>5</v>
      </c>
      <c r="L62" s="220">
        <f t="shared" si="0"/>
        <v>17</v>
      </c>
    </row>
    <row r="63" spans="1:12" x14ac:dyDescent="0.35">
      <c r="A63" s="255"/>
      <c r="B63" s="253"/>
      <c r="C63" s="46" t="s">
        <v>1623</v>
      </c>
      <c r="D63" s="46" t="s">
        <v>1647</v>
      </c>
      <c r="E63" s="9" t="s">
        <v>1648</v>
      </c>
      <c r="F63" s="9" t="s">
        <v>189</v>
      </c>
      <c r="G63" s="21" t="s">
        <v>191</v>
      </c>
      <c r="H63" s="12">
        <v>4</v>
      </c>
      <c r="I63" s="12">
        <v>1</v>
      </c>
      <c r="J63" s="12">
        <v>7</v>
      </c>
      <c r="K63" s="12">
        <v>9</v>
      </c>
      <c r="L63" s="220">
        <f t="shared" si="0"/>
        <v>21</v>
      </c>
    </row>
    <row r="64" spans="1:12" x14ac:dyDescent="0.35">
      <c r="A64" s="255"/>
      <c r="B64" s="253"/>
      <c r="C64" s="46" t="s">
        <v>1623</v>
      </c>
      <c r="D64" s="46" t="s">
        <v>1647</v>
      </c>
      <c r="E64" s="9" t="s">
        <v>1648</v>
      </c>
      <c r="F64" s="9" t="s">
        <v>189</v>
      </c>
      <c r="G64" s="21" t="s">
        <v>192</v>
      </c>
      <c r="H64" s="12">
        <v>1</v>
      </c>
      <c r="I64" s="12">
        <v>0</v>
      </c>
      <c r="J64" s="12">
        <v>8</v>
      </c>
      <c r="K64" s="12">
        <v>8</v>
      </c>
      <c r="L64" s="220">
        <f t="shared" si="0"/>
        <v>17</v>
      </c>
    </row>
    <row r="65" spans="1:12" x14ac:dyDescent="0.35">
      <c r="A65" s="255"/>
      <c r="B65" s="253"/>
      <c r="C65" s="46" t="s">
        <v>1623</v>
      </c>
      <c r="D65" s="46" t="s">
        <v>1647</v>
      </c>
      <c r="E65" s="9" t="s">
        <v>1648</v>
      </c>
      <c r="F65" s="9" t="s">
        <v>175</v>
      </c>
      <c r="G65" s="21" t="s">
        <v>193</v>
      </c>
      <c r="H65" s="12">
        <v>11</v>
      </c>
      <c r="I65" s="12">
        <v>16</v>
      </c>
      <c r="J65" s="12">
        <v>23</v>
      </c>
      <c r="K65" s="12">
        <v>26</v>
      </c>
      <c r="L65" s="220">
        <f t="shared" si="0"/>
        <v>76</v>
      </c>
    </row>
    <row r="66" spans="1:12" x14ac:dyDescent="0.35">
      <c r="A66" s="255"/>
      <c r="B66" s="253"/>
      <c r="C66" s="46" t="s">
        <v>1623</v>
      </c>
      <c r="D66" s="46" t="s">
        <v>1647</v>
      </c>
      <c r="E66" s="9" t="s">
        <v>1648</v>
      </c>
      <c r="F66" s="9" t="s">
        <v>176</v>
      </c>
      <c r="G66" s="21" t="s">
        <v>194</v>
      </c>
      <c r="H66" s="12">
        <v>6</v>
      </c>
      <c r="I66" s="12">
        <v>5</v>
      </c>
      <c r="J66" s="12">
        <v>18</v>
      </c>
      <c r="K66" s="12">
        <v>27</v>
      </c>
      <c r="L66" s="220">
        <f t="shared" si="0"/>
        <v>56</v>
      </c>
    </row>
    <row r="67" spans="1:12" x14ac:dyDescent="0.35">
      <c r="A67" s="255"/>
      <c r="B67" s="253"/>
      <c r="C67" s="46" t="s">
        <v>1623</v>
      </c>
      <c r="D67" s="46" t="s">
        <v>1647</v>
      </c>
      <c r="E67" s="9" t="s">
        <v>1648</v>
      </c>
      <c r="F67" s="9" t="s">
        <v>201</v>
      </c>
      <c r="G67" s="21" t="s">
        <v>195</v>
      </c>
      <c r="H67" s="12">
        <v>8</v>
      </c>
      <c r="I67" s="12">
        <v>12</v>
      </c>
      <c r="J67" s="12">
        <v>43</v>
      </c>
      <c r="K67" s="12">
        <v>70</v>
      </c>
      <c r="L67" s="220">
        <f t="shared" si="0"/>
        <v>133</v>
      </c>
    </row>
    <row r="68" spans="1:12" x14ac:dyDescent="0.35">
      <c r="A68" s="255"/>
      <c r="B68" s="253"/>
      <c r="C68" s="46" t="s">
        <v>1623</v>
      </c>
      <c r="D68" s="46" t="s">
        <v>1647</v>
      </c>
      <c r="E68" s="9" t="s">
        <v>1648</v>
      </c>
      <c r="F68" s="9" t="s">
        <v>175</v>
      </c>
      <c r="G68" s="21" t="s">
        <v>196</v>
      </c>
      <c r="H68" s="12">
        <v>7</v>
      </c>
      <c r="I68" s="12">
        <v>10</v>
      </c>
      <c r="J68" s="12">
        <v>12</v>
      </c>
      <c r="K68" s="12">
        <v>8</v>
      </c>
      <c r="L68" s="220">
        <f t="shared" si="0"/>
        <v>37</v>
      </c>
    </row>
    <row r="69" spans="1:12" x14ac:dyDescent="0.35">
      <c r="A69" s="255"/>
      <c r="B69" s="253"/>
      <c r="C69" s="46" t="s">
        <v>1623</v>
      </c>
      <c r="D69" s="46" t="s">
        <v>1647</v>
      </c>
      <c r="E69" s="9" t="s">
        <v>1648</v>
      </c>
      <c r="F69" s="9" t="s">
        <v>189</v>
      </c>
      <c r="G69" s="21" t="s">
        <v>197</v>
      </c>
      <c r="H69" s="12">
        <v>3</v>
      </c>
      <c r="I69" s="12">
        <v>4</v>
      </c>
      <c r="J69" s="12">
        <v>8</v>
      </c>
      <c r="K69" s="12">
        <v>6</v>
      </c>
      <c r="L69" s="220">
        <f t="shared" si="0"/>
        <v>21</v>
      </c>
    </row>
    <row r="70" spans="1:12" x14ac:dyDescent="0.35">
      <c r="A70" s="255"/>
      <c r="B70" s="253"/>
      <c r="C70" s="46" t="s">
        <v>1623</v>
      </c>
      <c r="D70" s="46" t="s">
        <v>1647</v>
      </c>
      <c r="E70" s="9" t="s">
        <v>1648</v>
      </c>
      <c r="F70" s="9" t="s">
        <v>201</v>
      </c>
      <c r="G70" s="21" t="s">
        <v>198</v>
      </c>
      <c r="H70" s="12">
        <v>11</v>
      </c>
      <c r="I70" s="12">
        <v>15</v>
      </c>
      <c r="J70" s="12">
        <v>19</v>
      </c>
      <c r="K70" s="12">
        <v>24</v>
      </c>
      <c r="L70" s="220">
        <f t="shared" ref="L70:L133" si="3">H70+I70+J70+K70</f>
        <v>69</v>
      </c>
    </row>
    <row r="71" spans="1:12" x14ac:dyDescent="0.35">
      <c r="A71" s="255"/>
      <c r="B71" s="253"/>
      <c r="C71" s="46" t="s">
        <v>1623</v>
      </c>
      <c r="D71" s="46" t="s">
        <v>1647</v>
      </c>
      <c r="E71" s="9" t="s">
        <v>1648</v>
      </c>
      <c r="F71" s="9" t="s">
        <v>176</v>
      </c>
      <c r="G71" s="21" t="s">
        <v>199</v>
      </c>
      <c r="H71" s="12">
        <v>18</v>
      </c>
      <c r="I71" s="12">
        <v>14</v>
      </c>
      <c r="J71" s="12">
        <v>60</v>
      </c>
      <c r="K71" s="12">
        <v>43</v>
      </c>
      <c r="L71" s="220">
        <f t="shared" si="3"/>
        <v>135</v>
      </c>
    </row>
    <row r="72" spans="1:12" x14ac:dyDescent="0.35">
      <c r="A72" s="255"/>
      <c r="B72" s="253"/>
      <c r="C72" s="46" t="s">
        <v>1623</v>
      </c>
      <c r="D72" s="46" t="s">
        <v>1647</v>
      </c>
      <c r="E72" s="9" t="s">
        <v>1648</v>
      </c>
      <c r="F72" s="9" t="s">
        <v>175</v>
      </c>
      <c r="G72" s="21" t="s">
        <v>200</v>
      </c>
      <c r="H72" s="12">
        <v>1</v>
      </c>
      <c r="I72" s="12">
        <v>3</v>
      </c>
      <c r="J72" s="12">
        <v>25</v>
      </c>
      <c r="K72" s="12">
        <v>40</v>
      </c>
      <c r="L72" s="220">
        <f t="shared" si="3"/>
        <v>69</v>
      </c>
    </row>
    <row r="73" spans="1:12" x14ac:dyDescent="0.35">
      <c r="A73" s="255"/>
      <c r="B73" s="253"/>
      <c r="C73" s="46" t="s">
        <v>1623</v>
      </c>
      <c r="D73" s="46" t="s">
        <v>1647</v>
      </c>
      <c r="E73" s="9" t="s">
        <v>1648</v>
      </c>
      <c r="F73" s="9" t="s">
        <v>201</v>
      </c>
      <c r="G73" s="21" t="s">
        <v>201</v>
      </c>
      <c r="H73" s="12">
        <v>12</v>
      </c>
      <c r="I73" s="12">
        <v>17</v>
      </c>
      <c r="J73" s="12">
        <v>24</v>
      </c>
      <c r="K73" s="12">
        <v>29</v>
      </c>
      <c r="L73" s="220">
        <f t="shared" si="3"/>
        <v>82</v>
      </c>
    </row>
    <row r="74" spans="1:12" x14ac:dyDescent="0.35">
      <c r="A74" s="51"/>
      <c r="B74" s="50"/>
      <c r="C74" s="49"/>
      <c r="D74" s="49"/>
      <c r="E74" s="50"/>
      <c r="F74" s="50"/>
      <c r="G74" s="22" t="s">
        <v>2</v>
      </c>
      <c r="H74" s="19">
        <f t="shared" ref="H74:K74" si="4">SUM(H47:H73)</f>
        <v>184</v>
      </c>
      <c r="I74" s="19">
        <f t="shared" si="4"/>
        <v>200</v>
      </c>
      <c r="J74" s="19">
        <f t="shared" si="4"/>
        <v>511</v>
      </c>
      <c r="K74" s="19">
        <f t="shared" si="4"/>
        <v>546</v>
      </c>
      <c r="L74" s="225">
        <f t="shared" si="3"/>
        <v>1441</v>
      </c>
    </row>
    <row r="75" spans="1:12" x14ac:dyDescent="0.35">
      <c r="A75" s="267">
        <v>5</v>
      </c>
      <c r="B75" s="268" t="s">
        <v>202</v>
      </c>
      <c r="C75" s="46" t="s">
        <v>1623</v>
      </c>
      <c r="D75" s="46" t="s">
        <v>1647</v>
      </c>
      <c r="E75" s="39" t="s">
        <v>1657</v>
      </c>
      <c r="F75" s="39" t="s">
        <v>1666</v>
      </c>
      <c r="G75" s="29" t="s">
        <v>203</v>
      </c>
      <c r="H75" s="12">
        <v>24</v>
      </c>
      <c r="I75" s="12">
        <v>26</v>
      </c>
      <c r="J75" s="12">
        <v>62</v>
      </c>
      <c r="K75" s="12">
        <v>88</v>
      </c>
      <c r="L75" s="220">
        <f t="shared" si="3"/>
        <v>200</v>
      </c>
    </row>
    <row r="76" spans="1:12" x14ac:dyDescent="0.35">
      <c r="A76" s="229"/>
      <c r="B76" s="269"/>
      <c r="C76" s="46" t="s">
        <v>1623</v>
      </c>
      <c r="D76" s="46" t="s">
        <v>1647</v>
      </c>
      <c r="E76" s="39" t="s">
        <v>1657</v>
      </c>
      <c r="F76" s="39" t="s">
        <v>1656</v>
      </c>
      <c r="G76" s="29" t="s">
        <v>204</v>
      </c>
      <c r="H76" s="12">
        <v>27</v>
      </c>
      <c r="I76" s="12">
        <v>23</v>
      </c>
      <c r="J76" s="12">
        <v>101</v>
      </c>
      <c r="K76" s="12">
        <v>149</v>
      </c>
      <c r="L76" s="220">
        <f t="shared" si="3"/>
        <v>300</v>
      </c>
    </row>
    <row r="77" spans="1:12" x14ac:dyDescent="0.35">
      <c r="A77" s="229"/>
      <c r="B77" s="269"/>
      <c r="C77" s="46" t="s">
        <v>1623</v>
      </c>
      <c r="D77" s="46" t="s">
        <v>1647</v>
      </c>
      <c r="E77" s="39" t="s">
        <v>1657</v>
      </c>
      <c r="F77" s="39" t="s">
        <v>1656</v>
      </c>
      <c r="G77" s="29" t="s">
        <v>205</v>
      </c>
      <c r="H77" s="12">
        <v>28</v>
      </c>
      <c r="I77" s="12">
        <v>23</v>
      </c>
      <c r="J77" s="12">
        <v>231</v>
      </c>
      <c r="K77" s="12">
        <v>269</v>
      </c>
      <c r="L77" s="220">
        <f t="shared" si="3"/>
        <v>551</v>
      </c>
    </row>
    <row r="78" spans="1:12" x14ac:dyDescent="0.35">
      <c r="A78" s="229"/>
      <c r="B78" s="269"/>
      <c r="C78" s="46" t="s">
        <v>1623</v>
      </c>
      <c r="D78" s="46" t="s">
        <v>1647</v>
      </c>
      <c r="E78" s="39" t="s">
        <v>1657</v>
      </c>
      <c r="F78" s="39" t="s">
        <v>1666</v>
      </c>
      <c r="G78" s="29" t="s">
        <v>206</v>
      </c>
      <c r="H78" s="12">
        <v>37</v>
      </c>
      <c r="I78" s="12">
        <v>38</v>
      </c>
      <c r="J78" s="12">
        <v>111</v>
      </c>
      <c r="K78" s="12">
        <v>114</v>
      </c>
      <c r="L78" s="220">
        <f t="shared" si="3"/>
        <v>300</v>
      </c>
    </row>
    <row r="79" spans="1:12" x14ac:dyDescent="0.35">
      <c r="A79" s="229"/>
      <c r="B79" s="269"/>
      <c r="C79" s="46" t="s">
        <v>1623</v>
      </c>
      <c r="D79" s="46" t="s">
        <v>1647</v>
      </c>
      <c r="E79" s="39" t="s">
        <v>1657</v>
      </c>
      <c r="F79" s="39" t="s">
        <v>1666</v>
      </c>
      <c r="G79" s="29" t="s">
        <v>207</v>
      </c>
      <c r="H79" s="12">
        <v>30</v>
      </c>
      <c r="I79" s="12">
        <v>20</v>
      </c>
      <c r="J79" s="12">
        <v>141</v>
      </c>
      <c r="K79" s="12">
        <v>109</v>
      </c>
      <c r="L79" s="220">
        <f t="shared" si="3"/>
        <v>300</v>
      </c>
    </row>
    <row r="80" spans="1:12" x14ac:dyDescent="0.35">
      <c r="A80" s="229"/>
      <c r="B80" s="270"/>
      <c r="C80" s="46" t="s">
        <v>1623</v>
      </c>
      <c r="D80" s="46" t="s">
        <v>1647</v>
      </c>
      <c r="E80" s="39" t="s">
        <v>1657</v>
      </c>
      <c r="F80" s="39" t="s">
        <v>1666</v>
      </c>
      <c r="G80" s="29" t="s">
        <v>208</v>
      </c>
      <c r="H80" s="12">
        <v>30</v>
      </c>
      <c r="I80" s="12">
        <v>20</v>
      </c>
      <c r="J80" s="12">
        <v>60</v>
      </c>
      <c r="K80" s="12">
        <v>66</v>
      </c>
      <c r="L80" s="220">
        <f t="shared" si="3"/>
        <v>176</v>
      </c>
    </row>
    <row r="81" spans="1:12" x14ac:dyDescent="0.35">
      <c r="A81" s="16"/>
      <c r="B81" s="17"/>
      <c r="C81" s="49"/>
      <c r="D81" s="49"/>
      <c r="E81" s="17"/>
      <c r="F81" s="17"/>
      <c r="G81" s="22" t="s">
        <v>2</v>
      </c>
      <c r="H81" s="19">
        <f t="shared" ref="H81:K81" si="5">SUM(H75:H80)</f>
        <v>176</v>
      </c>
      <c r="I81" s="19">
        <f t="shared" si="5"/>
        <v>150</v>
      </c>
      <c r="J81" s="19">
        <f t="shared" si="5"/>
        <v>706</v>
      </c>
      <c r="K81" s="19">
        <f t="shared" si="5"/>
        <v>795</v>
      </c>
      <c r="L81" s="225">
        <f t="shared" si="3"/>
        <v>1827</v>
      </c>
    </row>
    <row r="82" spans="1:12" x14ac:dyDescent="0.35">
      <c r="A82" s="267">
        <v>6</v>
      </c>
      <c r="B82" s="276" t="s">
        <v>209</v>
      </c>
      <c r="C82" s="46" t="s">
        <v>1623</v>
      </c>
      <c r="D82" s="46" t="s">
        <v>1647</v>
      </c>
      <c r="E82" s="40" t="s">
        <v>1649</v>
      </c>
      <c r="F82" s="40" t="s">
        <v>1649</v>
      </c>
      <c r="G82" s="21" t="s">
        <v>210</v>
      </c>
      <c r="H82" s="12">
        <v>3</v>
      </c>
      <c r="I82" s="12">
        <v>5</v>
      </c>
      <c r="J82" s="12">
        <v>25</v>
      </c>
      <c r="K82" s="12">
        <v>15</v>
      </c>
      <c r="L82" s="220">
        <f t="shared" si="3"/>
        <v>48</v>
      </c>
    </row>
    <row r="83" spans="1:12" x14ac:dyDescent="0.35">
      <c r="A83" s="229"/>
      <c r="B83" s="277"/>
      <c r="C83" s="46" t="s">
        <v>1623</v>
      </c>
      <c r="D83" s="46" t="s">
        <v>1647</v>
      </c>
      <c r="E83" s="40" t="s">
        <v>1649</v>
      </c>
      <c r="F83" s="40" t="s">
        <v>1649</v>
      </c>
      <c r="G83" s="21" t="s">
        <v>211</v>
      </c>
      <c r="H83" s="12">
        <v>14</v>
      </c>
      <c r="I83" s="12">
        <v>18</v>
      </c>
      <c r="J83" s="12">
        <v>72</v>
      </c>
      <c r="K83" s="12">
        <v>72</v>
      </c>
      <c r="L83" s="220">
        <f t="shared" si="3"/>
        <v>176</v>
      </c>
    </row>
    <row r="84" spans="1:12" x14ac:dyDescent="0.35">
      <c r="A84" s="229"/>
      <c r="B84" s="277"/>
      <c r="C84" s="46" t="s">
        <v>1623</v>
      </c>
      <c r="D84" s="46" t="s">
        <v>1647</v>
      </c>
      <c r="E84" s="40" t="s">
        <v>1649</v>
      </c>
      <c r="F84" s="40" t="s">
        <v>1649</v>
      </c>
      <c r="G84" s="21" t="s">
        <v>212</v>
      </c>
      <c r="H84" s="3">
        <v>5</v>
      </c>
      <c r="I84" s="3">
        <v>2</v>
      </c>
      <c r="J84" s="3">
        <v>10</v>
      </c>
      <c r="K84" s="3">
        <v>23</v>
      </c>
      <c r="L84" s="220">
        <f t="shared" si="3"/>
        <v>40</v>
      </c>
    </row>
    <row r="85" spans="1:12" x14ac:dyDescent="0.35">
      <c r="A85" s="229"/>
      <c r="B85" s="277"/>
      <c r="C85" s="46" t="s">
        <v>1623</v>
      </c>
      <c r="D85" s="46" t="s">
        <v>1647</v>
      </c>
      <c r="E85" s="40" t="s">
        <v>1649</v>
      </c>
      <c r="F85" s="40" t="s">
        <v>1649</v>
      </c>
      <c r="G85" s="21" t="s">
        <v>213</v>
      </c>
      <c r="H85" s="12">
        <v>5</v>
      </c>
      <c r="I85" s="12">
        <v>5</v>
      </c>
      <c r="J85" s="12">
        <v>13</v>
      </c>
      <c r="K85" s="12">
        <v>14</v>
      </c>
      <c r="L85" s="220">
        <f t="shared" si="3"/>
        <v>37</v>
      </c>
    </row>
    <row r="86" spans="1:12" x14ac:dyDescent="0.35">
      <c r="A86" s="229"/>
      <c r="B86" s="277"/>
      <c r="C86" s="46" t="s">
        <v>1623</v>
      </c>
      <c r="D86" s="46" t="s">
        <v>1647</v>
      </c>
      <c r="E86" s="40" t="s">
        <v>1649</v>
      </c>
      <c r="F86" s="40" t="s">
        <v>1649</v>
      </c>
      <c r="G86" s="21" t="s">
        <v>214</v>
      </c>
      <c r="H86" s="12">
        <v>5</v>
      </c>
      <c r="I86" s="12">
        <v>7</v>
      </c>
      <c r="J86" s="12">
        <v>42</v>
      </c>
      <c r="K86" s="12">
        <v>58</v>
      </c>
      <c r="L86" s="220">
        <f t="shared" si="3"/>
        <v>112</v>
      </c>
    </row>
    <row r="87" spans="1:12" x14ac:dyDescent="0.35">
      <c r="A87" s="229"/>
      <c r="B87" s="277"/>
      <c r="C87" s="46" t="s">
        <v>1623</v>
      </c>
      <c r="D87" s="46" t="s">
        <v>1647</v>
      </c>
      <c r="E87" s="40" t="s">
        <v>1649</v>
      </c>
      <c r="F87" s="40" t="s">
        <v>1649</v>
      </c>
      <c r="G87" s="21" t="s">
        <v>215</v>
      </c>
      <c r="H87" s="12">
        <v>7</v>
      </c>
      <c r="I87" s="12">
        <v>6</v>
      </c>
      <c r="J87" s="12">
        <v>27</v>
      </c>
      <c r="K87" s="12">
        <v>23</v>
      </c>
      <c r="L87" s="220">
        <f t="shared" si="3"/>
        <v>63</v>
      </c>
    </row>
    <row r="88" spans="1:12" x14ac:dyDescent="0.35">
      <c r="A88" s="229"/>
      <c r="B88" s="277"/>
      <c r="C88" s="46" t="s">
        <v>1623</v>
      </c>
      <c r="D88" s="46" t="s">
        <v>1647</v>
      </c>
      <c r="E88" s="40" t="s">
        <v>1649</v>
      </c>
      <c r="F88" s="40" t="s">
        <v>1649</v>
      </c>
      <c r="G88" s="21" t="s">
        <v>216</v>
      </c>
      <c r="H88" s="12">
        <v>6</v>
      </c>
      <c r="I88" s="12">
        <v>9</v>
      </c>
      <c r="J88" s="12">
        <v>21</v>
      </c>
      <c r="K88" s="12">
        <v>39</v>
      </c>
      <c r="L88" s="220">
        <f t="shared" si="3"/>
        <v>75</v>
      </c>
    </row>
    <row r="89" spans="1:12" x14ac:dyDescent="0.35">
      <c r="A89" s="229"/>
      <c r="B89" s="277"/>
      <c r="C89" s="46" t="s">
        <v>1623</v>
      </c>
      <c r="D89" s="46" t="s">
        <v>1647</v>
      </c>
      <c r="E89" s="40" t="s">
        <v>1649</v>
      </c>
      <c r="F89" s="40" t="s">
        <v>1649</v>
      </c>
      <c r="G89" s="21" t="s">
        <v>217</v>
      </c>
      <c r="H89" s="12">
        <v>7</v>
      </c>
      <c r="I89" s="12">
        <v>10</v>
      </c>
      <c r="J89" s="12">
        <v>37</v>
      </c>
      <c r="K89" s="12">
        <v>37</v>
      </c>
      <c r="L89" s="220">
        <f t="shared" si="3"/>
        <v>91</v>
      </c>
    </row>
    <row r="90" spans="1:12" x14ac:dyDescent="0.35">
      <c r="A90" s="229"/>
      <c r="B90" s="278"/>
      <c r="C90" s="46" t="s">
        <v>1623</v>
      </c>
      <c r="D90" s="46" t="s">
        <v>1647</v>
      </c>
      <c r="E90" s="40" t="s">
        <v>1649</v>
      </c>
      <c r="F90" s="40" t="s">
        <v>1649</v>
      </c>
      <c r="G90" s="21" t="s">
        <v>218</v>
      </c>
      <c r="H90" s="12">
        <v>7</v>
      </c>
      <c r="I90" s="12">
        <v>5</v>
      </c>
      <c r="J90" s="12">
        <v>32</v>
      </c>
      <c r="K90" s="12">
        <v>18</v>
      </c>
      <c r="L90" s="220">
        <f t="shared" si="3"/>
        <v>62</v>
      </c>
    </row>
    <row r="91" spans="1:12" x14ac:dyDescent="0.35">
      <c r="A91" s="16"/>
      <c r="B91" s="17"/>
      <c r="C91" s="49"/>
      <c r="D91" s="49"/>
      <c r="E91" s="17"/>
      <c r="F91" s="17"/>
      <c r="G91" s="22" t="s">
        <v>2</v>
      </c>
      <c r="H91" s="19">
        <f t="shared" ref="H91:K91" si="6">SUM(H82:H90)</f>
        <v>59</v>
      </c>
      <c r="I91" s="19">
        <f t="shared" si="6"/>
        <v>67</v>
      </c>
      <c r="J91" s="19">
        <f t="shared" si="6"/>
        <v>279</v>
      </c>
      <c r="K91" s="19">
        <f t="shared" si="6"/>
        <v>299</v>
      </c>
      <c r="L91" s="225">
        <f t="shared" si="3"/>
        <v>704</v>
      </c>
    </row>
    <row r="92" spans="1:12" x14ac:dyDescent="0.35">
      <c r="A92" s="267">
        <v>7</v>
      </c>
      <c r="B92" s="268" t="s">
        <v>3307</v>
      </c>
      <c r="C92" s="46" t="s">
        <v>1623</v>
      </c>
      <c r="D92" s="46" t="s">
        <v>1647</v>
      </c>
      <c r="E92" s="39" t="s">
        <v>247</v>
      </c>
      <c r="F92" s="39" t="s">
        <v>247</v>
      </c>
      <c r="G92" s="10" t="s">
        <v>219</v>
      </c>
      <c r="H92" s="15">
        <v>18</v>
      </c>
      <c r="I92" s="15">
        <v>32</v>
      </c>
      <c r="J92" s="15">
        <v>20</v>
      </c>
      <c r="K92" s="15">
        <v>30</v>
      </c>
      <c r="L92" s="220">
        <f t="shared" si="3"/>
        <v>100</v>
      </c>
    </row>
    <row r="93" spans="1:12" x14ac:dyDescent="0.35">
      <c r="A93" s="229"/>
      <c r="B93" s="269"/>
      <c r="C93" s="46" t="s">
        <v>1623</v>
      </c>
      <c r="D93" s="46" t="s">
        <v>1647</v>
      </c>
      <c r="E93" s="39" t="s">
        <v>1665</v>
      </c>
      <c r="F93" s="39" t="s">
        <v>1665</v>
      </c>
      <c r="G93" s="10" t="s">
        <v>220</v>
      </c>
      <c r="H93" s="15">
        <v>13</v>
      </c>
      <c r="I93" s="15">
        <v>14</v>
      </c>
      <c r="J93" s="15">
        <v>107</v>
      </c>
      <c r="K93" s="15">
        <v>65</v>
      </c>
      <c r="L93" s="220">
        <f t="shared" si="3"/>
        <v>199</v>
      </c>
    </row>
    <row r="94" spans="1:12" x14ac:dyDescent="0.35">
      <c r="A94" s="229"/>
      <c r="B94" s="269"/>
      <c r="C94" s="46" t="s">
        <v>1623</v>
      </c>
      <c r="D94" s="46" t="s">
        <v>1647</v>
      </c>
      <c r="E94" s="39" t="s">
        <v>247</v>
      </c>
      <c r="F94" s="39" t="s">
        <v>233</v>
      </c>
      <c r="G94" s="10" t="s">
        <v>221</v>
      </c>
      <c r="H94" s="15">
        <v>40</v>
      </c>
      <c r="I94" s="15">
        <v>50</v>
      </c>
      <c r="J94" s="15">
        <v>76</v>
      </c>
      <c r="K94" s="15">
        <v>73</v>
      </c>
      <c r="L94" s="220">
        <f t="shared" si="3"/>
        <v>239</v>
      </c>
    </row>
    <row r="95" spans="1:12" x14ac:dyDescent="0.35">
      <c r="A95" s="229"/>
      <c r="B95" s="269"/>
      <c r="C95" s="46" t="s">
        <v>1623</v>
      </c>
      <c r="D95" s="46" t="s">
        <v>1647</v>
      </c>
      <c r="E95" s="39" t="s">
        <v>1665</v>
      </c>
      <c r="F95" s="39" t="s">
        <v>1667</v>
      </c>
      <c r="G95" s="10" t="s">
        <v>222</v>
      </c>
      <c r="H95" s="15">
        <v>5</v>
      </c>
      <c r="I95" s="15">
        <v>4</v>
      </c>
      <c r="J95" s="15">
        <v>21</v>
      </c>
      <c r="K95" s="15">
        <v>29</v>
      </c>
      <c r="L95" s="220">
        <f t="shared" si="3"/>
        <v>59</v>
      </c>
    </row>
    <row r="96" spans="1:12" x14ac:dyDescent="0.35">
      <c r="A96" s="229"/>
      <c r="B96" s="269"/>
      <c r="C96" s="46" t="s">
        <v>1623</v>
      </c>
      <c r="D96" s="46" t="s">
        <v>1647</v>
      </c>
      <c r="E96" s="39" t="s">
        <v>1665</v>
      </c>
      <c r="F96" s="39" t="s">
        <v>1667</v>
      </c>
      <c r="G96" s="10" t="s">
        <v>223</v>
      </c>
      <c r="H96" s="15">
        <v>10</v>
      </c>
      <c r="I96" s="15">
        <v>8</v>
      </c>
      <c r="J96" s="15">
        <v>28</v>
      </c>
      <c r="K96" s="15">
        <v>22</v>
      </c>
      <c r="L96" s="220">
        <f t="shared" si="3"/>
        <v>68</v>
      </c>
    </row>
    <row r="97" spans="1:12" x14ac:dyDescent="0.35">
      <c r="A97" s="229"/>
      <c r="B97" s="269"/>
      <c r="C97" s="46" t="s">
        <v>1623</v>
      </c>
      <c r="D97" s="46" t="s">
        <v>1647</v>
      </c>
      <c r="E97" s="39" t="s">
        <v>247</v>
      </c>
      <c r="F97" s="39" t="s">
        <v>247</v>
      </c>
      <c r="G97" s="10" t="s">
        <v>203</v>
      </c>
      <c r="H97" s="15">
        <v>20</v>
      </c>
      <c r="I97" s="15">
        <v>10</v>
      </c>
      <c r="J97" s="15">
        <v>35</v>
      </c>
      <c r="K97" s="15">
        <v>29</v>
      </c>
      <c r="L97" s="220">
        <f t="shared" si="3"/>
        <v>94</v>
      </c>
    </row>
    <row r="98" spans="1:12" x14ac:dyDescent="0.35">
      <c r="A98" s="229"/>
      <c r="B98" s="269"/>
      <c r="C98" s="46" t="s">
        <v>1623</v>
      </c>
      <c r="D98" s="46" t="s">
        <v>1647</v>
      </c>
      <c r="E98" s="39" t="s">
        <v>247</v>
      </c>
      <c r="F98" s="39" t="s">
        <v>1668</v>
      </c>
      <c r="G98" s="10" t="s">
        <v>224</v>
      </c>
      <c r="H98" s="15">
        <v>15</v>
      </c>
      <c r="I98" s="15">
        <v>35</v>
      </c>
      <c r="J98" s="15">
        <v>50</v>
      </c>
      <c r="K98" s="15">
        <v>70</v>
      </c>
      <c r="L98" s="220">
        <f t="shared" si="3"/>
        <v>170</v>
      </c>
    </row>
    <row r="99" spans="1:12" x14ac:dyDescent="0.35">
      <c r="A99" s="229"/>
      <c r="B99" s="269"/>
      <c r="C99" s="46" t="s">
        <v>1623</v>
      </c>
      <c r="D99" s="46" t="s">
        <v>1647</v>
      </c>
      <c r="E99" s="39" t="s">
        <v>1665</v>
      </c>
      <c r="F99" s="39" t="s">
        <v>1664</v>
      </c>
      <c r="G99" s="30" t="s">
        <v>225</v>
      </c>
      <c r="H99" s="15">
        <v>51</v>
      </c>
      <c r="I99" s="15">
        <v>28</v>
      </c>
      <c r="J99" s="15">
        <v>135</v>
      </c>
      <c r="K99" s="15">
        <v>106</v>
      </c>
      <c r="L99" s="220">
        <f t="shared" si="3"/>
        <v>320</v>
      </c>
    </row>
    <row r="100" spans="1:12" x14ac:dyDescent="0.35">
      <c r="A100" s="229"/>
      <c r="B100" s="269"/>
      <c r="C100" s="46" t="s">
        <v>1623</v>
      </c>
      <c r="D100" s="46" t="s">
        <v>1647</v>
      </c>
      <c r="E100" s="39" t="s">
        <v>247</v>
      </c>
      <c r="F100" s="39" t="s">
        <v>252</v>
      </c>
      <c r="G100" s="14" t="s">
        <v>226</v>
      </c>
      <c r="H100" s="15">
        <v>25</v>
      </c>
      <c r="I100" s="15">
        <v>17</v>
      </c>
      <c r="J100" s="15">
        <v>50</v>
      </c>
      <c r="K100" s="15">
        <v>29</v>
      </c>
      <c r="L100" s="220">
        <f t="shared" si="3"/>
        <v>121</v>
      </c>
    </row>
    <row r="101" spans="1:12" x14ac:dyDescent="0.35">
      <c r="A101" s="229"/>
      <c r="B101" s="269"/>
      <c r="C101" s="46" t="s">
        <v>1623</v>
      </c>
      <c r="D101" s="46" t="s">
        <v>1647</v>
      </c>
      <c r="E101" s="39" t="s">
        <v>1665</v>
      </c>
      <c r="F101" s="39" t="s">
        <v>1664</v>
      </c>
      <c r="G101" s="30" t="s">
        <v>227</v>
      </c>
      <c r="H101" s="15">
        <v>15</v>
      </c>
      <c r="I101" s="15">
        <v>36</v>
      </c>
      <c r="J101" s="15">
        <v>98</v>
      </c>
      <c r="K101" s="15">
        <v>65</v>
      </c>
      <c r="L101" s="220">
        <f t="shared" si="3"/>
        <v>214</v>
      </c>
    </row>
    <row r="102" spans="1:12" x14ac:dyDescent="0.35">
      <c r="A102" s="229"/>
      <c r="B102" s="269"/>
      <c r="C102" s="46" t="s">
        <v>1623</v>
      </c>
      <c r="D102" s="46" t="s">
        <v>1647</v>
      </c>
      <c r="E102" s="39" t="s">
        <v>1665</v>
      </c>
      <c r="F102" s="39" t="s">
        <v>1664</v>
      </c>
      <c r="G102" s="30" t="s">
        <v>227</v>
      </c>
      <c r="H102" s="15">
        <v>40</v>
      </c>
      <c r="I102" s="15">
        <v>50</v>
      </c>
      <c r="J102" s="15">
        <v>76</v>
      </c>
      <c r="K102" s="15">
        <v>73</v>
      </c>
      <c r="L102" s="220">
        <f t="shared" si="3"/>
        <v>239</v>
      </c>
    </row>
    <row r="103" spans="1:12" x14ac:dyDescent="0.35">
      <c r="A103" s="229"/>
      <c r="B103" s="269"/>
      <c r="C103" s="46" t="s">
        <v>1623</v>
      </c>
      <c r="D103" s="46" t="s">
        <v>1647</v>
      </c>
      <c r="E103" s="39" t="s">
        <v>1665</v>
      </c>
      <c r="F103" s="39" t="s">
        <v>1664</v>
      </c>
      <c r="G103" s="30" t="s">
        <v>228</v>
      </c>
      <c r="H103" s="15">
        <v>4</v>
      </c>
      <c r="I103" s="15">
        <v>5</v>
      </c>
      <c r="J103" s="15">
        <v>23</v>
      </c>
      <c r="K103" s="15">
        <v>29</v>
      </c>
      <c r="L103" s="220">
        <f t="shared" si="3"/>
        <v>61</v>
      </c>
    </row>
    <row r="104" spans="1:12" x14ac:dyDescent="0.35">
      <c r="A104" s="229"/>
      <c r="B104" s="269"/>
      <c r="C104" s="46" t="s">
        <v>1623</v>
      </c>
      <c r="D104" s="46" t="s">
        <v>1647</v>
      </c>
      <c r="E104" s="39" t="s">
        <v>247</v>
      </c>
      <c r="F104" s="39" t="s">
        <v>1669</v>
      </c>
      <c r="G104" s="30" t="s">
        <v>229</v>
      </c>
      <c r="H104" s="15">
        <v>13</v>
      </c>
      <c r="I104" s="15">
        <v>8</v>
      </c>
      <c r="J104" s="15">
        <v>34</v>
      </c>
      <c r="K104" s="15">
        <v>31</v>
      </c>
      <c r="L104" s="220">
        <f t="shared" si="3"/>
        <v>86</v>
      </c>
    </row>
    <row r="105" spans="1:12" x14ac:dyDescent="0.35">
      <c r="A105" s="229"/>
      <c r="B105" s="269"/>
      <c r="C105" s="46" t="s">
        <v>1623</v>
      </c>
      <c r="D105" s="46" t="s">
        <v>1647</v>
      </c>
      <c r="E105" s="39" t="s">
        <v>247</v>
      </c>
      <c r="F105" s="39" t="s">
        <v>1669</v>
      </c>
      <c r="G105" s="14" t="s">
        <v>230</v>
      </c>
      <c r="H105" s="15">
        <v>16</v>
      </c>
      <c r="I105" s="15">
        <v>14</v>
      </c>
      <c r="J105" s="15">
        <v>58</v>
      </c>
      <c r="K105" s="15">
        <v>58</v>
      </c>
      <c r="L105" s="220">
        <f t="shared" si="3"/>
        <v>146</v>
      </c>
    </row>
    <row r="106" spans="1:12" x14ac:dyDescent="0.35">
      <c r="A106" s="229"/>
      <c r="B106" s="269"/>
      <c r="C106" s="46" t="s">
        <v>1623</v>
      </c>
      <c r="D106" s="46" t="s">
        <v>1647</v>
      </c>
      <c r="E106" s="39" t="s">
        <v>247</v>
      </c>
      <c r="F106" s="39" t="s">
        <v>1669</v>
      </c>
      <c r="G106" s="14" t="s">
        <v>231</v>
      </c>
      <c r="H106" s="15">
        <v>21</v>
      </c>
      <c r="I106" s="15">
        <v>27</v>
      </c>
      <c r="J106" s="15">
        <v>31</v>
      </c>
      <c r="K106" s="15">
        <v>43</v>
      </c>
      <c r="L106" s="220">
        <f t="shared" si="3"/>
        <v>122</v>
      </c>
    </row>
    <row r="107" spans="1:12" x14ac:dyDescent="0.35">
      <c r="A107" s="229"/>
      <c r="B107" s="269"/>
      <c r="C107" s="46" t="s">
        <v>1623</v>
      </c>
      <c r="D107" s="46" t="s">
        <v>1647</v>
      </c>
      <c r="E107" s="39" t="s">
        <v>1665</v>
      </c>
      <c r="F107" s="39" t="s">
        <v>564</v>
      </c>
      <c r="G107" s="10" t="s">
        <v>232</v>
      </c>
      <c r="H107" s="15">
        <v>25</v>
      </c>
      <c r="I107" s="15">
        <v>29</v>
      </c>
      <c r="J107" s="15">
        <v>70</v>
      </c>
      <c r="K107" s="15">
        <v>82</v>
      </c>
      <c r="L107" s="220">
        <f t="shared" si="3"/>
        <v>206</v>
      </c>
    </row>
    <row r="108" spans="1:12" x14ac:dyDescent="0.35">
      <c r="A108" s="229"/>
      <c r="B108" s="269"/>
      <c r="C108" s="46" t="s">
        <v>1623</v>
      </c>
      <c r="D108" s="46" t="s">
        <v>1647</v>
      </c>
      <c r="E108" s="39" t="s">
        <v>247</v>
      </c>
      <c r="F108" s="39" t="s">
        <v>233</v>
      </c>
      <c r="G108" s="10" t="s">
        <v>233</v>
      </c>
      <c r="H108" s="15">
        <v>27</v>
      </c>
      <c r="I108" s="15">
        <v>29</v>
      </c>
      <c r="J108" s="15">
        <v>174</v>
      </c>
      <c r="K108" s="15">
        <v>159</v>
      </c>
      <c r="L108" s="220">
        <f t="shared" si="3"/>
        <v>389</v>
      </c>
    </row>
    <row r="109" spans="1:12" x14ac:dyDescent="0.35">
      <c r="A109" s="229"/>
      <c r="B109" s="269"/>
      <c r="C109" s="46" t="s">
        <v>1623</v>
      </c>
      <c r="D109" s="46" t="s">
        <v>1647</v>
      </c>
      <c r="E109" s="39" t="s">
        <v>1665</v>
      </c>
      <c r="F109" s="39" t="s">
        <v>1664</v>
      </c>
      <c r="G109" s="31" t="s">
        <v>234</v>
      </c>
      <c r="H109" s="15">
        <v>19</v>
      </c>
      <c r="I109" s="15">
        <v>18</v>
      </c>
      <c r="J109" s="15">
        <v>44</v>
      </c>
      <c r="K109" s="15">
        <v>36</v>
      </c>
      <c r="L109" s="220">
        <f t="shared" si="3"/>
        <v>117</v>
      </c>
    </row>
    <row r="110" spans="1:12" x14ac:dyDescent="0.35">
      <c r="A110" s="229"/>
      <c r="B110" s="269"/>
      <c r="C110" s="46" t="s">
        <v>1623</v>
      </c>
      <c r="D110" s="46" t="s">
        <v>1647</v>
      </c>
      <c r="E110" s="39" t="s">
        <v>1665</v>
      </c>
      <c r="F110" s="39" t="s">
        <v>564</v>
      </c>
      <c r="G110" s="10" t="s">
        <v>235</v>
      </c>
      <c r="H110" s="15">
        <v>12</v>
      </c>
      <c r="I110" s="15">
        <v>12</v>
      </c>
      <c r="J110" s="15">
        <v>43</v>
      </c>
      <c r="K110" s="15">
        <v>42</v>
      </c>
      <c r="L110" s="220">
        <f t="shared" si="3"/>
        <v>109</v>
      </c>
    </row>
    <row r="111" spans="1:12" x14ac:dyDescent="0.35">
      <c r="A111" s="229"/>
      <c r="B111" s="269"/>
      <c r="C111" s="46" t="s">
        <v>1623</v>
      </c>
      <c r="D111" s="46" t="s">
        <v>1647</v>
      </c>
      <c r="E111" s="39" t="s">
        <v>247</v>
      </c>
      <c r="F111" s="39" t="s">
        <v>247</v>
      </c>
      <c r="G111" s="10" t="s">
        <v>236</v>
      </c>
      <c r="H111" s="15">
        <v>20</v>
      </c>
      <c r="I111" s="15">
        <v>20</v>
      </c>
      <c r="J111" s="15">
        <v>46</v>
      </c>
      <c r="K111" s="15">
        <v>49</v>
      </c>
      <c r="L111" s="220">
        <f t="shared" si="3"/>
        <v>135</v>
      </c>
    </row>
    <row r="112" spans="1:12" x14ac:dyDescent="0.35">
      <c r="A112" s="229"/>
      <c r="B112" s="269"/>
      <c r="C112" s="46" t="s">
        <v>1623</v>
      </c>
      <c r="D112" s="46" t="s">
        <v>1647</v>
      </c>
      <c r="E112" s="39" t="s">
        <v>1665</v>
      </c>
      <c r="F112" s="39" t="s">
        <v>1667</v>
      </c>
      <c r="G112" s="10" t="s">
        <v>237</v>
      </c>
      <c r="H112" s="15">
        <v>7</v>
      </c>
      <c r="I112" s="15">
        <v>8</v>
      </c>
      <c r="J112" s="15">
        <v>41</v>
      </c>
      <c r="K112" s="15">
        <v>53</v>
      </c>
      <c r="L112" s="220">
        <f t="shared" si="3"/>
        <v>109</v>
      </c>
    </row>
    <row r="113" spans="1:12" x14ac:dyDescent="0.35">
      <c r="A113" s="229"/>
      <c r="B113" s="269"/>
      <c r="C113" s="46" t="s">
        <v>1623</v>
      </c>
      <c r="D113" s="46" t="s">
        <v>1647</v>
      </c>
      <c r="E113" s="39" t="s">
        <v>1668</v>
      </c>
      <c r="F113" s="39" t="s">
        <v>233</v>
      </c>
      <c r="G113" s="10" t="s">
        <v>238</v>
      </c>
      <c r="H113" s="15">
        <v>13</v>
      </c>
      <c r="I113" s="15">
        <v>20</v>
      </c>
      <c r="J113" s="15">
        <v>79</v>
      </c>
      <c r="K113" s="15">
        <v>65</v>
      </c>
      <c r="L113" s="220">
        <f t="shared" si="3"/>
        <v>177</v>
      </c>
    </row>
    <row r="114" spans="1:12" x14ac:dyDescent="0.35">
      <c r="A114" s="229"/>
      <c r="B114" s="269"/>
      <c r="C114" s="46" t="s">
        <v>1623</v>
      </c>
      <c r="D114" s="46" t="s">
        <v>1647</v>
      </c>
      <c r="E114" s="39" t="s">
        <v>1665</v>
      </c>
      <c r="F114" s="39" t="s">
        <v>1667</v>
      </c>
      <c r="G114" s="10" t="s">
        <v>239</v>
      </c>
      <c r="H114" s="15">
        <v>8</v>
      </c>
      <c r="I114" s="15">
        <v>5</v>
      </c>
      <c r="J114" s="15">
        <v>50</v>
      </c>
      <c r="K114" s="15">
        <v>40</v>
      </c>
      <c r="L114" s="220">
        <f t="shared" si="3"/>
        <v>103</v>
      </c>
    </row>
    <row r="115" spans="1:12" x14ac:dyDescent="0.35">
      <c r="A115" s="229"/>
      <c r="B115" s="269"/>
      <c r="C115" s="46" t="s">
        <v>1623</v>
      </c>
      <c r="D115" s="46" t="s">
        <v>1647</v>
      </c>
      <c r="E115" s="39" t="s">
        <v>247</v>
      </c>
      <c r="F115" s="39" t="s">
        <v>1668</v>
      </c>
      <c r="G115" s="10" t="s">
        <v>240</v>
      </c>
      <c r="H115" s="15">
        <v>40</v>
      </c>
      <c r="I115" s="15">
        <v>36</v>
      </c>
      <c r="J115" s="15">
        <v>81</v>
      </c>
      <c r="K115" s="15">
        <v>81</v>
      </c>
      <c r="L115" s="220">
        <f t="shared" si="3"/>
        <v>238</v>
      </c>
    </row>
    <row r="116" spans="1:12" x14ac:dyDescent="0.35">
      <c r="A116" s="229"/>
      <c r="B116" s="269"/>
      <c r="C116" s="46" t="s">
        <v>1623</v>
      </c>
      <c r="D116" s="46" t="s">
        <v>1647</v>
      </c>
      <c r="E116" s="39" t="s">
        <v>1665</v>
      </c>
      <c r="F116" s="39" t="s">
        <v>564</v>
      </c>
      <c r="G116" s="10" t="s">
        <v>241</v>
      </c>
      <c r="H116" s="15">
        <v>10</v>
      </c>
      <c r="I116" s="15">
        <v>20</v>
      </c>
      <c r="J116" s="15">
        <v>38</v>
      </c>
      <c r="K116" s="15">
        <v>24</v>
      </c>
      <c r="L116" s="220">
        <f t="shared" si="3"/>
        <v>92</v>
      </c>
    </row>
    <row r="117" spans="1:12" x14ac:dyDescent="0.35">
      <c r="A117" s="229"/>
      <c r="B117" s="269"/>
      <c r="C117" s="46" t="s">
        <v>1623</v>
      </c>
      <c r="D117" s="46" t="s">
        <v>1647</v>
      </c>
      <c r="E117" s="39" t="s">
        <v>247</v>
      </c>
      <c r="F117" s="39" t="s">
        <v>233</v>
      </c>
      <c r="G117" s="10" t="s">
        <v>242</v>
      </c>
      <c r="H117" s="15">
        <v>10</v>
      </c>
      <c r="I117" s="15">
        <v>11</v>
      </c>
      <c r="J117" s="15">
        <v>55</v>
      </c>
      <c r="K117" s="15">
        <v>66</v>
      </c>
      <c r="L117" s="220">
        <f t="shared" si="3"/>
        <v>142</v>
      </c>
    </row>
    <row r="118" spans="1:12" x14ac:dyDescent="0.35">
      <c r="A118" s="229"/>
      <c r="B118" s="269"/>
      <c r="C118" s="46" t="s">
        <v>1623</v>
      </c>
      <c r="D118" s="46" t="s">
        <v>1647</v>
      </c>
      <c r="E118" s="39" t="s">
        <v>1668</v>
      </c>
      <c r="F118" s="39" t="s">
        <v>252</v>
      </c>
      <c r="G118" s="10" t="s">
        <v>243</v>
      </c>
      <c r="H118" s="15">
        <v>12</v>
      </c>
      <c r="I118" s="15">
        <v>15</v>
      </c>
      <c r="J118" s="15">
        <v>33</v>
      </c>
      <c r="K118" s="15">
        <v>67</v>
      </c>
      <c r="L118" s="220">
        <f t="shared" si="3"/>
        <v>127</v>
      </c>
    </row>
    <row r="119" spans="1:12" x14ac:dyDescent="0.35">
      <c r="A119" s="229"/>
      <c r="B119" s="269"/>
      <c r="C119" s="46" t="s">
        <v>1623</v>
      </c>
      <c r="D119" s="46" t="s">
        <v>1647</v>
      </c>
      <c r="E119" s="39" t="s">
        <v>247</v>
      </c>
      <c r="F119" s="39" t="s">
        <v>252</v>
      </c>
      <c r="G119" s="10" t="s">
        <v>244</v>
      </c>
      <c r="H119" s="15">
        <v>8</v>
      </c>
      <c r="I119" s="15">
        <v>10</v>
      </c>
      <c r="J119" s="15">
        <v>63</v>
      </c>
      <c r="K119" s="15">
        <v>87</v>
      </c>
      <c r="L119" s="220">
        <f t="shared" si="3"/>
        <v>168</v>
      </c>
    </row>
    <row r="120" spans="1:12" x14ac:dyDescent="0.35">
      <c r="A120" s="229"/>
      <c r="B120" s="269"/>
      <c r="C120" s="46" t="s">
        <v>1623</v>
      </c>
      <c r="D120" s="46" t="s">
        <v>1647</v>
      </c>
      <c r="E120" s="39" t="s">
        <v>247</v>
      </c>
      <c r="F120" s="39" t="s">
        <v>264</v>
      </c>
      <c r="G120" s="10" t="s">
        <v>245</v>
      </c>
      <c r="H120" s="15">
        <v>26</v>
      </c>
      <c r="I120" s="15">
        <v>18</v>
      </c>
      <c r="J120" s="15">
        <v>50</v>
      </c>
      <c r="K120" s="15">
        <v>41</v>
      </c>
      <c r="L120" s="220">
        <f t="shared" si="3"/>
        <v>135</v>
      </c>
    </row>
    <row r="121" spans="1:12" x14ac:dyDescent="0.35">
      <c r="A121" s="229"/>
      <c r="B121" s="269"/>
      <c r="C121" s="46" t="s">
        <v>1623</v>
      </c>
      <c r="D121" s="46" t="s">
        <v>1647</v>
      </c>
      <c r="E121" s="39" t="s">
        <v>247</v>
      </c>
      <c r="F121" s="39" t="s">
        <v>252</v>
      </c>
      <c r="G121" s="10" t="s">
        <v>246</v>
      </c>
      <c r="H121" s="15">
        <v>8</v>
      </c>
      <c r="I121" s="15">
        <v>15</v>
      </c>
      <c r="J121" s="15">
        <v>77</v>
      </c>
      <c r="K121" s="15">
        <v>60</v>
      </c>
      <c r="L121" s="220">
        <f t="shared" si="3"/>
        <v>160</v>
      </c>
    </row>
    <row r="122" spans="1:12" x14ac:dyDescent="0.35">
      <c r="A122" s="229"/>
      <c r="B122" s="269"/>
      <c r="C122" s="46" t="s">
        <v>1623</v>
      </c>
      <c r="D122" s="46" t="s">
        <v>1647</v>
      </c>
      <c r="E122" s="39" t="s">
        <v>247</v>
      </c>
      <c r="F122" s="39" t="s">
        <v>247</v>
      </c>
      <c r="G122" s="10" t="s">
        <v>247</v>
      </c>
      <c r="H122" s="15">
        <v>13</v>
      </c>
      <c r="I122" s="15">
        <v>12</v>
      </c>
      <c r="J122" s="15">
        <v>38</v>
      </c>
      <c r="K122" s="15">
        <v>42</v>
      </c>
      <c r="L122" s="220">
        <f t="shared" si="3"/>
        <v>105</v>
      </c>
    </row>
    <row r="123" spans="1:12" x14ac:dyDescent="0.35">
      <c r="A123" s="229"/>
      <c r="B123" s="269"/>
      <c r="C123" s="46" t="s">
        <v>1623</v>
      </c>
      <c r="D123" s="46" t="s">
        <v>1647</v>
      </c>
      <c r="E123" s="39" t="s">
        <v>247</v>
      </c>
      <c r="F123" s="39" t="s">
        <v>264</v>
      </c>
      <c r="G123" s="10" t="s">
        <v>6</v>
      </c>
      <c r="H123" s="15">
        <v>11</v>
      </c>
      <c r="I123" s="15">
        <v>11</v>
      </c>
      <c r="J123" s="15">
        <v>60</v>
      </c>
      <c r="K123" s="15">
        <v>66</v>
      </c>
      <c r="L123" s="220">
        <f t="shared" si="3"/>
        <v>148</v>
      </c>
    </row>
    <row r="124" spans="1:12" x14ac:dyDescent="0.35">
      <c r="A124" s="229"/>
      <c r="B124" s="269"/>
      <c r="C124" s="46" t="s">
        <v>1623</v>
      </c>
      <c r="D124" s="46" t="s">
        <v>1647</v>
      </c>
      <c r="E124" s="39" t="s">
        <v>1665</v>
      </c>
      <c r="F124" s="39" t="s">
        <v>1665</v>
      </c>
      <c r="G124" s="10" t="s">
        <v>248</v>
      </c>
      <c r="H124" s="15">
        <v>8</v>
      </c>
      <c r="I124" s="15">
        <v>7</v>
      </c>
      <c r="J124" s="15">
        <v>48</v>
      </c>
      <c r="K124" s="15">
        <v>49</v>
      </c>
      <c r="L124" s="220">
        <f t="shared" si="3"/>
        <v>112</v>
      </c>
    </row>
    <row r="125" spans="1:12" x14ac:dyDescent="0.35">
      <c r="A125" s="229"/>
      <c r="B125" s="269"/>
      <c r="C125" s="46" t="s">
        <v>1623</v>
      </c>
      <c r="D125" s="46" t="s">
        <v>1647</v>
      </c>
      <c r="E125" s="39" t="s">
        <v>1668</v>
      </c>
      <c r="F125" s="39" t="s">
        <v>252</v>
      </c>
      <c r="G125" s="10" t="s">
        <v>249</v>
      </c>
      <c r="H125" s="15">
        <v>9</v>
      </c>
      <c r="I125" s="15">
        <v>8</v>
      </c>
      <c r="J125" s="15">
        <v>36</v>
      </c>
      <c r="K125" s="15">
        <v>52</v>
      </c>
      <c r="L125" s="220">
        <f t="shared" si="3"/>
        <v>105</v>
      </c>
    </row>
    <row r="126" spans="1:12" x14ac:dyDescent="0.35">
      <c r="A126" s="229"/>
      <c r="B126" s="269"/>
      <c r="C126" s="46" t="s">
        <v>1623</v>
      </c>
      <c r="D126" s="46" t="s">
        <v>1647</v>
      </c>
      <c r="E126" s="39" t="s">
        <v>247</v>
      </c>
      <c r="F126" s="39" t="s">
        <v>1669</v>
      </c>
      <c r="G126" s="10" t="s">
        <v>250</v>
      </c>
      <c r="H126" s="15">
        <v>22</v>
      </c>
      <c r="I126" s="15">
        <v>30</v>
      </c>
      <c r="J126" s="15">
        <v>112</v>
      </c>
      <c r="K126" s="15">
        <v>123</v>
      </c>
      <c r="L126" s="220">
        <f t="shared" si="3"/>
        <v>287</v>
      </c>
    </row>
    <row r="127" spans="1:12" x14ac:dyDescent="0.35">
      <c r="A127" s="229"/>
      <c r="B127" s="269"/>
      <c r="C127" s="46" t="s">
        <v>1623</v>
      </c>
      <c r="D127" s="46" t="s">
        <v>1647</v>
      </c>
      <c r="E127" s="39" t="s">
        <v>1668</v>
      </c>
      <c r="F127" s="39" t="s">
        <v>264</v>
      </c>
      <c r="G127" s="10" t="s">
        <v>251</v>
      </c>
      <c r="H127" s="15">
        <v>20</v>
      </c>
      <c r="I127" s="15">
        <v>25</v>
      </c>
      <c r="J127" s="15">
        <v>93</v>
      </c>
      <c r="K127" s="15">
        <v>95</v>
      </c>
      <c r="L127" s="220">
        <f t="shared" si="3"/>
        <v>233</v>
      </c>
    </row>
    <row r="128" spans="1:12" x14ac:dyDescent="0.35">
      <c r="A128" s="229"/>
      <c r="B128" s="269"/>
      <c r="C128" s="46" t="s">
        <v>1623</v>
      </c>
      <c r="D128" s="46" t="s">
        <v>1647</v>
      </c>
      <c r="E128" s="39" t="s">
        <v>247</v>
      </c>
      <c r="F128" s="39" t="s">
        <v>252</v>
      </c>
      <c r="G128" s="39" t="s">
        <v>252</v>
      </c>
      <c r="H128" s="39">
        <v>19</v>
      </c>
      <c r="I128" s="39">
        <v>18</v>
      </c>
      <c r="J128" s="39">
        <v>92</v>
      </c>
      <c r="K128" s="39">
        <v>92</v>
      </c>
      <c r="L128" s="220">
        <f t="shared" si="3"/>
        <v>221</v>
      </c>
    </row>
    <row r="129" spans="1:12" x14ac:dyDescent="0.35">
      <c r="A129" s="229"/>
      <c r="B129" s="269"/>
      <c r="C129" s="46" t="s">
        <v>1623</v>
      </c>
      <c r="D129" s="46" t="s">
        <v>1647</v>
      </c>
      <c r="E129" s="39" t="s">
        <v>1665</v>
      </c>
      <c r="F129" s="39" t="s">
        <v>1665</v>
      </c>
      <c r="G129" s="39" t="s">
        <v>253</v>
      </c>
      <c r="H129" s="39">
        <v>20</v>
      </c>
      <c r="I129" s="39">
        <v>25</v>
      </c>
      <c r="J129" s="39">
        <v>93</v>
      </c>
      <c r="K129" s="39">
        <v>95</v>
      </c>
      <c r="L129" s="220">
        <f t="shared" si="3"/>
        <v>233</v>
      </c>
    </row>
    <row r="130" spans="1:12" x14ac:dyDescent="0.35">
      <c r="A130" s="229"/>
      <c r="B130" s="269"/>
      <c r="C130" s="46" t="s">
        <v>1623</v>
      </c>
      <c r="D130" s="46" t="s">
        <v>1647</v>
      </c>
      <c r="E130" s="39" t="s">
        <v>247</v>
      </c>
      <c r="F130" s="39" t="s">
        <v>252</v>
      </c>
      <c r="G130" s="39" t="s">
        <v>254</v>
      </c>
      <c r="H130" s="15">
        <v>25</v>
      </c>
      <c r="I130" s="15">
        <v>31</v>
      </c>
      <c r="J130" s="15">
        <v>110</v>
      </c>
      <c r="K130" s="15">
        <v>130</v>
      </c>
      <c r="L130" s="220">
        <f t="shared" si="3"/>
        <v>296</v>
      </c>
    </row>
    <row r="131" spans="1:12" x14ac:dyDescent="0.35">
      <c r="A131" s="229"/>
      <c r="B131" s="269"/>
      <c r="C131" s="46" t="s">
        <v>1623</v>
      </c>
      <c r="D131" s="46" t="s">
        <v>1647</v>
      </c>
      <c r="E131" s="39" t="s">
        <v>1668</v>
      </c>
      <c r="F131" s="39" t="s">
        <v>1669</v>
      </c>
      <c r="G131" s="39" t="s">
        <v>255</v>
      </c>
      <c r="H131" s="39">
        <v>33</v>
      </c>
      <c r="I131" s="39">
        <v>35</v>
      </c>
      <c r="J131" s="39">
        <v>48</v>
      </c>
      <c r="K131" s="39">
        <v>51</v>
      </c>
      <c r="L131" s="220">
        <f t="shared" si="3"/>
        <v>167</v>
      </c>
    </row>
    <row r="132" spans="1:12" x14ac:dyDescent="0.35">
      <c r="A132" s="229"/>
      <c r="B132" s="269"/>
      <c r="C132" s="46" t="s">
        <v>1623</v>
      </c>
      <c r="D132" s="46" t="s">
        <v>1647</v>
      </c>
      <c r="E132" s="39" t="s">
        <v>1665</v>
      </c>
      <c r="F132" s="39" t="s">
        <v>564</v>
      </c>
      <c r="G132" s="39" t="s">
        <v>256</v>
      </c>
      <c r="H132" s="15">
        <v>10</v>
      </c>
      <c r="I132" s="15">
        <v>13</v>
      </c>
      <c r="J132" s="15">
        <v>57</v>
      </c>
      <c r="K132" s="15">
        <v>56</v>
      </c>
      <c r="L132" s="220">
        <f t="shared" si="3"/>
        <v>136</v>
      </c>
    </row>
    <row r="133" spans="1:12" x14ac:dyDescent="0.35">
      <c r="A133" s="229"/>
      <c r="B133" s="269"/>
      <c r="C133" s="46" t="s">
        <v>1623</v>
      </c>
      <c r="D133" s="46" t="s">
        <v>1647</v>
      </c>
      <c r="E133" s="39" t="s">
        <v>1665</v>
      </c>
      <c r="F133" s="39" t="s">
        <v>564</v>
      </c>
      <c r="G133" s="39" t="s">
        <v>257</v>
      </c>
      <c r="H133" s="39">
        <v>11</v>
      </c>
      <c r="I133" s="39">
        <v>14</v>
      </c>
      <c r="J133" s="39">
        <v>36</v>
      </c>
      <c r="K133" s="39">
        <v>45</v>
      </c>
      <c r="L133" s="220">
        <f t="shared" si="3"/>
        <v>106</v>
      </c>
    </row>
    <row r="134" spans="1:12" x14ac:dyDescent="0.35">
      <c r="A134" s="229"/>
      <c r="B134" s="269"/>
      <c r="C134" s="46" t="s">
        <v>1623</v>
      </c>
      <c r="D134" s="46" t="s">
        <v>1647</v>
      </c>
      <c r="E134" s="39" t="s">
        <v>1665</v>
      </c>
      <c r="F134" s="39" t="s">
        <v>564</v>
      </c>
      <c r="G134" s="39" t="s">
        <v>258</v>
      </c>
      <c r="H134" s="39">
        <v>7</v>
      </c>
      <c r="I134" s="39">
        <v>5</v>
      </c>
      <c r="J134" s="39">
        <v>33</v>
      </c>
      <c r="K134" s="39">
        <v>37</v>
      </c>
      <c r="L134" s="220">
        <f t="shared" ref="L134:L197" si="7">H134+I134+J134+K134</f>
        <v>82</v>
      </c>
    </row>
    <row r="135" spans="1:12" x14ac:dyDescent="0.35">
      <c r="A135" s="229"/>
      <c r="B135" s="269"/>
      <c r="C135" s="46" t="s">
        <v>1623</v>
      </c>
      <c r="D135" s="46" t="s">
        <v>1647</v>
      </c>
      <c r="E135" s="39" t="s">
        <v>1668</v>
      </c>
      <c r="F135" s="39" t="s">
        <v>1669</v>
      </c>
      <c r="G135" s="39" t="s">
        <v>259</v>
      </c>
      <c r="H135" s="39">
        <v>18</v>
      </c>
      <c r="I135" s="39">
        <v>15</v>
      </c>
      <c r="J135" s="39">
        <v>52</v>
      </c>
      <c r="K135" s="39">
        <v>58</v>
      </c>
      <c r="L135" s="220">
        <f t="shared" si="7"/>
        <v>143</v>
      </c>
    </row>
    <row r="136" spans="1:12" x14ac:dyDescent="0.35">
      <c r="A136" s="229"/>
      <c r="B136" s="269"/>
      <c r="C136" s="46" t="s">
        <v>1623</v>
      </c>
      <c r="D136" s="46" t="s">
        <v>1647</v>
      </c>
      <c r="E136" s="39" t="s">
        <v>1665</v>
      </c>
      <c r="F136" s="39" t="s">
        <v>1667</v>
      </c>
      <c r="G136" s="39" t="s">
        <v>260</v>
      </c>
      <c r="H136" s="39">
        <v>7</v>
      </c>
      <c r="I136" s="39">
        <v>8</v>
      </c>
      <c r="J136" s="39">
        <v>24</v>
      </c>
      <c r="K136" s="39">
        <v>26</v>
      </c>
      <c r="L136" s="220">
        <f t="shared" si="7"/>
        <v>65</v>
      </c>
    </row>
    <row r="137" spans="1:12" x14ac:dyDescent="0.35">
      <c r="A137" s="229"/>
      <c r="B137" s="269"/>
      <c r="C137" s="46" t="s">
        <v>1623</v>
      </c>
      <c r="D137" s="46" t="s">
        <v>1647</v>
      </c>
      <c r="E137" s="39" t="s">
        <v>1665</v>
      </c>
      <c r="F137" s="39" t="s">
        <v>1664</v>
      </c>
      <c r="G137" s="39" t="s">
        <v>261</v>
      </c>
      <c r="H137" s="39">
        <v>10</v>
      </c>
      <c r="I137" s="39">
        <v>11</v>
      </c>
      <c r="J137" s="39">
        <v>68</v>
      </c>
      <c r="K137" s="39">
        <v>54</v>
      </c>
      <c r="L137" s="220">
        <f t="shared" si="7"/>
        <v>143</v>
      </c>
    </row>
    <row r="138" spans="1:12" x14ac:dyDescent="0.35">
      <c r="A138" s="229"/>
      <c r="B138" s="269"/>
      <c r="C138" s="46" t="s">
        <v>1623</v>
      </c>
      <c r="D138" s="46" t="s">
        <v>1647</v>
      </c>
      <c r="E138" s="39" t="s">
        <v>1665</v>
      </c>
      <c r="F138" s="39" t="s">
        <v>1667</v>
      </c>
      <c r="G138" s="39" t="s">
        <v>262</v>
      </c>
      <c r="H138" s="39">
        <v>8</v>
      </c>
      <c r="I138" s="39">
        <v>10</v>
      </c>
      <c r="J138" s="39">
        <v>26</v>
      </c>
      <c r="K138" s="39">
        <v>29</v>
      </c>
      <c r="L138" s="220">
        <f t="shared" si="7"/>
        <v>73</v>
      </c>
    </row>
    <row r="139" spans="1:12" x14ac:dyDescent="0.35">
      <c r="A139" s="229"/>
      <c r="B139" s="269"/>
      <c r="C139" s="46" t="s">
        <v>1623</v>
      </c>
      <c r="D139" s="46" t="s">
        <v>1647</v>
      </c>
      <c r="E139" s="39" t="s">
        <v>1665</v>
      </c>
      <c r="F139" s="39" t="s">
        <v>1667</v>
      </c>
      <c r="G139" s="39" t="s">
        <v>263</v>
      </c>
      <c r="H139" s="39">
        <v>5</v>
      </c>
      <c r="I139" s="39">
        <v>14</v>
      </c>
      <c r="J139" s="39">
        <v>24</v>
      </c>
      <c r="K139" s="39">
        <v>35</v>
      </c>
      <c r="L139" s="220">
        <f t="shared" si="7"/>
        <v>78</v>
      </c>
    </row>
    <row r="140" spans="1:12" x14ac:dyDescent="0.35">
      <c r="A140" s="229"/>
      <c r="B140" s="269"/>
      <c r="C140" s="46" t="s">
        <v>1623</v>
      </c>
      <c r="D140" s="46" t="s">
        <v>1647</v>
      </c>
      <c r="E140" s="39" t="s">
        <v>1668</v>
      </c>
      <c r="F140" s="39" t="s">
        <v>264</v>
      </c>
      <c r="G140" s="39" t="s">
        <v>264</v>
      </c>
      <c r="H140" s="39">
        <v>16</v>
      </c>
      <c r="I140" s="39">
        <v>19</v>
      </c>
      <c r="J140" s="39">
        <v>49</v>
      </c>
      <c r="K140" s="39">
        <v>58</v>
      </c>
      <c r="L140" s="220">
        <f t="shared" si="7"/>
        <v>142</v>
      </c>
    </row>
    <row r="141" spans="1:12" x14ac:dyDescent="0.35">
      <c r="A141" s="229"/>
      <c r="B141" s="269"/>
      <c r="C141" s="46" t="s">
        <v>1623</v>
      </c>
      <c r="D141" s="46" t="s">
        <v>1647</v>
      </c>
      <c r="E141" s="39" t="s">
        <v>1665</v>
      </c>
      <c r="F141" s="39" t="s">
        <v>1664</v>
      </c>
      <c r="G141" s="10" t="s">
        <v>265</v>
      </c>
      <c r="H141" s="15">
        <v>14</v>
      </c>
      <c r="I141" s="15">
        <v>21</v>
      </c>
      <c r="J141" s="15">
        <v>37</v>
      </c>
      <c r="K141" s="15">
        <v>37</v>
      </c>
      <c r="L141" s="220">
        <f t="shared" si="7"/>
        <v>109</v>
      </c>
    </row>
    <row r="142" spans="1:12" x14ac:dyDescent="0.35">
      <c r="A142" s="229"/>
      <c r="B142" s="269"/>
      <c r="C142" s="46" t="s">
        <v>1623</v>
      </c>
      <c r="D142" s="46" t="s">
        <v>1647</v>
      </c>
      <c r="E142" s="39" t="s">
        <v>1665</v>
      </c>
      <c r="F142" s="39" t="s">
        <v>1664</v>
      </c>
      <c r="G142" s="10" t="s">
        <v>266</v>
      </c>
      <c r="H142" s="15">
        <v>10</v>
      </c>
      <c r="I142" s="15">
        <v>8</v>
      </c>
      <c r="J142" s="15">
        <v>34</v>
      </c>
      <c r="K142" s="15">
        <v>37</v>
      </c>
      <c r="L142" s="220">
        <f t="shared" si="7"/>
        <v>89</v>
      </c>
    </row>
    <row r="143" spans="1:12" x14ac:dyDescent="0.35">
      <c r="A143" s="229"/>
      <c r="B143" s="269"/>
      <c r="C143" s="46" t="s">
        <v>1623</v>
      </c>
      <c r="D143" s="46" t="s">
        <v>1647</v>
      </c>
      <c r="E143" s="39" t="s">
        <v>1665</v>
      </c>
      <c r="F143" s="39" t="s">
        <v>1664</v>
      </c>
      <c r="G143" s="10" t="s">
        <v>267</v>
      </c>
      <c r="H143" s="15">
        <v>26</v>
      </c>
      <c r="I143" s="15">
        <v>17</v>
      </c>
      <c r="J143" s="15">
        <v>107</v>
      </c>
      <c r="K143" s="15">
        <v>110</v>
      </c>
      <c r="L143" s="220">
        <f t="shared" si="7"/>
        <v>260</v>
      </c>
    </row>
    <row r="144" spans="1:12" x14ac:dyDescent="0.35">
      <c r="A144" s="229"/>
      <c r="B144" s="269"/>
      <c r="C144" s="46" t="s">
        <v>1623</v>
      </c>
      <c r="D144" s="46" t="s">
        <v>1647</v>
      </c>
      <c r="E144" s="39" t="s">
        <v>1665</v>
      </c>
      <c r="F144" s="39" t="s">
        <v>1665</v>
      </c>
      <c r="G144" s="10" t="s">
        <v>268</v>
      </c>
      <c r="H144" s="15">
        <v>18</v>
      </c>
      <c r="I144" s="15">
        <v>25</v>
      </c>
      <c r="J144" s="15">
        <v>106</v>
      </c>
      <c r="K144" s="15">
        <v>113</v>
      </c>
      <c r="L144" s="220">
        <f t="shared" si="7"/>
        <v>262</v>
      </c>
    </row>
    <row r="145" spans="1:12" x14ac:dyDescent="0.35">
      <c r="A145" s="229"/>
      <c r="B145" s="270"/>
      <c r="C145" s="46" t="s">
        <v>1623</v>
      </c>
      <c r="D145" s="46" t="s">
        <v>1647</v>
      </c>
      <c r="E145" s="39" t="s">
        <v>1668</v>
      </c>
      <c r="F145" s="39" t="s">
        <v>1669</v>
      </c>
      <c r="G145" s="10" t="s">
        <v>7</v>
      </c>
      <c r="H145" s="15">
        <v>15</v>
      </c>
      <c r="I145" s="15">
        <v>16</v>
      </c>
      <c r="J145" s="15">
        <v>20</v>
      </c>
      <c r="K145" s="15">
        <v>19</v>
      </c>
      <c r="L145" s="220">
        <f t="shared" si="7"/>
        <v>70</v>
      </c>
    </row>
    <row r="146" spans="1:12" x14ac:dyDescent="0.35">
      <c r="A146" s="16"/>
      <c r="B146" s="17"/>
      <c r="C146" s="49"/>
      <c r="D146" s="49"/>
      <c r="E146" s="17"/>
      <c r="F146" s="17"/>
      <c r="G146" s="22" t="s">
        <v>2</v>
      </c>
      <c r="H146" s="19">
        <f t="shared" ref="H146:K146" si="8">SUM(H92:H145)</f>
        <v>906</v>
      </c>
      <c r="I146" s="19">
        <f t="shared" si="8"/>
        <v>1002</v>
      </c>
      <c r="J146" s="19">
        <f t="shared" si="8"/>
        <v>3189</v>
      </c>
      <c r="K146" s="19">
        <f t="shared" si="8"/>
        <v>3213</v>
      </c>
      <c r="L146" s="225">
        <f t="shared" si="7"/>
        <v>8310</v>
      </c>
    </row>
    <row r="147" spans="1:12" x14ac:dyDescent="0.35">
      <c r="A147" s="267">
        <v>8</v>
      </c>
      <c r="B147" s="271" t="s">
        <v>269</v>
      </c>
      <c r="C147" s="46" t="s">
        <v>1623</v>
      </c>
      <c r="D147" s="46" t="s">
        <v>1647</v>
      </c>
      <c r="E147" s="44" t="s">
        <v>1871</v>
      </c>
      <c r="F147" s="44" t="s">
        <v>5</v>
      </c>
      <c r="G147" s="21" t="s">
        <v>5</v>
      </c>
      <c r="H147" s="12">
        <v>13</v>
      </c>
      <c r="I147" s="12">
        <v>8</v>
      </c>
      <c r="J147" s="12">
        <v>47</v>
      </c>
      <c r="K147" s="12">
        <v>32</v>
      </c>
      <c r="L147" s="220">
        <f t="shared" si="7"/>
        <v>100</v>
      </c>
    </row>
    <row r="148" spans="1:12" x14ac:dyDescent="0.35">
      <c r="A148" s="229"/>
      <c r="B148" s="272"/>
      <c r="C148" s="46" t="s">
        <v>1623</v>
      </c>
      <c r="D148" s="46" t="s">
        <v>1647</v>
      </c>
      <c r="E148" s="44" t="s">
        <v>1871</v>
      </c>
      <c r="F148" s="44" t="s">
        <v>5</v>
      </c>
      <c r="G148" s="21" t="s">
        <v>270</v>
      </c>
      <c r="H148" s="12">
        <v>11</v>
      </c>
      <c r="I148" s="12">
        <v>8</v>
      </c>
      <c r="J148" s="12">
        <v>28</v>
      </c>
      <c r="K148" s="12">
        <v>25</v>
      </c>
      <c r="L148" s="220">
        <f t="shared" si="7"/>
        <v>72</v>
      </c>
    </row>
    <row r="149" spans="1:12" x14ac:dyDescent="0.35">
      <c r="A149" s="229"/>
      <c r="B149" s="272"/>
      <c r="C149" s="46" t="s">
        <v>1623</v>
      </c>
      <c r="D149" s="46" t="s">
        <v>1647</v>
      </c>
      <c r="E149" s="44" t="s">
        <v>1871</v>
      </c>
      <c r="F149" s="44" t="s">
        <v>1655</v>
      </c>
      <c r="G149" s="21" t="s">
        <v>271</v>
      </c>
      <c r="H149" s="12">
        <v>9</v>
      </c>
      <c r="I149" s="12">
        <v>14</v>
      </c>
      <c r="J149" s="12">
        <v>27</v>
      </c>
      <c r="K149" s="12">
        <v>19</v>
      </c>
      <c r="L149" s="220">
        <f t="shared" si="7"/>
        <v>69</v>
      </c>
    </row>
    <row r="150" spans="1:12" x14ac:dyDescent="0.35">
      <c r="A150" s="229"/>
      <c r="B150" s="272"/>
      <c r="C150" s="46" t="s">
        <v>1623</v>
      </c>
      <c r="D150" s="46" t="s">
        <v>1647</v>
      </c>
      <c r="E150" s="44" t="s">
        <v>1871</v>
      </c>
      <c r="F150" s="44" t="s">
        <v>1655</v>
      </c>
      <c r="G150" s="21" t="s">
        <v>272</v>
      </c>
      <c r="H150" s="12">
        <v>7</v>
      </c>
      <c r="I150" s="12">
        <v>13</v>
      </c>
      <c r="J150" s="12">
        <v>33</v>
      </c>
      <c r="K150" s="12">
        <v>44</v>
      </c>
      <c r="L150" s="220">
        <f t="shared" si="7"/>
        <v>97</v>
      </c>
    </row>
    <row r="151" spans="1:12" x14ac:dyDescent="0.35">
      <c r="A151" s="229"/>
      <c r="B151" s="272"/>
      <c r="C151" s="46" t="s">
        <v>1623</v>
      </c>
      <c r="D151" s="46" t="s">
        <v>1647</v>
      </c>
      <c r="E151" s="44" t="s">
        <v>1871</v>
      </c>
      <c r="F151" s="44" t="s">
        <v>273</v>
      </c>
      <c r="G151" s="21" t="s">
        <v>273</v>
      </c>
      <c r="H151" s="12">
        <v>16</v>
      </c>
      <c r="I151" s="12">
        <v>12</v>
      </c>
      <c r="J151" s="12">
        <v>103</v>
      </c>
      <c r="K151" s="12">
        <v>83</v>
      </c>
      <c r="L151" s="220">
        <f t="shared" si="7"/>
        <v>214</v>
      </c>
    </row>
    <row r="152" spans="1:12" x14ac:dyDescent="0.35">
      <c r="A152" s="229"/>
      <c r="B152" s="272"/>
      <c r="C152" s="46" t="s">
        <v>1623</v>
      </c>
      <c r="D152" s="46" t="s">
        <v>1647</v>
      </c>
      <c r="E152" s="44" t="s">
        <v>1871</v>
      </c>
      <c r="F152" s="6" t="s">
        <v>1670</v>
      </c>
      <c r="G152" s="21" t="s">
        <v>274</v>
      </c>
      <c r="H152" s="12">
        <v>4</v>
      </c>
      <c r="I152" s="12">
        <v>10</v>
      </c>
      <c r="J152" s="12">
        <v>22</v>
      </c>
      <c r="K152" s="12">
        <v>21</v>
      </c>
      <c r="L152" s="220">
        <f t="shared" si="7"/>
        <v>57</v>
      </c>
    </row>
    <row r="153" spans="1:12" x14ac:dyDescent="0.35">
      <c r="A153" s="229"/>
      <c r="B153" s="272"/>
      <c r="C153" s="46" t="s">
        <v>1623</v>
      </c>
      <c r="D153" s="46" t="s">
        <v>1647</v>
      </c>
      <c r="E153" s="44" t="s">
        <v>1871</v>
      </c>
      <c r="F153" s="44" t="s">
        <v>276</v>
      </c>
      <c r="G153" s="21" t="s">
        <v>275</v>
      </c>
      <c r="H153" s="12">
        <v>19</v>
      </c>
      <c r="I153" s="12">
        <v>4</v>
      </c>
      <c r="J153" s="12">
        <v>25</v>
      </c>
      <c r="K153" s="12">
        <v>21</v>
      </c>
      <c r="L153" s="220">
        <f t="shared" si="7"/>
        <v>69</v>
      </c>
    </row>
    <row r="154" spans="1:12" x14ac:dyDescent="0.35">
      <c r="A154" s="229"/>
      <c r="B154" s="272"/>
      <c r="C154" s="46" t="s">
        <v>1623</v>
      </c>
      <c r="D154" s="46" t="s">
        <v>1647</v>
      </c>
      <c r="E154" s="44" t="s">
        <v>1871</v>
      </c>
      <c r="F154" s="44" t="s">
        <v>276</v>
      </c>
      <c r="G154" s="21" t="s">
        <v>276</v>
      </c>
      <c r="H154" s="12">
        <v>9</v>
      </c>
      <c r="I154" s="12">
        <v>6</v>
      </c>
      <c r="J154" s="12">
        <v>41</v>
      </c>
      <c r="K154" s="12">
        <v>53</v>
      </c>
      <c r="L154" s="220">
        <f t="shared" si="7"/>
        <v>109</v>
      </c>
    </row>
    <row r="155" spans="1:12" x14ac:dyDescent="0.35">
      <c r="A155" s="229"/>
      <c r="B155" s="272"/>
      <c r="C155" s="46" t="s">
        <v>1623</v>
      </c>
      <c r="D155" s="46" t="s">
        <v>1647</v>
      </c>
      <c r="E155" s="44" t="s">
        <v>1871</v>
      </c>
      <c r="F155" s="6" t="s">
        <v>1670</v>
      </c>
      <c r="G155" s="21" t="s">
        <v>277</v>
      </c>
      <c r="H155" s="12">
        <v>2</v>
      </c>
      <c r="I155" s="12">
        <v>9</v>
      </c>
      <c r="J155" s="12">
        <v>19</v>
      </c>
      <c r="K155" s="12">
        <v>14</v>
      </c>
      <c r="L155" s="220">
        <f t="shared" si="7"/>
        <v>44</v>
      </c>
    </row>
    <row r="156" spans="1:12" x14ac:dyDescent="0.35">
      <c r="A156" s="229"/>
      <c r="B156" s="272"/>
      <c r="C156" s="46" t="s">
        <v>1623</v>
      </c>
      <c r="D156" s="46" t="s">
        <v>1647</v>
      </c>
      <c r="E156" s="44" t="s">
        <v>1871</v>
      </c>
      <c r="F156" s="44" t="s">
        <v>1655</v>
      </c>
      <c r="G156" s="21" t="s">
        <v>278</v>
      </c>
      <c r="H156" s="12">
        <v>6</v>
      </c>
      <c r="I156" s="12">
        <v>9</v>
      </c>
      <c r="J156" s="12">
        <v>32</v>
      </c>
      <c r="K156" s="12">
        <v>48</v>
      </c>
      <c r="L156" s="220">
        <f t="shared" si="7"/>
        <v>95</v>
      </c>
    </row>
    <row r="157" spans="1:12" x14ac:dyDescent="0.35">
      <c r="A157" s="229"/>
      <c r="B157" s="272"/>
      <c r="C157" s="46" t="s">
        <v>1623</v>
      </c>
      <c r="D157" s="46" t="s">
        <v>1647</v>
      </c>
      <c r="E157" s="44" t="s">
        <v>1871</v>
      </c>
      <c r="F157" s="44" t="s">
        <v>5</v>
      </c>
      <c r="G157" s="21" t="s">
        <v>279</v>
      </c>
      <c r="H157" s="12">
        <v>18</v>
      </c>
      <c r="I157" s="12">
        <v>23</v>
      </c>
      <c r="J157" s="12">
        <v>23</v>
      </c>
      <c r="K157" s="12">
        <v>91</v>
      </c>
      <c r="L157" s="220">
        <f t="shared" si="7"/>
        <v>155</v>
      </c>
    </row>
    <row r="158" spans="1:12" x14ac:dyDescent="0.35">
      <c r="A158" s="229"/>
      <c r="B158" s="273"/>
      <c r="C158" s="46" t="s">
        <v>1623</v>
      </c>
      <c r="D158" s="46" t="s">
        <v>1647</v>
      </c>
      <c r="E158" s="44" t="s">
        <v>1871</v>
      </c>
      <c r="F158" s="44" t="s">
        <v>5</v>
      </c>
      <c r="G158" s="21" t="s">
        <v>280</v>
      </c>
      <c r="H158" s="12">
        <v>1</v>
      </c>
      <c r="I158" s="12">
        <v>4</v>
      </c>
      <c r="J158" s="12">
        <v>6</v>
      </c>
      <c r="K158" s="12">
        <v>7</v>
      </c>
      <c r="L158" s="220">
        <f t="shared" si="7"/>
        <v>18</v>
      </c>
    </row>
    <row r="159" spans="1:12" x14ac:dyDescent="0.35">
      <c r="A159" s="16"/>
      <c r="B159" s="17"/>
      <c r="C159" s="49"/>
      <c r="D159" s="49"/>
      <c r="E159" s="17"/>
      <c r="F159" s="17"/>
      <c r="G159" s="22" t="s">
        <v>2</v>
      </c>
      <c r="H159" s="19">
        <f t="shared" ref="H159:K159" si="9">SUM(H147:H158)</f>
        <v>115</v>
      </c>
      <c r="I159" s="19">
        <f t="shared" si="9"/>
        <v>120</v>
      </c>
      <c r="J159" s="19">
        <f t="shared" si="9"/>
        <v>406</v>
      </c>
      <c r="K159" s="19">
        <f t="shared" si="9"/>
        <v>458</v>
      </c>
      <c r="L159" s="225">
        <f t="shared" si="7"/>
        <v>1099</v>
      </c>
    </row>
    <row r="160" spans="1:12" x14ac:dyDescent="0.35">
      <c r="A160" s="254">
        <v>9</v>
      </c>
      <c r="B160" s="268" t="s">
        <v>281</v>
      </c>
      <c r="C160" s="46" t="s">
        <v>1623</v>
      </c>
      <c r="D160" s="46" t="s">
        <v>1647</v>
      </c>
      <c r="E160" s="46" t="s">
        <v>1650</v>
      </c>
      <c r="F160" s="39" t="s">
        <v>1651</v>
      </c>
      <c r="G160" s="21" t="s">
        <v>282</v>
      </c>
      <c r="H160" s="12">
        <v>11</v>
      </c>
      <c r="I160" s="12">
        <v>13</v>
      </c>
      <c r="J160" s="12">
        <v>54</v>
      </c>
      <c r="K160" s="12">
        <v>56</v>
      </c>
      <c r="L160" s="220">
        <f t="shared" si="7"/>
        <v>134</v>
      </c>
    </row>
    <row r="161" spans="1:12" x14ac:dyDescent="0.35">
      <c r="A161" s="242"/>
      <c r="B161" s="269"/>
      <c r="C161" s="46" t="s">
        <v>1623</v>
      </c>
      <c r="D161" s="46" t="s">
        <v>1647</v>
      </c>
      <c r="E161" s="46" t="s">
        <v>1650</v>
      </c>
      <c r="F161" s="39" t="s">
        <v>354</v>
      </c>
      <c r="G161" s="14" t="s">
        <v>283</v>
      </c>
      <c r="H161" s="12">
        <v>15</v>
      </c>
      <c r="I161" s="12">
        <v>17</v>
      </c>
      <c r="J161" s="12">
        <v>45</v>
      </c>
      <c r="K161" s="12">
        <v>55</v>
      </c>
      <c r="L161" s="220">
        <f t="shared" si="7"/>
        <v>132</v>
      </c>
    </row>
    <row r="162" spans="1:12" x14ac:dyDescent="0.35">
      <c r="A162" s="242"/>
      <c r="B162" s="269"/>
      <c r="C162" s="46" t="s">
        <v>1623</v>
      </c>
      <c r="D162" s="46" t="s">
        <v>1647</v>
      </c>
      <c r="E162" s="46" t="s">
        <v>1650</v>
      </c>
      <c r="F162" s="39" t="s">
        <v>1651</v>
      </c>
      <c r="G162" s="14" t="s">
        <v>284</v>
      </c>
      <c r="H162" s="12">
        <v>9</v>
      </c>
      <c r="I162" s="12">
        <v>11</v>
      </c>
      <c r="J162" s="12">
        <v>35</v>
      </c>
      <c r="K162" s="12">
        <v>40</v>
      </c>
      <c r="L162" s="220">
        <f t="shared" si="7"/>
        <v>95</v>
      </c>
    </row>
    <row r="163" spans="1:12" x14ac:dyDescent="0.35">
      <c r="A163" s="242"/>
      <c r="B163" s="269"/>
      <c r="C163" s="46" t="s">
        <v>1623</v>
      </c>
      <c r="D163" s="46" t="s">
        <v>1647</v>
      </c>
      <c r="E163" s="46" t="s">
        <v>1650</v>
      </c>
      <c r="F163" s="39" t="s">
        <v>1651</v>
      </c>
      <c r="G163" s="21" t="s">
        <v>285</v>
      </c>
      <c r="H163" s="12">
        <v>7</v>
      </c>
      <c r="I163" s="12">
        <v>8</v>
      </c>
      <c r="J163" s="12">
        <v>26</v>
      </c>
      <c r="K163" s="12">
        <v>29</v>
      </c>
      <c r="L163" s="220">
        <f t="shared" si="7"/>
        <v>70</v>
      </c>
    </row>
    <row r="164" spans="1:12" x14ac:dyDescent="0.35">
      <c r="A164" s="242"/>
      <c r="B164" s="269"/>
      <c r="C164" s="46" t="s">
        <v>1623</v>
      </c>
      <c r="D164" s="46" t="s">
        <v>1647</v>
      </c>
      <c r="E164" s="46" t="s">
        <v>1650</v>
      </c>
      <c r="F164" s="39" t="s">
        <v>556</v>
      </c>
      <c r="G164" s="14" t="s">
        <v>286</v>
      </c>
      <c r="H164" s="12">
        <v>5</v>
      </c>
      <c r="I164" s="12">
        <v>7</v>
      </c>
      <c r="J164" s="12">
        <v>26</v>
      </c>
      <c r="K164" s="12">
        <v>24</v>
      </c>
      <c r="L164" s="220">
        <f t="shared" si="7"/>
        <v>62</v>
      </c>
    </row>
    <row r="165" spans="1:12" x14ac:dyDescent="0.35">
      <c r="A165" s="242"/>
      <c r="B165" s="269"/>
      <c r="C165" s="46" t="s">
        <v>1623</v>
      </c>
      <c r="D165" s="46" t="s">
        <v>1647</v>
      </c>
      <c r="E165" s="46" t="s">
        <v>1650</v>
      </c>
      <c r="F165" s="39" t="s">
        <v>1651</v>
      </c>
      <c r="G165" s="21" t="s">
        <v>287</v>
      </c>
      <c r="H165" s="12">
        <v>8</v>
      </c>
      <c r="I165" s="12">
        <v>9</v>
      </c>
      <c r="J165" s="12">
        <v>49</v>
      </c>
      <c r="K165" s="12">
        <v>51</v>
      </c>
      <c r="L165" s="220">
        <f t="shared" si="7"/>
        <v>117</v>
      </c>
    </row>
    <row r="166" spans="1:12" x14ac:dyDescent="0.35">
      <c r="A166" s="242"/>
      <c r="B166" s="269"/>
      <c r="C166" s="46" t="s">
        <v>1623</v>
      </c>
      <c r="D166" s="46" t="s">
        <v>1647</v>
      </c>
      <c r="E166" s="46" t="s">
        <v>1650</v>
      </c>
      <c r="F166" s="39" t="s">
        <v>354</v>
      </c>
      <c r="G166" s="14" t="s">
        <v>288</v>
      </c>
      <c r="H166" s="12">
        <v>9</v>
      </c>
      <c r="I166" s="12">
        <v>11</v>
      </c>
      <c r="J166" s="12">
        <v>35</v>
      </c>
      <c r="K166" s="12">
        <v>35</v>
      </c>
      <c r="L166" s="220">
        <f t="shared" si="7"/>
        <v>90</v>
      </c>
    </row>
    <row r="167" spans="1:12" x14ac:dyDescent="0.35">
      <c r="A167" s="242"/>
      <c r="B167" s="269"/>
      <c r="C167" s="46" t="s">
        <v>1623</v>
      </c>
      <c r="D167" s="46" t="s">
        <v>1647</v>
      </c>
      <c r="E167" s="46" t="s">
        <v>1650</v>
      </c>
      <c r="F167" s="39" t="s">
        <v>556</v>
      </c>
      <c r="G167" s="14" t="s">
        <v>289</v>
      </c>
      <c r="H167" s="12">
        <v>16</v>
      </c>
      <c r="I167" s="12">
        <v>9</v>
      </c>
      <c r="J167" s="12">
        <v>40</v>
      </c>
      <c r="K167" s="12">
        <v>37</v>
      </c>
      <c r="L167" s="220">
        <f t="shared" si="7"/>
        <v>102</v>
      </c>
    </row>
    <row r="168" spans="1:12" x14ac:dyDescent="0.35">
      <c r="A168" s="242"/>
      <c r="B168" s="269"/>
      <c r="C168" s="46" t="s">
        <v>1623</v>
      </c>
      <c r="D168" s="46" t="s">
        <v>1647</v>
      </c>
      <c r="E168" s="46" t="s">
        <v>1650</v>
      </c>
      <c r="F168" s="39" t="s">
        <v>556</v>
      </c>
      <c r="G168" s="14" t="s">
        <v>290</v>
      </c>
      <c r="H168" s="11">
        <v>6</v>
      </c>
      <c r="I168" s="13">
        <v>4</v>
      </c>
      <c r="J168" s="12">
        <v>35</v>
      </c>
      <c r="K168" s="12">
        <v>25</v>
      </c>
      <c r="L168" s="220">
        <f t="shared" si="7"/>
        <v>70</v>
      </c>
    </row>
    <row r="169" spans="1:12" x14ac:dyDescent="0.35">
      <c r="A169" s="242"/>
      <c r="B169" s="269"/>
      <c r="C169" s="46" t="s">
        <v>1623</v>
      </c>
      <c r="D169" s="46" t="s">
        <v>1647</v>
      </c>
      <c r="E169" s="46" t="s">
        <v>1650</v>
      </c>
      <c r="F169" s="39" t="s">
        <v>556</v>
      </c>
      <c r="G169" s="21" t="s">
        <v>291</v>
      </c>
      <c r="H169" s="12">
        <v>2</v>
      </c>
      <c r="I169" s="12">
        <v>5</v>
      </c>
      <c r="J169" s="12">
        <v>28</v>
      </c>
      <c r="K169" s="12">
        <v>32</v>
      </c>
      <c r="L169" s="220">
        <f t="shared" si="7"/>
        <v>67</v>
      </c>
    </row>
    <row r="170" spans="1:12" x14ac:dyDescent="0.35">
      <c r="A170" s="242"/>
      <c r="B170" s="269"/>
      <c r="C170" s="46" t="s">
        <v>1623</v>
      </c>
      <c r="D170" s="46" t="s">
        <v>1647</v>
      </c>
      <c r="E170" s="46" t="s">
        <v>1650</v>
      </c>
      <c r="F170" s="39" t="s">
        <v>354</v>
      </c>
      <c r="G170" s="14" t="s">
        <v>292</v>
      </c>
      <c r="H170" s="12">
        <v>8</v>
      </c>
      <c r="I170" s="12">
        <v>12</v>
      </c>
      <c r="J170" s="12">
        <v>30</v>
      </c>
      <c r="K170" s="12">
        <v>40</v>
      </c>
      <c r="L170" s="220">
        <f t="shared" si="7"/>
        <v>90</v>
      </c>
    </row>
    <row r="171" spans="1:12" x14ac:dyDescent="0.35">
      <c r="A171" s="242"/>
      <c r="B171" s="269"/>
      <c r="C171" s="46" t="s">
        <v>1623</v>
      </c>
      <c r="D171" s="46" t="s">
        <v>1647</v>
      </c>
      <c r="E171" s="46" t="s">
        <v>1650</v>
      </c>
      <c r="F171" s="39" t="s">
        <v>556</v>
      </c>
      <c r="G171" s="14" t="s">
        <v>293</v>
      </c>
      <c r="H171" s="12">
        <v>8</v>
      </c>
      <c r="I171" s="12">
        <v>12</v>
      </c>
      <c r="J171" s="12">
        <v>26</v>
      </c>
      <c r="K171" s="12">
        <v>31</v>
      </c>
      <c r="L171" s="220">
        <f t="shared" si="7"/>
        <v>77</v>
      </c>
    </row>
    <row r="172" spans="1:12" x14ac:dyDescent="0.35">
      <c r="A172" s="242"/>
      <c r="B172" s="269"/>
      <c r="C172" s="46" t="s">
        <v>1623</v>
      </c>
      <c r="D172" s="46" t="s">
        <v>1647</v>
      </c>
      <c r="E172" s="46" t="s">
        <v>1650</v>
      </c>
      <c r="F172" s="39" t="s">
        <v>556</v>
      </c>
      <c r="G172" s="21" t="s">
        <v>294</v>
      </c>
      <c r="H172" s="12">
        <v>20</v>
      </c>
      <c r="I172" s="12">
        <v>17</v>
      </c>
      <c r="J172" s="12">
        <v>55</v>
      </c>
      <c r="K172" s="12">
        <v>53</v>
      </c>
      <c r="L172" s="220">
        <f t="shared" si="7"/>
        <v>145</v>
      </c>
    </row>
    <row r="173" spans="1:12" x14ac:dyDescent="0.35">
      <c r="A173" s="242"/>
      <c r="B173" s="269"/>
      <c r="C173" s="46" t="s">
        <v>1623</v>
      </c>
      <c r="D173" s="46" t="s">
        <v>1647</v>
      </c>
      <c r="E173" s="46" t="s">
        <v>1650</v>
      </c>
      <c r="F173" s="39" t="s">
        <v>556</v>
      </c>
      <c r="G173" s="14" t="s">
        <v>295</v>
      </c>
      <c r="H173" s="15">
        <v>10</v>
      </c>
      <c r="I173" s="15">
        <v>8</v>
      </c>
      <c r="J173" s="15">
        <v>48</v>
      </c>
      <c r="K173" s="15">
        <v>32</v>
      </c>
      <c r="L173" s="220">
        <f t="shared" si="7"/>
        <v>98</v>
      </c>
    </row>
    <row r="174" spans="1:12" x14ac:dyDescent="0.35">
      <c r="A174" s="242"/>
      <c r="B174" s="269"/>
      <c r="C174" s="46" t="s">
        <v>1623</v>
      </c>
      <c r="D174" s="46" t="s">
        <v>1647</v>
      </c>
      <c r="E174" s="46" t="s">
        <v>1650</v>
      </c>
      <c r="F174" s="39" t="s">
        <v>354</v>
      </c>
      <c r="G174" s="21" t="s">
        <v>296</v>
      </c>
      <c r="H174" s="15">
        <v>10</v>
      </c>
      <c r="I174" s="15">
        <v>11</v>
      </c>
      <c r="J174" s="15">
        <v>27</v>
      </c>
      <c r="K174" s="15">
        <v>37</v>
      </c>
      <c r="L174" s="220">
        <f t="shared" si="7"/>
        <v>85</v>
      </c>
    </row>
    <row r="175" spans="1:12" x14ac:dyDescent="0.35">
      <c r="A175" s="242"/>
      <c r="B175" s="269"/>
      <c r="C175" s="46" t="s">
        <v>1623</v>
      </c>
      <c r="D175" s="46" t="s">
        <v>1647</v>
      </c>
      <c r="E175" s="46" t="s">
        <v>1650</v>
      </c>
      <c r="F175" s="39" t="s">
        <v>1651</v>
      </c>
      <c r="G175" s="14" t="s">
        <v>297</v>
      </c>
      <c r="H175" s="15">
        <v>10</v>
      </c>
      <c r="I175" s="15">
        <v>15</v>
      </c>
      <c r="J175" s="15">
        <v>45</v>
      </c>
      <c r="K175" s="15">
        <v>55</v>
      </c>
      <c r="L175" s="220">
        <f t="shared" si="7"/>
        <v>125</v>
      </c>
    </row>
    <row r="176" spans="1:12" x14ac:dyDescent="0.35">
      <c r="A176" s="242"/>
      <c r="B176" s="269"/>
      <c r="C176" s="46" t="s">
        <v>1623</v>
      </c>
      <c r="D176" s="46" t="s">
        <v>1647</v>
      </c>
      <c r="E176" s="46" t="s">
        <v>1650</v>
      </c>
      <c r="F176" s="39" t="s">
        <v>556</v>
      </c>
      <c r="G176" s="21" t="s">
        <v>298</v>
      </c>
      <c r="H176" s="15">
        <v>32</v>
      </c>
      <c r="I176" s="15">
        <v>36</v>
      </c>
      <c r="J176" s="15">
        <v>56</v>
      </c>
      <c r="K176" s="15">
        <v>58</v>
      </c>
      <c r="L176" s="220">
        <f t="shared" si="7"/>
        <v>182</v>
      </c>
    </row>
    <row r="177" spans="1:12" x14ac:dyDescent="0.35">
      <c r="A177" s="242"/>
      <c r="B177" s="269"/>
      <c r="C177" s="46" t="s">
        <v>1623</v>
      </c>
      <c r="D177" s="46" t="s">
        <v>1647</v>
      </c>
      <c r="E177" s="46" t="s">
        <v>1650</v>
      </c>
      <c r="F177" s="39" t="s">
        <v>556</v>
      </c>
      <c r="G177" s="21" t="s">
        <v>299</v>
      </c>
      <c r="H177" s="12">
        <v>7</v>
      </c>
      <c r="I177" s="12">
        <v>8</v>
      </c>
      <c r="J177" s="12">
        <v>32</v>
      </c>
      <c r="K177" s="12">
        <v>28</v>
      </c>
      <c r="L177" s="220">
        <f t="shared" si="7"/>
        <v>75</v>
      </c>
    </row>
    <row r="178" spans="1:12" x14ac:dyDescent="0.35">
      <c r="A178" s="242"/>
      <c r="B178" s="269"/>
      <c r="C178" s="46" t="s">
        <v>1623</v>
      </c>
      <c r="D178" s="46" t="s">
        <v>1647</v>
      </c>
      <c r="E178" s="46" t="s">
        <v>1650</v>
      </c>
      <c r="F178" s="39" t="s">
        <v>1651</v>
      </c>
      <c r="G178" s="21" t="s">
        <v>300</v>
      </c>
      <c r="H178" s="12">
        <v>12</v>
      </c>
      <c r="I178" s="12">
        <v>11</v>
      </c>
      <c r="J178" s="12">
        <v>45</v>
      </c>
      <c r="K178" s="12">
        <v>39</v>
      </c>
      <c r="L178" s="220">
        <f t="shared" si="7"/>
        <v>107</v>
      </c>
    </row>
    <row r="179" spans="1:12" x14ac:dyDescent="0.35">
      <c r="A179" s="242"/>
      <c r="B179" s="269"/>
      <c r="C179" s="46" t="s">
        <v>1623</v>
      </c>
      <c r="D179" s="46" t="s">
        <v>1647</v>
      </c>
      <c r="E179" s="46" t="s">
        <v>1650</v>
      </c>
      <c r="F179" s="39" t="s">
        <v>556</v>
      </c>
      <c r="G179" s="21" t="s">
        <v>301</v>
      </c>
      <c r="H179" s="12">
        <v>16</v>
      </c>
      <c r="I179" s="12">
        <v>14</v>
      </c>
      <c r="J179" s="12">
        <v>33</v>
      </c>
      <c r="K179" s="12">
        <v>26</v>
      </c>
      <c r="L179" s="220">
        <f t="shared" si="7"/>
        <v>89</v>
      </c>
    </row>
    <row r="180" spans="1:12" x14ac:dyDescent="0.35">
      <c r="A180" s="242"/>
      <c r="B180" s="269"/>
      <c r="C180" s="46" t="s">
        <v>1623</v>
      </c>
      <c r="D180" s="46" t="s">
        <v>1647</v>
      </c>
      <c r="E180" s="46" t="s">
        <v>1650</v>
      </c>
      <c r="F180" s="39" t="s">
        <v>556</v>
      </c>
      <c r="G180" s="21" t="s">
        <v>302</v>
      </c>
      <c r="H180" s="12">
        <v>22</v>
      </c>
      <c r="I180" s="12">
        <v>28</v>
      </c>
      <c r="J180" s="12">
        <v>66</v>
      </c>
      <c r="K180" s="12">
        <v>84</v>
      </c>
      <c r="L180" s="220">
        <f t="shared" si="7"/>
        <v>200</v>
      </c>
    </row>
    <row r="181" spans="1:12" x14ac:dyDescent="0.35">
      <c r="A181" s="242"/>
      <c r="B181" s="269"/>
      <c r="C181" s="46" t="s">
        <v>1623</v>
      </c>
      <c r="D181" s="46" t="s">
        <v>1647</v>
      </c>
      <c r="E181" s="46" t="s">
        <v>1650</v>
      </c>
      <c r="F181" s="39" t="s">
        <v>354</v>
      </c>
      <c r="G181" s="21" t="s">
        <v>303</v>
      </c>
      <c r="H181" s="12">
        <v>10</v>
      </c>
      <c r="I181" s="12">
        <v>5</v>
      </c>
      <c r="J181" s="12">
        <v>50</v>
      </c>
      <c r="K181" s="12">
        <v>62</v>
      </c>
      <c r="L181" s="220">
        <f t="shared" si="7"/>
        <v>127</v>
      </c>
    </row>
    <row r="182" spans="1:12" x14ac:dyDescent="0.35">
      <c r="A182" s="242"/>
      <c r="B182" s="269"/>
      <c r="C182" s="46" t="s">
        <v>1623</v>
      </c>
      <c r="D182" s="46" t="s">
        <v>1647</v>
      </c>
      <c r="E182" s="46" t="s">
        <v>1650</v>
      </c>
      <c r="F182" s="39" t="s">
        <v>354</v>
      </c>
      <c r="G182" s="21" t="s">
        <v>8</v>
      </c>
      <c r="H182" s="12">
        <v>18</v>
      </c>
      <c r="I182" s="12">
        <v>19</v>
      </c>
      <c r="J182" s="12">
        <v>65</v>
      </c>
      <c r="K182" s="12">
        <v>59</v>
      </c>
      <c r="L182" s="220">
        <f t="shared" si="7"/>
        <v>161</v>
      </c>
    </row>
    <row r="183" spans="1:12" x14ac:dyDescent="0.35">
      <c r="A183" s="242"/>
      <c r="B183" s="269"/>
      <c r="C183" s="46" t="s">
        <v>1623</v>
      </c>
      <c r="D183" s="46" t="s">
        <v>1647</v>
      </c>
      <c r="E183" s="46" t="s">
        <v>1650</v>
      </c>
      <c r="F183" s="39" t="s">
        <v>556</v>
      </c>
      <c r="G183" s="21" t="s">
        <v>159</v>
      </c>
      <c r="H183" s="12">
        <v>24</v>
      </c>
      <c r="I183" s="12">
        <v>26</v>
      </c>
      <c r="J183" s="12">
        <v>77</v>
      </c>
      <c r="K183" s="12">
        <v>73</v>
      </c>
      <c r="L183" s="220">
        <f t="shared" si="7"/>
        <v>200</v>
      </c>
    </row>
    <row r="184" spans="1:12" x14ac:dyDescent="0.35">
      <c r="A184" s="242"/>
      <c r="B184" s="269"/>
      <c r="C184" s="46" t="s">
        <v>1623</v>
      </c>
      <c r="D184" s="46" t="s">
        <v>1647</v>
      </c>
      <c r="E184" s="46" t="s">
        <v>1650</v>
      </c>
      <c r="F184" s="39" t="s">
        <v>354</v>
      </c>
      <c r="G184" s="21" t="s">
        <v>304</v>
      </c>
      <c r="H184" s="12">
        <v>10</v>
      </c>
      <c r="I184" s="12">
        <v>14</v>
      </c>
      <c r="J184" s="12">
        <v>50</v>
      </c>
      <c r="K184" s="12">
        <v>50</v>
      </c>
      <c r="L184" s="220">
        <f t="shared" si="7"/>
        <v>124</v>
      </c>
    </row>
    <row r="185" spans="1:12" x14ac:dyDescent="0.35">
      <c r="A185" s="242"/>
      <c r="B185" s="269"/>
      <c r="C185" s="46" t="s">
        <v>1623</v>
      </c>
      <c r="D185" s="46" t="s">
        <v>1647</v>
      </c>
      <c r="E185" s="46" t="s">
        <v>1650</v>
      </c>
      <c r="F185" s="39" t="s">
        <v>556</v>
      </c>
      <c r="G185" s="21" t="s">
        <v>150</v>
      </c>
      <c r="H185" s="12">
        <v>24</v>
      </c>
      <c r="I185" s="12">
        <v>26</v>
      </c>
      <c r="J185" s="12">
        <v>83</v>
      </c>
      <c r="K185" s="12">
        <v>62</v>
      </c>
      <c r="L185" s="220">
        <f t="shared" si="7"/>
        <v>195</v>
      </c>
    </row>
    <row r="186" spans="1:12" x14ac:dyDescent="0.35">
      <c r="A186" s="242"/>
      <c r="B186" s="269"/>
      <c r="C186" s="46" t="s">
        <v>1623</v>
      </c>
      <c r="D186" s="46" t="s">
        <v>1647</v>
      </c>
      <c r="E186" s="46" t="s">
        <v>1650</v>
      </c>
      <c r="F186" s="39" t="s">
        <v>354</v>
      </c>
      <c r="G186" s="21" t="s">
        <v>305</v>
      </c>
      <c r="H186" s="12">
        <v>9</v>
      </c>
      <c r="I186" s="12">
        <v>16</v>
      </c>
      <c r="J186" s="12">
        <v>35</v>
      </c>
      <c r="K186" s="12">
        <v>45</v>
      </c>
      <c r="L186" s="220">
        <f t="shared" si="7"/>
        <v>105</v>
      </c>
    </row>
    <row r="187" spans="1:12" x14ac:dyDescent="0.35">
      <c r="A187" s="242"/>
      <c r="B187" s="269"/>
      <c r="C187" s="46" t="s">
        <v>1623</v>
      </c>
      <c r="D187" s="46" t="s">
        <v>1647</v>
      </c>
      <c r="E187" s="46" t="s">
        <v>1650</v>
      </c>
      <c r="F187" s="39" t="s">
        <v>354</v>
      </c>
      <c r="G187" s="21" t="s">
        <v>306</v>
      </c>
      <c r="H187" s="12">
        <v>9</v>
      </c>
      <c r="I187" s="12">
        <v>10</v>
      </c>
      <c r="J187" s="12">
        <v>25</v>
      </c>
      <c r="K187" s="12">
        <v>38</v>
      </c>
      <c r="L187" s="220">
        <f t="shared" si="7"/>
        <v>82</v>
      </c>
    </row>
    <row r="188" spans="1:12" x14ac:dyDescent="0.35">
      <c r="A188" s="242"/>
      <c r="B188" s="269"/>
      <c r="C188" s="46" t="s">
        <v>1623</v>
      </c>
      <c r="D188" s="46" t="s">
        <v>1647</v>
      </c>
      <c r="E188" s="46" t="s">
        <v>1650</v>
      </c>
      <c r="F188" s="39" t="s">
        <v>556</v>
      </c>
      <c r="G188" s="21" t="s">
        <v>307</v>
      </c>
      <c r="H188" s="12">
        <v>10</v>
      </c>
      <c r="I188" s="12">
        <v>9</v>
      </c>
      <c r="J188" s="12">
        <v>27</v>
      </c>
      <c r="K188" s="12">
        <v>33</v>
      </c>
      <c r="L188" s="220">
        <f t="shared" si="7"/>
        <v>79</v>
      </c>
    </row>
    <row r="189" spans="1:12" x14ac:dyDescent="0.35">
      <c r="A189" s="242"/>
      <c r="B189" s="269"/>
      <c r="C189" s="46" t="s">
        <v>1623</v>
      </c>
      <c r="D189" s="46" t="s">
        <v>1647</v>
      </c>
      <c r="E189" s="46" t="s">
        <v>1650</v>
      </c>
      <c r="F189" s="39" t="s">
        <v>354</v>
      </c>
      <c r="G189" s="14" t="s">
        <v>9</v>
      </c>
      <c r="H189" s="12">
        <v>6</v>
      </c>
      <c r="I189" s="12">
        <v>9</v>
      </c>
      <c r="J189" s="12">
        <v>25</v>
      </c>
      <c r="K189" s="12">
        <v>35</v>
      </c>
      <c r="L189" s="220">
        <f t="shared" si="7"/>
        <v>75</v>
      </c>
    </row>
    <row r="190" spans="1:12" x14ac:dyDescent="0.35">
      <c r="A190" s="242"/>
      <c r="B190" s="269"/>
      <c r="C190" s="46" t="s">
        <v>1623</v>
      </c>
      <c r="D190" s="46" t="s">
        <v>1647</v>
      </c>
      <c r="E190" s="46" t="s">
        <v>1650</v>
      </c>
      <c r="F190" s="39" t="s">
        <v>1651</v>
      </c>
      <c r="G190" s="21" t="s">
        <v>10</v>
      </c>
      <c r="H190" s="12">
        <v>5</v>
      </c>
      <c r="I190" s="12">
        <v>6</v>
      </c>
      <c r="J190" s="12">
        <v>27</v>
      </c>
      <c r="K190" s="12">
        <v>23</v>
      </c>
      <c r="L190" s="220">
        <f t="shared" si="7"/>
        <v>61</v>
      </c>
    </row>
    <row r="191" spans="1:12" x14ac:dyDescent="0.35">
      <c r="A191" s="242"/>
      <c r="B191" s="269"/>
      <c r="C191" s="46" t="s">
        <v>1623</v>
      </c>
      <c r="D191" s="46" t="s">
        <v>1647</v>
      </c>
      <c r="E191" s="46" t="s">
        <v>1650</v>
      </c>
      <c r="F191" s="39" t="s">
        <v>1651</v>
      </c>
      <c r="G191" s="14" t="s">
        <v>308</v>
      </c>
      <c r="H191" s="12">
        <v>14</v>
      </c>
      <c r="I191" s="12">
        <v>16</v>
      </c>
      <c r="J191" s="12">
        <v>30</v>
      </c>
      <c r="K191" s="12">
        <v>35</v>
      </c>
      <c r="L191" s="220">
        <f t="shared" si="7"/>
        <v>95</v>
      </c>
    </row>
    <row r="192" spans="1:12" x14ac:dyDescent="0.35">
      <c r="A192" s="242"/>
      <c r="B192" s="269"/>
      <c r="C192" s="46" t="s">
        <v>1623</v>
      </c>
      <c r="D192" s="46" t="s">
        <v>1647</v>
      </c>
      <c r="E192" s="46" t="s">
        <v>1650</v>
      </c>
      <c r="F192" s="39" t="s">
        <v>1651</v>
      </c>
      <c r="G192" s="21" t="s">
        <v>309</v>
      </c>
      <c r="H192" s="12">
        <v>12</v>
      </c>
      <c r="I192" s="12">
        <v>18</v>
      </c>
      <c r="J192" s="12">
        <v>45</v>
      </c>
      <c r="K192" s="12">
        <v>55</v>
      </c>
      <c r="L192" s="220">
        <f t="shared" si="7"/>
        <v>130</v>
      </c>
    </row>
    <row r="193" spans="1:12" x14ac:dyDescent="0.35">
      <c r="A193" s="242"/>
      <c r="B193" s="269"/>
      <c r="C193" s="46" t="s">
        <v>1623</v>
      </c>
      <c r="D193" s="46" t="s">
        <v>1647</v>
      </c>
      <c r="E193" s="46" t="s">
        <v>1650</v>
      </c>
      <c r="F193" s="39" t="s">
        <v>354</v>
      </c>
      <c r="G193" s="14" t="s">
        <v>310</v>
      </c>
      <c r="H193" s="12">
        <v>8</v>
      </c>
      <c r="I193" s="12">
        <v>12</v>
      </c>
      <c r="J193" s="12">
        <v>31</v>
      </c>
      <c r="K193" s="12">
        <v>43</v>
      </c>
      <c r="L193" s="220">
        <f t="shared" si="7"/>
        <v>94</v>
      </c>
    </row>
    <row r="194" spans="1:12" x14ac:dyDescent="0.35">
      <c r="A194" s="242"/>
      <c r="B194" s="269"/>
      <c r="C194" s="46" t="s">
        <v>1623</v>
      </c>
      <c r="D194" s="46" t="s">
        <v>1647</v>
      </c>
      <c r="E194" s="46" t="s">
        <v>1650</v>
      </c>
      <c r="F194" s="39" t="s">
        <v>354</v>
      </c>
      <c r="G194" s="14" t="s">
        <v>311</v>
      </c>
      <c r="H194" s="12">
        <v>8</v>
      </c>
      <c r="I194" s="12">
        <v>10</v>
      </c>
      <c r="J194" s="12">
        <v>36</v>
      </c>
      <c r="K194" s="12">
        <v>35</v>
      </c>
      <c r="L194" s="220">
        <f t="shared" si="7"/>
        <v>89</v>
      </c>
    </row>
    <row r="195" spans="1:12" x14ac:dyDescent="0.35">
      <c r="A195" s="242"/>
      <c r="B195" s="269"/>
      <c r="C195" s="46" t="s">
        <v>1623</v>
      </c>
      <c r="D195" s="46" t="s">
        <v>1647</v>
      </c>
      <c r="E195" s="46" t="s">
        <v>1650</v>
      </c>
      <c r="F195" s="39" t="s">
        <v>556</v>
      </c>
      <c r="G195" s="14" t="s">
        <v>312</v>
      </c>
      <c r="H195" s="12">
        <v>17</v>
      </c>
      <c r="I195" s="12">
        <v>29</v>
      </c>
      <c r="J195" s="12">
        <v>43</v>
      </c>
      <c r="K195" s="12">
        <v>50</v>
      </c>
      <c r="L195" s="220">
        <f t="shared" si="7"/>
        <v>139</v>
      </c>
    </row>
    <row r="196" spans="1:12" x14ac:dyDescent="0.35">
      <c r="A196" s="275"/>
      <c r="B196" s="270"/>
      <c r="C196" s="46" t="s">
        <v>1623</v>
      </c>
      <c r="D196" s="46" t="s">
        <v>1647</v>
      </c>
      <c r="E196" s="46" t="s">
        <v>1650</v>
      </c>
      <c r="F196" s="39" t="s">
        <v>354</v>
      </c>
      <c r="G196" s="14" t="s">
        <v>313</v>
      </c>
      <c r="H196" s="12">
        <v>17</v>
      </c>
      <c r="I196" s="12">
        <v>10</v>
      </c>
      <c r="J196" s="12">
        <v>44</v>
      </c>
      <c r="K196" s="12">
        <v>33</v>
      </c>
      <c r="L196" s="220">
        <f t="shared" si="7"/>
        <v>104</v>
      </c>
    </row>
    <row r="197" spans="1:12" x14ac:dyDescent="0.35">
      <c r="A197" s="16"/>
      <c r="B197" s="17"/>
      <c r="C197" s="49"/>
      <c r="D197" s="49"/>
      <c r="E197" s="17"/>
      <c r="F197" s="17"/>
      <c r="G197" s="22" t="s">
        <v>2</v>
      </c>
      <c r="H197" s="19">
        <f t="shared" ref="H197:K197" si="10">SUM(H160:H196)</f>
        <v>444</v>
      </c>
      <c r="I197" s="19">
        <f t="shared" si="10"/>
        <v>501</v>
      </c>
      <c r="J197" s="19">
        <f t="shared" si="10"/>
        <v>1529</v>
      </c>
      <c r="K197" s="19">
        <f t="shared" si="10"/>
        <v>1598</v>
      </c>
      <c r="L197" s="225">
        <f t="shared" si="7"/>
        <v>4072</v>
      </c>
    </row>
    <row r="198" spans="1:12" x14ac:dyDescent="0.35">
      <c r="A198" s="254">
        <v>10</v>
      </c>
      <c r="B198" s="268" t="s">
        <v>314</v>
      </c>
      <c r="C198" s="46" t="s">
        <v>1623</v>
      </c>
      <c r="D198" s="46" t="s">
        <v>1647</v>
      </c>
      <c r="E198" s="39" t="s">
        <v>1652</v>
      </c>
      <c r="F198" s="39" t="s">
        <v>1652</v>
      </c>
      <c r="G198" s="14" t="s">
        <v>219</v>
      </c>
      <c r="H198" s="15">
        <v>10</v>
      </c>
      <c r="I198" s="15">
        <v>10</v>
      </c>
      <c r="J198" s="15">
        <v>40</v>
      </c>
      <c r="K198" s="15">
        <v>43</v>
      </c>
      <c r="L198" s="220">
        <f t="shared" ref="L198:L233" si="11">H198+I198+J198+K198</f>
        <v>103</v>
      </c>
    </row>
    <row r="199" spans="1:12" x14ac:dyDescent="0.35">
      <c r="A199" s="242"/>
      <c r="B199" s="269"/>
      <c r="C199" s="46" t="s">
        <v>1623</v>
      </c>
      <c r="D199" s="46" t="s">
        <v>1647</v>
      </c>
      <c r="E199" s="39" t="s">
        <v>1652</v>
      </c>
      <c r="F199" s="39" t="s">
        <v>1653</v>
      </c>
      <c r="G199" s="21" t="s">
        <v>315</v>
      </c>
      <c r="H199" s="15">
        <v>12</v>
      </c>
      <c r="I199" s="15">
        <v>8</v>
      </c>
      <c r="J199" s="15">
        <v>30</v>
      </c>
      <c r="K199" s="15">
        <v>34</v>
      </c>
      <c r="L199" s="220">
        <f t="shared" si="11"/>
        <v>84</v>
      </c>
    </row>
    <row r="200" spans="1:12" x14ac:dyDescent="0.35">
      <c r="A200" s="242"/>
      <c r="B200" s="269"/>
      <c r="C200" s="46" t="s">
        <v>1623</v>
      </c>
      <c r="D200" s="46" t="s">
        <v>1647</v>
      </c>
      <c r="E200" s="39" t="s">
        <v>1672</v>
      </c>
      <c r="F200" s="39" t="s">
        <v>1673</v>
      </c>
      <c r="G200" s="14" t="s">
        <v>227</v>
      </c>
      <c r="H200" s="15">
        <v>9</v>
      </c>
      <c r="I200" s="15">
        <v>5</v>
      </c>
      <c r="J200" s="15">
        <v>53</v>
      </c>
      <c r="K200" s="15">
        <v>53</v>
      </c>
      <c r="L200" s="220">
        <f t="shared" si="11"/>
        <v>120</v>
      </c>
    </row>
    <row r="201" spans="1:12" x14ac:dyDescent="0.35">
      <c r="A201" s="242"/>
      <c r="B201" s="269"/>
      <c r="C201" s="46" t="s">
        <v>1623</v>
      </c>
      <c r="D201" s="46" t="s">
        <v>1647</v>
      </c>
      <c r="E201" s="39" t="s">
        <v>1652</v>
      </c>
      <c r="F201" s="39" t="s">
        <v>1654</v>
      </c>
      <c r="G201" s="14" t="s">
        <v>316</v>
      </c>
      <c r="H201" s="15">
        <v>5</v>
      </c>
      <c r="I201" s="15">
        <v>8</v>
      </c>
      <c r="J201" s="15">
        <v>26</v>
      </c>
      <c r="K201" s="15">
        <v>30</v>
      </c>
      <c r="L201" s="220">
        <f t="shared" si="11"/>
        <v>69</v>
      </c>
    </row>
    <row r="202" spans="1:12" x14ac:dyDescent="0.35">
      <c r="A202" s="242"/>
      <c r="B202" s="269"/>
      <c r="C202" s="46" t="s">
        <v>1623</v>
      </c>
      <c r="D202" s="46" t="s">
        <v>1647</v>
      </c>
      <c r="E202" s="39" t="s">
        <v>1652</v>
      </c>
      <c r="F202" s="39" t="s">
        <v>1654</v>
      </c>
      <c r="G202" s="21" t="s">
        <v>317</v>
      </c>
      <c r="H202" s="15">
        <v>15</v>
      </c>
      <c r="I202" s="15">
        <v>17</v>
      </c>
      <c r="J202" s="15">
        <v>38</v>
      </c>
      <c r="K202" s="15">
        <v>40</v>
      </c>
      <c r="L202" s="220">
        <f t="shared" si="11"/>
        <v>110</v>
      </c>
    </row>
    <row r="203" spans="1:12" x14ac:dyDescent="0.35">
      <c r="A203" s="242"/>
      <c r="B203" s="269"/>
      <c r="C203" s="46" t="s">
        <v>1623</v>
      </c>
      <c r="D203" s="46" t="s">
        <v>1647</v>
      </c>
      <c r="E203" s="39" t="s">
        <v>1652</v>
      </c>
      <c r="F203" s="39" t="s">
        <v>1654</v>
      </c>
      <c r="G203" s="21" t="s">
        <v>318</v>
      </c>
      <c r="H203" s="15">
        <v>12</v>
      </c>
      <c r="I203" s="15">
        <v>9</v>
      </c>
      <c r="J203" s="15">
        <v>43</v>
      </c>
      <c r="K203" s="15">
        <v>34</v>
      </c>
      <c r="L203" s="220">
        <f t="shared" si="11"/>
        <v>98</v>
      </c>
    </row>
    <row r="204" spans="1:12" x14ac:dyDescent="0.35">
      <c r="A204" s="242"/>
      <c r="B204" s="269"/>
      <c r="C204" s="46" t="s">
        <v>1623</v>
      </c>
      <c r="D204" s="46" t="s">
        <v>1647</v>
      </c>
      <c r="E204" s="39" t="s">
        <v>1652</v>
      </c>
      <c r="F204" s="39" t="s">
        <v>1655</v>
      </c>
      <c r="G204" s="14" t="s">
        <v>319</v>
      </c>
      <c r="H204" s="15">
        <v>6</v>
      </c>
      <c r="I204" s="15">
        <v>4</v>
      </c>
      <c r="J204" s="15">
        <v>30</v>
      </c>
      <c r="K204" s="15">
        <v>34</v>
      </c>
      <c r="L204" s="220">
        <f t="shared" si="11"/>
        <v>74</v>
      </c>
    </row>
    <row r="205" spans="1:12" x14ac:dyDescent="0.35">
      <c r="A205" s="242"/>
      <c r="B205" s="269"/>
      <c r="C205" s="46" t="s">
        <v>1623</v>
      </c>
      <c r="D205" s="46" t="s">
        <v>1647</v>
      </c>
      <c r="E205" s="39" t="s">
        <v>1652</v>
      </c>
      <c r="F205" s="39" t="s">
        <v>1654</v>
      </c>
      <c r="G205" s="14" t="s">
        <v>320</v>
      </c>
      <c r="H205" s="15">
        <v>12</v>
      </c>
      <c r="I205" s="15">
        <v>15</v>
      </c>
      <c r="J205" s="15">
        <v>27</v>
      </c>
      <c r="K205" s="15">
        <v>41</v>
      </c>
      <c r="L205" s="220">
        <f t="shared" si="11"/>
        <v>95</v>
      </c>
    </row>
    <row r="206" spans="1:12" x14ac:dyDescent="0.35">
      <c r="A206" s="242"/>
      <c r="B206" s="269"/>
      <c r="C206" s="46" t="s">
        <v>1623</v>
      </c>
      <c r="D206" s="46" t="s">
        <v>1647</v>
      </c>
      <c r="E206" s="39" t="s">
        <v>1672</v>
      </c>
      <c r="F206" s="39" t="s">
        <v>1671</v>
      </c>
      <c r="G206" s="14" t="s">
        <v>321</v>
      </c>
      <c r="H206" s="15">
        <v>7</v>
      </c>
      <c r="I206" s="15">
        <v>7</v>
      </c>
      <c r="J206" s="15">
        <v>23</v>
      </c>
      <c r="K206" s="15">
        <v>38</v>
      </c>
      <c r="L206" s="220">
        <f t="shared" si="11"/>
        <v>75</v>
      </c>
    </row>
    <row r="207" spans="1:12" x14ac:dyDescent="0.35">
      <c r="A207" s="242"/>
      <c r="B207" s="269"/>
      <c r="C207" s="46" t="s">
        <v>1623</v>
      </c>
      <c r="D207" s="46" t="s">
        <v>1647</v>
      </c>
      <c r="E207" s="39" t="s">
        <v>1672</v>
      </c>
      <c r="F207" s="39" t="s">
        <v>1673</v>
      </c>
      <c r="G207" s="21" t="s">
        <v>322</v>
      </c>
      <c r="H207" s="15">
        <v>35</v>
      </c>
      <c r="I207" s="15">
        <v>50</v>
      </c>
      <c r="J207" s="15">
        <v>84</v>
      </c>
      <c r="K207" s="15">
        <v>108</v>
      </c>
      <c r="L207" s="220">
        <f t="shared" si="11"/>
        <v>277</v>
      </c>
    </row>
    <row r="208" spans="1:12" x14ac:dyDescent="0.35">
      <c r="A208" s="242"/>
      <c r="B208" s="269"/>
      <c r="C208" s="46" t="s">
        <v>1623</v>
      </c>
      <c r="D208" s="46" t="s">
        <v>1647</v>
      </c>
      <c r="E208" s="39" t="s">
        <v>1652</v>
      </c>
      <c r="F208" s="39" t="s">
        <v>1653</v>
      </c>
      <c r="G208" s="14" t="s">
        <v>323</v>
      </c>
      <c r="H208" s="15">
        <v>6</v>
      </c>
      <c r="I208" s="15">
        <v>3</v>
      </c>
      <c r="J208" s="15">
        <v>24</v>
      </c>
      <c r="K208" s="15">
        <v>24</v>
      </c>
      <c r="L208" s="220">
        <f t="shared" si="11"/>
        <v>57</v>
      </c>
    </row>
    <row r="209" spans="1:12" x14ac:dyDescent="0.35">
      <c r="A209" s="242"/>
      <c r="B209" s="269"/>
      <c r="C209" s="46" t="s">
        <v>1623</v>
      </c>
      <c r="D209" s="46" t="s">
        <v>1647</v>
      </c>
      <c r="E209" s="39" t="s">
        <v>1652</v>
      </c>
      <c r="F209" s="39" t="s">
        <v>1653</v>
      </c>
      <c r="G209" s="14" t="s">
        <v>324</v>
      </c>
      <c r="H209" s="6">
        <v>6</v>
      </c>
      <c r="I209" s="6">
        <v>8</v>
      </c>
      <c r="J209" s="6">
        <v>39</v>
      </c>
      <c r="K209" s="6">
        <v>47</v>
      </c>
      <c r="L209" s="220">
        <f t="shared" si="11"/>
        <v>100</v>
      </c>
    </row>
    <row r="210" spans="1:12" x14ac:dyDescent="0.35">
      <c r="A210" s="242"/>
      <c r="B210" s="269"/>
      <c r="C210" s="46" t="s">
        <v>1623</v>
      </c>
      <c r="D210" s="46" t="s">
        <v>1647</v>
      </c>
      <c r="E210" s="39" t="s">
        <v>1652</v>
      </c>
      <c r="F210" s="39" t="s">
        <v>1654</v>
      </c>
      <c r="G210" s="14" t="s">
        <v>325</v>
      </c>
      <c r="H210" s="15">
        <v>13</v>
      </c>
      <c r="I210" s="15">
        <v>15</v>
      </c>
      <c r="J210" s="15">
        <v>51</v>
      </c>
      <c r="K210" s="15">
        <v>51</v>
      </c>
      <c r="L210" s="220">
        <f t="shared" si="11"/>
        <v>130</v>
      </c>
    </row>
    <row r="211" spans="1:12" x14ac:dyDescent="0.35">
      <c r="A211" s="242"/>
      <c r="B211" s="269"/>
      <c r="C211" s="46" t="s">
        <v>1623</v>
      </c>
      <c r="D211" s="46" t="s">
        <v>1647</v>
      </c>
      <c r="E211" s="39" t="s">
        <v>1652</v>
      </c>
      <c r="F211" s="39" t="s">
        <v>1655</v>
      </c>
      <c r="G211" s="14" t="s">
        <v>326</v>
      </c>
      <c r="H211" s="15">
        <v>7</v>
      </c>
      <c r="I211" s="15">
        <v>11</v>
      </c>
      <c r="J211" s="15">
        <v>16</v>
      </c>
      <c r="K211" s="15">
        <v>19</v>
      </c>
      <c r="L211" s="220">
        <f t="shared" si="11"/>
        <v>53</v>
      </c>
    </row>
    <row r="212" spans="1:12" x14ac:dyDescent="0.35">
      <c r="A212" s="242"/>
      <c r="B212" s="269"/>
      <c r="C212" s="46" t="s">
        <v>1623</v>
      </c>
      <c r="D212" s="46" t="s">
        <v>1647</v>
      </c>
      <c r="E212" s="39" t="s">
        <v>1652</v>
      </c>
      <c r="F212" s="39" t="s">
        <v>1655</v>
      </c>
      <c r="G212" s="14" t="s">
        <v>142</v>
      </c>
      <c r="H212" s="15">
        <v>1</v>
      </c>
      <c r="I212" s="15">
        <v>2</v>
      </c>
      <c r="J212" s="15">
        <v>12</v>
      </c>
      <c r="K212" s="15">
        <v>17</v>
      </c>
      <c r="L212" s="220">
        <f t="shared" si="11"/>
        <v>32</v>
      </c>
    </row>
    <row r="213" spans="1:12" x14ac:dyDescent="0.35">
      <c r="A213" s="242"/>
      <c r="B213" s="269"/>
      <c r="C213" s="46" t="s">
        <v>1623</v>
      </c>
      <c r="D213" s="46" t="s">
        <v>1647</v>
      </c>
      <c r="E213" s="39" t="s">
        <v>1672</v>
      </c>
      <c r="F213" s="39" t="s">
        <v>1673</v>
      </c>
      <c r="G213" s="21" t="s">
        <v>327</v>
      </c>
      <c r="H213" s="15">
        <v>12</v>
      </c>
      <c r="I213" s="15">
        <v>13</v>
      </c>
      <c r="J213" s="15">
        <v>78</v>
      </c>
      <c r="K213" s="15">
        <v>67</v>
      </c>
      <c r="L213" s="220">
        <f t="shared" si="11"/>
        <v>170</v>
      </c>
    </row>
    <row r="214" spans="1:12" x14ac:dyDescent="0.35">
      <c r="A214" s="242"/>
      <c r="B214" s="269"/>
      <c r="C214" s="46" t="s">
        <v>1623</v>
      </c>
      <c r="D214" s="46" t="s">
        <v>1647</v>
      </c>
      <c r="E214" s="39" t="s">
        <v>1672</v>
      </c>
      <c r="F214" s="39" t="s">
        <v>1673</v>
      </c>
      <c r="G214" s="14" t="s">
        <v>245</v>
      </c>
      <c r="H214" s="15">
        <v>10</v>
      </c>
      <c r="I214" s="15">
        <v>12</v>
      </c>
      <c r="J214" s="15">
        <v>66</v>
      </c>
      <c r="K214" s="15">
        <v>72</v>
      </c>
      <c r="L214" s="220">
        <f t="shared" si="11"/>
        <v>160</v>
      </c>
    </row>
    <row r="215" spans="1:12" x14ac:dyDescent="0.35">
      <c r="A215" s="242"/>
      <c r="B215" s="269"/>
      <c r="C215" s="46" t="s">
        <v>1623</v>
      </c>
      <c r="D215" s="46" t="s">
        <v>1647</v>
      </c>
      <c r="E215" s="39" t="s">
        <v>1652</v>
      </c>
      <c r="F215" s="39" t="s">
        <v>1653</v>
      </c>
      <c r="G215" s="21" t="s">
        <v>11</v>
      </c>
      <c r="H215" s="15">
        <v>11</v>
      </c>
      <c r="I215" s="15">
        <v>4</v>
      </c>
      <c r="J215" s="15">
        <v>35</v>
      </c>
      <c r="K215" s="15">
        <v>41</v>
      </c>
      <c r="L215" s="220">
        <f t="shared" si="11"/>
        <v>91</v>
      </c>
    </row>
    <row r="216" spans="1:12" x14ac:dyDescent="0.35">
      <c r="A216" s="242"/>
      <c r="B216" s="269"/>
      <c r="C216" s="46" t="s">
        <v>1623</v>
      </c>
      <c r="D216" s="46" t="s">
        <v>1647</v>
      </c>
      <c r="E216" s="39" t="s">
        <v>1652</v>
      </c>
      <c r="F216" s="39" t="s">
        <v>1653</v>
      </c>
      <c r="G216" s="14" t="s">
        <v>328</v>
      </c>
      <c r="H216" s="15">
        <v>9</v>
      </c>
      <c r="I216" s="15">
        <v>9</v>
      </c>
      <c r="J216" s="15">
        <v>32</v>
      </c>
      <c r="K216" s="15">
        <v>33</v>
      </c>
      <c r="L216" s="220">
        <f t="shared" si="11"/>
        <v>83</v>
      </c>
    </row>
    <row r="217" spans="1:12" x14ac:dyDescent="0.35">
      <c r="A217" s="242"/>
      <c r="B217" s="269"/>
      <c r="C217" s="46" t="s">
        <v>1623</v>
      </c>
      <c r="D217" s="46" t="s">
        <v>1647</v>
      </c>
      <c r="E217" s="39" t="s">
        <v>1672</v>
      </c>
      <c r="F217" s="39" t="s">
        <v>336</v>
      </c>
      <c r="G217" s="14" t="s">
        <v>329</v>
      </c>
      <c r="H217" s="15">
        <v>21</v>
      </c>
      <c r="I217" s="15">
        <v>24</v>
      </c>
      <c r="J217" s="15">
        <v>70</v>
      </c>
      <c r="K217" s="15">
        <v>71</v>
      </c>
      <c r="L217" s="220">
        <f t="shared" si="11"/>
        <v>186</v>
      </c>
    </row>
    <row r="218" spans="1:12" x14ac:dyDescent="0.35">
      <c r="A218" s="242"/>
      <c r="B218" s="269"/>
      <c r="C218" s="46" t="s">
        <v>1623</v>
      </c>
      <c r="D218" s="46" t="s">
        <v>1647</v>
      </c>
      <c r="E218" s="39" t="s">
        <v>1652</v>
      </c>
      <c r="F218" s="39" t="s">
        <v>1653</v>
      </c>
      <c r="G218" s="14" t="s">
        <v>330</v>
      </c>
      <c r="H218" s="15">
        <v>5</v>
      </c>
      <c r="I218" s="15">
        <v>3</v>
      </c>
      <c r="J218" s="15">
        <v>24</v>
      </c>
      <c r="K218" s="15">
        <v>13</v>
      </c>
      <c r="L218" s="220">
        <f t="shared" si="11"/>
        <v>45</v>
      </c>
    </row>
    <row r="219" spans="1:12" x14ac:dyDescent="0.35">
      <c r="A219" s="242"/>
      <c r="B219" s="269"/>
      <c r="C219" s="46" t="s">
        <v>1623</v>
      </c>
      <c r="D219" s="46" t="s">
        <v>1647</v>
      </c>
      <c r="E219" s="39" t="s">
        <v>1672</v>
      </c>
      <c r="F219" s="39" t="s">
        <v>336</v>
      </c>
      <c r="G219" s="14" t="s">
        <v>331</v>
      </c>
      <c r="H219" s="15">
        <v>16</v>
      </c>
      <c r="I219" s="15">
        <v>11</v>
      </c>
      <c r="J219" s="15">
        <v>64</v>
      </c>
      <c r="K219" s="15">
        <v>47</v>
      </c>
      <c r="L219" s="220">
        <f t="shared" si="11"/>
        <v>138</v>
      </c>
    </row>
    <row r="220" spans="1:12" x14ac:dyDescent="0.35">
      <c r="A220" s="242"/>
      <c r="B220" s="269"/>
      <c r="C220" s="46" t="s">
        <v>1623</v>
      </c>
      <c r="D220" s="46" t="s">
        <v>1647</v>
      </c>
      <c r="E220" s="39" t="s">
        <v>1672</v>
      </c>
      <c r="F220" s="39" t="s">
        <v>336</v>
      </c>
      <c r="G220" s="14" t="s">
        <v>333</v>
      </c>
      <c r="H220" s="15">
        <v>14</v>
      </c>
      <c r="I220" s="15">
        <v>17</v>
      </c>
      <c r="J220" s="15">
        <v>37</v>
      </c>
      <c r="K220" s="15">
        <v>32</v>
      </c>
      <c r="L220" s="220">
        <f t="shared" si="11"/>
        <v>100</v>
      </c>
    </row>
    <row r="221" spans="1:12" x14ac:dyDescent="0.35">
      <c r="A221" s="242"/>
      <c r="B221" s="269"/>
      <c r="C221" s="46" t="s">
        <v>1623</v>
      </c>
      <c r="D221" s="46" t="s">
        <v>1647</v>
      </c>
      <c r="E221" s="39" t="s">
        <v>1672</v>
      </c>
      <c r="F221" s="39" t="s">
        <v>1671</v>
      </c>
      <c r="G221" s="21" t="s">
        <v>334</v>
      </c>
      <c r="H221" s="15">
        <v>3</v>
      </c>
      <c r="I221" s="15">
        <v>4</v>
      </c>
      <c r="J221" s="15">
        <v>52</v>
      </c>
      <c r="K221" s="15">
        <v>58</v>
      </c>
      <c r="L221" s="220">
        <f t="shared" si="11"/>
        <v>117</v>
      </c>
    </row>
    <row r="222" spans="1:12" x14ac:dyDescent="0.35">
      <c r="A222" s="242"/>
      <c r="B222" s="269"/>
      <c r="C222" s="46" t="s">
        <v>1623</v>
      </c>
      <c r="D222" s="46" t="s">
        <v>1647</v>
      </c>
      <c r="E222" s="39" t="s">
        <v>1652</v>
      </c>
      <c r="F222" s="39" t="s">
        <v>1652</v>
      </c>
      <c r="G222" s="14" t="s">
        <v>335</v>
      </c>
      <c r="H222" s="15">
        <v>10</v>
      </c>
      <c r="I222" s="15">
        <v>16</v>
      </c>
      <c r="J222" s="15">
        <v>28</v>
      </c>
      <c r="K222" s="15">
        <v>45</v>
      </c>
      <c r="L222" s="220">
        <f t="shared" si="11"/>
        <v>99</v>
      </c>
    </row>
    <row r="223" spans="1:12" x14ac:dyDescent="0.35">
      <c r="A223" s="242"/>
      <c r="B223" s="269"/>
      <c r="C223" s="46" t="s">
        <v>1623</v>
      </c>
      <c r="D223" s="46" t="s">
        <v>1647</v>
      </c>
      <c r="E223" s="39" t="s">
        <v>1672</v>
      </c>
      <c r="F223" s="39" t="s">
        <v>336</v>
      </c>
      <c r="G223" s="14" t="s">
        <v>336</v>
      </c>
      <c r="H223" s="15">
        <v>12</v>
      </c>
      <c r="I223" s="15">
        <v>14</v>
      </c>
      <c r="J223" s="15">
        <v>54</v>
      </c>
      <c r="K223" s="15">
        <v>56</v>
      </c>
      <c r="L223" s="220">
        <f t="shared" si="11"/>
        <v>136</v>
      </c>
    </row>
    <row r="224" spans="1:12" x14ac:dyDescent="0.35">
      <c r="A224" s="242"/>
      <c r="B224" s="269"/>
      <c r="C224" s="46" t="s">
        <v>1623</v>
      </c>
      <c r="D224" s="46" t="s">
        <v>1647</v>
      </c>
      <c r="E224" s="39" t="s">
        <v>1652</v>
      </c>
      <c r="F224" s="39" t="s">
        <v>1654</v>
      </c>
      <c r="G224" s="14" t="s">
        <v>337</v>
      </c>
      <c r="H224" s="15">
        <v>4</v>
      </c>
      <c r="I224" s="15">
        <v>6</v>
      </c>
      <c r="J224" s="15">
        <v>40</v>
      </c>
      <c r="K224" s="15">
        <v>46</v>
      </c>
      <c r="L224" s="220">
        <f t="shared" si="11"/>
        <v>96</v>
      </c>
    </row>
    <row r="225" spans="1:12" x14ac:dyDescent="0.35">
      <c r="A225" s="242"/>
      <c r="B225" s="269"/>
      <c r="C225" s="46" t="s">
        <v>1623</v>
      </c>
      <c r="D225" s="46" t="s">
        <v>1647</v>
      </c>
      <c r="E225" s="39" t="s">
        <v>1652</v>
      </c>
      <c r="F225" s="39" t="s">
        <v>1653</v>
      </c>
      <c r="G225" s="14" t="s">
        <v>338</v>
      </c>
      <c r="H225" s="15">
        <v>3</v>
      </c>
      <c r="I225" s="15">
        <v>4</v>
      </c>
      <c r="J225" s="15">
        <v>25</v>
      </c>
      <c r="K225" s="15">
        <v>28</v>
      </c>
      <c r="L225" s="220">
        <f t="shared" si="11"/>
        <v>60</v>
      </c>
    </row>
    <row r="226" spans="1:12" x14ac:dyDescent="0.35">
      <c r="A226" s="242"/>
      <c r="B226" s="269"/>
      <c r="C226" s="46" t="s">
        <v>1623</v>
      </c>
      <c r="D226" s="46" t="s">
        <v>1647</v>
      </c>
      <c r="E226" s="39" t="s">
        <v>1652</v>
      </c>
      <c r="F226" s="39" t="s">
        <v>1653</v>
      </c>
      <c r="G226" s="14" t="s">
        <v>307</v>
      </c>
      <c r="H226" s="15">
        <v>7</v>
      </c>
      <c r="I226" s="15">
        <v>12</v>
      </c>
      <c r="J226" s="15">
        <v>25</v>
      </c>
      <c r="K226" s="15">
        <v>25</v>
      </c>
      <c r="L226" s="220">
        <f t="shared" si="11"/>
        <v>69</v>
      </c>
    </row>
    <row r="227" spans="1:12" x14ac:dyDescent="0.35">
      <c r="A227" s="242"/>
      <c r="B227" s="269"/>
      <c r="C227" s="46" t="s">
        <v>1623</v>
      </c>
      <c r="D227" s="46" t="s">
        <v>1647</v>
      </c>
      <c r="E227" s="39" t="s">
        <v>1652</v>
      </c>
      <c r="F227" s="39" t="s">
        <v>1653</v>
      </c>
      <c r="G227" s="14" t="s">
        <v>339</v>
      </c>
      <c r="H227" s="15">
        <v>7</v>
      </c>
      <c r="I227" s="15">
        <v>8</v>
      </c>
      <c r="J227" s="15">
        <v>20</v>
      </c>
      <c r="K227" s="15">
        <v>19</v>
      </c>
      <c r="L227" s="220">
        <f t="shared" si="11"/>
        <v>54</v>
      </c>
    </row>
    <row r="228" spans="1:12" x14ac:dyDescent="0.35">
      <c r="A228" s="242"/>
      <c r="B228" s="269"/>
      <c r="C228" s="46" t="s">
        <v>1623</v>
      </c>
      <c r="D228" s="46" t="s">
        <v>1647</v>
      </c>
      <c r="E228" s="39" t="s">
        <v>1672</v>
      </c>
      <c r="F228" s="39" t="s">
        <v>1673</v>
      </c>
      <c r="G228" s="14" t="s">
        <v>340</v>
      </c>
      <c r="H228" s="15">
        <v>17</v>
      </c>
      <c r="I228" s="15">
        <v>23</v>
      </c>
      <c r="J228" s="15">
        <v>33</v>
      </c>
      <c r="K228" s="15">
        <v>41</v>
      </c>
      <c r="L228" s="220">
        <f t="shared" si="11"/>
        <v>114</v>
      </c>
    </row>
    <row r="229" spans="1:12" x14ac:dyDescent="0.35">
      <c r="A229" s="242"/>
      <c r="B229" s="269"/>
      <c r="C229" s="46" t="s">
        <v>1623</v>
      </c>
      <c r="D229" s="46" t="s">
        <v>1647</v>
      </c>
      <c r="E229" s="39" t="s">
        <v>1652</v>
      </c>
      <c r="F229" s="39" t="s">
        <v>1653</v>
      </c>
      <c r="G229" s="14" t="s">
        <v>341</v>
      </c>
      <c r="H229" s="15">
        <v>12</v>
      </c>
      <c r="I229" s="15">
        <v>5</v>
      </c>
      <c r="J229" s="15">
        <v>40</v>
      </c>
      <c r="K229" s="15">
        <v>34</v>
      </c>
      <c r="L229" s="220">
        <f t="shared" si="11"/>
        <v>91</v>
      </c>
    </row>
    <row r="230" spans="1:12" x14ac:dyDescent="0.35">
      <c r="A230" s="242"/>
      <c r="B230" s="269"/>
      <c r="C230" s="46" t="s">
        <v>1623</v>
      </c>
      <c r="D230" s="46" t="s">
        <v>1647</v>
      </c>
      <c r="E230" s="39" t="s">
        <v>1652</v>
      </c>
      <c r="F230" s="39" t="s">
        <v>1653</v>
      </c>
      <c r="G230" s="14" t="s">
        <v>342</v>
      </c>
      <c r="H230" s="15">
        <v>9</v>
      </c>
      <c r="I230" s="15">
        <v>7</v>
      </c>
      <c r="J230" s="15">
        <v>38</v>
      </c>
      <c r="K230" s="15">
        <v>34</v>
      </c>
      <c r="L230" s="220">
        <f t="shared" si="11"/>
        <v>88</v>
      </c>
    </row>
    <row r="231" spans="1:12" x14ac:dyDescent="0.35">
      <c r="A231" s="275"/>
      <c r="B231" s="270"/>
      <c r="C231" s="46" t="s">
        <v>1623</v>
      </c>
      <c r="D231" s="46" t="s">
        <v>1647</v>
      </c>
      <c r="E231" s="39" t="s">
        <v>1652</v>
      </c>
      <c r="F231" s="39" t="s">
        <v>1652</v>
      </c>
      <c r="G231" s="21" t="s">
        <v>343</v>
      </c>
      <c r="H231" s="15">
        <v>23</v>
      </c>
      <c r="I231" s="15">
        <v>12</v>
      </c>
      <c r="J231" s="15">
        <v>38</v>
      </c>
      <c r="K231" s="15">
        <v>32</v>
      </c>
      <c r="L231" s="220">
        <f t="shared" si="11"/>
        <v>105</v>
      </c>
    </row>
    <row r="232" spans="1:12" x14ac:dyDescent="0.35">
      <c r="A232" s="16"/>
      <c r="B232" s="17"/>
      <c r="C232" s="17"/>
      <c r="D232" s="17"/>
      <c r="E232" s="17"/>
      <c r="F232" s="17"/>
      <c r="G232" s="22" t="s">
        <v>2</v>
      </c>
      <c r="H232" s="19">
        <f t="shared" ref="H232:K232" si="12">SUM(H221:H231)</f>
        <v>107</v>
      </c>
      <c r="I232" s="19">
        <f t="shared" si="12"/>
        <v>111</v>
      </c>
      <c r="J232" s="19">
        <f t="shared" si="12"/>
        <v>393</v>
      </c>
      <c r="K232" s="19">
        <f t="shared" si="12"/>
        <v>418</v>
      </c>
      <c r="L232" s="225">
        <f t="shared" si="11"/>
        <v>1029</v>
      </c>
    </row>
    <row r="233" spans="1:12" x14ac:dyDescent="0.35">
      <c r="A233" s="23"/>
      <c r="B233" s="24"/>
      <c r="C233" s="24"/>
      <c r="D233" s="24"/>
      <c r="E233" s="24"/>
      <c r="F233" s="24"/>
      <c r="G233" s="186" t="s">
        <v>2637</v>
      </c>
      <c r="H233" s="187">
        <f>SUM(H29+H37+H46+H74+H81+H91+H146+H159+H197+H232)</f>
        <v>2274</v>
      </c>
      <c r="I233" s="187">
        <f>SUM(I29+I37+I46+I74+I81+I91+I146+I159+I197+I232)</f>
        <v>2471</v>
      </c>
      <c r="J233" s="187">
        <f>SUM(J29+J37+J46+J74+J81+J91+J146+J159+J197+J232)</f>
        <v>8133</v>
      </c>
      <c r="K233" s="187">
        <f>SUM(K29+K37+K46+K74+K81+K91+K146+K159+K197+K232)</f>
        <v>8513</v>
      </c>
      <c r="L233" s="225">
        <f t="shared" si="11"/>
        <v>21391</v>
      </c>
    </row>
  </sheetData>
  <mergeCells count="31">
    <mergeCell ref="B30:B36"/>
    <mergeCell ref="A38:A45"/>
    <mergeCell ref="B38:B45"/>
    <mergeCell ref="A198:A231"/>
    <mergeCell ref="B198:B231"/>
    <mergeCell ref="A92:A145"/>
    <mergeCell ref="B92:B145"/>
    <mergeCell ref="A147:A158"/>
    <mergeCell ref="B147:B158"/>
    <mergeCell ref="A160:A196"/>
    <mergeCell ref="B160:B196"/>
    <mergeCell ref="A75:A80"/>
    <mergeCell ref="B75:B80"/>
    <mergeCell ref="A82:A90"/>
    <mergeCell ref="B82:B90"/>
    <mergeCell ref="A2:A4"/>
    <mergeCell ref="B2:B4"/>
    <mergeCell ref="B1:K1"/>
    <mergeCell ref="B47:B73"/>
    <mergeCell ref="A47:A73"/>
    <mergeCell ref="G2:G4"/>
    <mergeCell ref="H2:K2"/>
    <mergeCell ref="H3:I3"/>
    <mergeCell ref="J3:K3"/>
    <mergeCell ref="C2:C4"/>
    <mergeCell ref="D2:D4"/>
    <mergeCell ref="E2:E4"/>
    <mergeCell ref="F2:F4"/>
    <mergeCell ref="A5:A28"/>
    <mergeCell ref="B5:B28"/>
    <mergeCell ref="A30:A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2107-4978-4267-86A1-748F8354C00A}">
  <dimension ref="A1:L466"/>
  <sheetViews>
    <sheetView zoomScale="80" zoomScaleNormal="80" workbookViewId="0">
      <selection activeCell="L3" sqref="L3:L4"/>
    </sheetView>
  </sheetViews>
  <sheetFormatPr defaultColWidth="9.453125" defaultRowHeight="14.5" x14ac:dyDescent="0.35"/>
  <cols>
    <col min="1" max="1" width="4.1796875" style="3" bestFit="1" customWidth="1"/>
    <col min="2" max="2" width="25.26953125" style="3" bestFit="1" customWidth="1"/>
    <col min="3" max="3" width="9.7265625" style="3" bestFit="1" customWidth="1"/>
    <col min="4" max="4" width="14.81640625" style="3" bestFit="1" customWidth="1"/>
    <col min="5" max="5" width="20.54296875" style="3" bestFit="1" customWidth="1"/>
    <col min="6" max="6" width="18.1796875" style="3" bestFit="1" customWidth="1"/>
    <col min="7" max="7" width="18.54296875" style="3" bestFit="1" customWidth="1"/>
    <col min="8" max="9" width="13.453125" style="3" bestFit="1" customWidth="1"/>
    <col min="10" max="11" width="13.26953125" style="3" bestFit="1" customWidth="1"/>
    <col min="12" max="12" width="11" style="3" customWidth="1"/>
    <col min="13" max="16384" width="9.453125" style="3"/>
  </cols>
  <sheetData>
    <row r="1" spans="1:12" ht="30.75" customHeight="1" x14ac:dyDescent="0.35">
      <c r="A1" s="279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</row>
    <row r="2" spans="1:12" x14ac:dyDescent="0.35">
      <c r="A2" s="264" t="s">
        <v>1872</v>
      </c>
      <c r="B2" s="284" t="s">
        <v>25</v>
      </c>
      <c r="C2" s="264" t="s">
        <v>1622</v>
      </c>
      <c r="D2" s="264" t="s">
        <v>1621</v>
      </c>
      <c r="E2" s="264" t="s">
        <v>1620</v>
      </c>
      <c r="F2" s="264" t="s">
        <v>1619</v>
      </c>
      <c r="G2" s="281" t="s">
        <v>344</v>
      </c>
      <c r="H2" s="240" t="s">
        <v>694</v>
      </c>
      <c r="I2" s="240"/>
      <c r="J2" s="240"/>
      <c r="K2" s="240"/>
    </row>
    <row r="3" spans="1:12" x14ac:dyDescent="0.35">
      <c r="A3" s="265"/>
      <c r="B3" s="285"/>
      <c r="C3" s="265"/>
      <c r="D3" s="265"/>
      <c r="E3" s="265"/>
      <c r="F3" s="265"/>
      <c r="G3" s="282"/>
      <c r="H3" s="258" t="s">
        <v>13</v>
      </c>
      <c r="I3" s="257"/>
      <c r="J3" s="259" t="s">
        <v>131</v>
      </c>
      <c r="K3" s="260"/>
      <c r="L3" s="288" t="s">
        <v>2</v>
      </c>
    </row>
    <row r="4" spans="1:12" ht="29.15" customHeight="1" x14ac:dyDescent="0.35">
      <c r="A4" s="266"/>
      <c r="B4" s="286"/>
      <c r="C4" s="266"/>
      <c r="D4" s="266"/>
      <c r="E4" s="266"/>
      <c r="F4" s="266"/>
      <c r="G4" s="283"/>
      <c r="H4" s="47" t="s">
        <v>3</v>
      </c>
      <c r="I4" s="47" t="s">
        <v>4</v>
      </c>
      <c r="J4" s="48" t="s">
        <v>3</v>
      </c>
      <c r="K4" s="48" t="s">
        <v>4</v>
      </c>
      <c r="L4" s="289"/>
    </row>
    <row r="5" spans="1:12" x14ac:dyDescent="0.35">
      <c r="A5" s="280">
        <v>1</v>
      </c>
      <c r="B5" s="280" t="s">
        <v>1873</v>
      </c>
      <c r="C5" s="34" t="s">
        <v>1623</v>
      </c>
      <c r="D5" s="34" t="s">
        <v>1674</v>
      </c>
      <c r="E5" s="34" t="s">
        <v>1676</v>
      </c>
      <c r="F5" s="34" t="s">
        <v>1675</v>
      </c>
      <c r="G5" s="34" t="s">
        <v>695</v>
      </c>
      <c r="H5" s="34">
        <v>10</v>
      </c>
      <c r="I5" s="34">
        <v>15</v>
      </c>
      <c r="J5" s="34">
        <v>17</v>
      </c>
      <c r="K5" s="34">
        <v>18</v>
      </c>
      <c r="L5" s="220">
        <f>H5+I5+J5+K5</f>
        <v>60</v>
      </c>
    </row>
    <row r="6" spans="1:12" x14ac:dyDescent="0.35">
      <c r="A6" s="280"/>
      <c r="B6" s="280"/>
      <c r="C6" s="34" t="s">
        <v>1623</v>
      </c>
      <c r="D6" s="34" t="s">
        <v>1674</v>
      </c>
      <c r="E6" s="32" t="s">
        <v>1676</v>
      </c>
      <c r="F6" s="32" t="s">
        <v>1677</v>
      </c>
      <c r="G6" s="33" t="s">
        <v>696</v>
      </c>
      <c r="H6" s="34">
        <v>11</v>
      </c>
      <c r="I6" s="34">
        <v>13</v>
      </c>
      <c r="J6" s="34">
        <v>43</v>
      </c>
      <c r="K6" s="34">
        <v>41</v>
      </c>
      <c r="L6" s="220">
        <f t="shared" ref="L6:L69" si="0">H6+I6+J6+K6</f>
        <v>108</v>
      </c>
    </row>
    <row r="7" spans="1:12" x14ac:dyDescent="0.35">
      <c r="A7" s="280"/>
      <c r="B7" s="280"/>
      <c r="C7" s="34" t="s">
        <v>1623</v>
      </c>
      <c r="D7" s="34" t="s">
        <v>1674</v>
      </c>
      <c r="E7" s="32" t="s">
        <v>1676</v>
      </c>
      <c r="F7" s="32" t="s">
        <v>1677</v>
      </c>
      <c r="G7" s="33" t="s">
        <v>697</v>
      </c>
      <c r="H7" s="34">
        <v>8</v>
      </c>
      <c r="I7" s="34">
        <v>9</v>
      </c>
      <c r="J7" s="34">
        <v>28</v>
      </c>
      <c r="K7" s="34">
        <v>30</v>
      </c>
      <c r="L7" s="220">
        <f t="shared" si="0"/>
        <v>75</v>
      </c>
    </row>
    <row r="8" spans="1:12" x14ac:dyDescent="0.35">
      <c r="A8" s="280"/>
      <c r="B8" s="280"/>
      <c r="C8" s="34" t="s">
        <v>1623</v>
      </c>
      <c r="D8" s="34" t="s">
        <v>1674</v>
      </c>
      <c r="E8" s="32" t="s">
        <v>1676</v>
      </c>
      <c r="F8" s="32" t="s">
        <v>1675</v>
      </c>
      <c r="G8" s="33" t="s">
        <v>698</v>
      </c>
      <c r="H8" s="34">
        <v>7</v>
      </c>
      <c r="I8" s="34">
        <v>6</v>
      </c>
      <c r="J8" s="34">
        <v>18</v>
      </c>
      <c r="K8" s="34">
        <v>22</v>
      </c>
      <c r="L8" s="220">
        <f t="shared" si="0"/>
        <v>53</v>
      </c>
    </row>
    <row r="9" spans="1:12" x14ac:dyDescent="0.35">
      <c r="A9" s="280"/>
      <c r="B9" s="280"/>
      <c r="C9" s="34" t="s">
        <v>1623</v>
      </c>
      <c r="D9" s="34" t="s">
        <v>1674</v>
      </c>
      <c r="E9" s="32" t="s">
        <v>1676</v>
      </c>
      <c r="F9" s="32" t="s">
        <v>1675</v>
      </c>
      <c r="G9" s="33" t="s">
        <v>699</v>
      </c>
      <c r="H9" s="34">
        <v>15</v>
      </c>
      <c r="I9" s="34">
        <v>7</v>
      </c>
      <c r="J9" s="34">
        <v>20</v>
      </c>
      <c r="K9" s="34">
        <v>20</v>
      </c>
      <c r="L9" s="220">
        <f t="shared" si="0"/>
        <v>62</v>
      </c>
    </row>
    <row r="10" spans="1:12" x14ac:dyDescent="0.35">
      <c r="A10" s="280"/>
      <c r="B10" s="280"/>
      <c r="C10" s="34" t="s">
        <v>1623</v>
      </c>
      <c r="D10" s="34" t="s">
        <v>1674</v>
      </c>
      <c r="E10" s="32" t="s">
        <v>1676</v>
      </c>
      <c r="F10" s="32" t="s">
        <v>1675</v>
      </c>
      <c r="G10" s="33" t="s">
        <v>700</v>
      </c>
      <c r="H10" s="34">
        <v>6</v>
      </c>
      <c r="I10" s="34">
        <v>8</v>
      </c>
      <c r="J10" s="34">
        <v>20</v>
      </c>
      <c r="K10" s="34">
        <v>25</v>
      </c>
      <c r="L10" s="220">
        <f t="shared" si="0"/>
        <v>59</v>
      </c>
    </row>
    <row r="11" spans="1:12" x14ac:dyDescent="0.35">
      <c r="A11" s="280"/>
      <c r="B11" s="280"/>
      <c r="C11" s="34" t="s">
        <v>1623</v>
      </c>
      <c r="D11" s="34" t="s">
        <v>1674</v>
      </c>
      <c r="E11" s="32" t="s">
        <v>1676</v>
      </c>
      <c r="F11" s="32" t="s">
        <v>1675</v>
      </c>
      <c r="G11" s="33" t="s">
        <v>701</v>
      </c>
      <c r="H11" s="34">
        <v>14</v>
      </c>
      <c r="I11" s="34">
        <v>20</v>
      </c>
      <c r="J11" s="34">
        <v>40</v>
      </c>
      <c r="K11" s="34">
        <v>30</v>
      </c>
      <c r="L11" s="220">
        <f t="shared" si="0"/>
        <v>104</v>
      </c>
    </row>
    <row r="12" spans="1:12" x14ac:dyDescent="0.35">
      <c r="A12" s="280"/>
      <c r="B12" s="280"/>
      <c r="C12" s="34" t="s">
        <v>1623</v>
      </c>
      <c r="D12" s="34" t="s">
        <v>1674</v>
      </c>
      <c r="E12" s="32" t="s">
        <v>1676</v>
      </c>
      <c r="F12" s="32" t="s">
        <v>1675</v>
      </c>
      <c r="G12" s="33" t="s">
        <v>702</v>
      </c>
      <c r="H12" s="34">
        <v>15</v>
      </c>
      <c r="I12" s="34">
        <v>15</v>
      </c>
      <c r="J12" s="34">
        <v>27</v>
      </c>
      <c r="K12" s="34">
        <v>20</v>
      </c>
      <c r="L12" s="220">
        <f t="shared" si="0"/>
        <v>77</v>
      </c>
    </row>
    <row r="13" spans="1:12" x14ac:dyDescent="0.35">
      <c r="A13" s="280"/>
      <c r="B13" s="280"/>
      <c r="C13" s="34" t="s">
        <v>1623</v>
      </c>
      <c r="D13" s="34" t="s">
        <v>1674</v>
      </c>
      <c r="E13" s="32" t="s">
        <v>1676</v>
      </c>
      <c r="F13" s="32" t="s">
        <v>1675</v>
      </c>
      <c r="G13" s="33" t="s">
        <v>703</v>
      </c>
      <c r="H13" s="34">
        <v>5</v>
      </c>
      <c r="I13" s="34">
        <v>5</v>
      </c>
      <c r="J13" s="34">
        <v>15</v>
      </c>
      <c r="K13" s="34">
        <v>15</v>
      </c>
      <c r="L13" s="220">
        <f t="shared" si="0"/>
        <v>40</v>
      </c>
    </row>
    <row r="14" spans="1:12" x14ac:dyDescent="0.35">
      <c r="A14" s="280"/>
      <c r="B14" s="280"/>
      <c r="C14" s="34" t="s">
        <v>1623</v>
      </c>
      <c r="D14" s="34" t="s">
        <v>1674</v>
      </c>
      <c r="E14" s="32" t="s">
        <v>1676</v>
      </c>
      <c r="F14" s="32" t="s">
        <v>1677</v>
      </c>
      <c r="G14" s="33" t="s">
        <v>704</v>
      </c>
      <c r="H14" s="34">
        <v>20</v>
      </c>
      <c r="I14" s="34">
        <v>6</v>
      </c>
      <c r="J14" s="34">
        <v>20</v>
      </c>
      <c r="K14" s="34">
        <v>18</v>
      </c>
      <c r="L14" s="220">
        <f t="shared" si="0"/>
        <v>64</v>
      </c>
    </row>
    <row r="15" spans="1:12" x14ac:dyDescent="0.35">
      <c r="A15" s="280"/>
      <c r="B15" s="280"/>
      <c r="C15" s="34" t="s">
        <v>1623</v>
      </c>
      <c r="D15" s="34" t="s">
        <v>1674</v>
      </c>
      <c r="E15" s="32" t="s">
        <v>1676</v>
      </c>
      <c r="F15" s="32" t="s">
        <v>1675</v>
      </c>
      <c r="G15" s="33" t="s">
        <v>705</v>
      </c>
      <c r="H15" s="34">
        <v>10</v>
      </c>
      <c r="I15" s="34">
        <v>7</v>
      </c>
      <c r="J15" s="34">
        <v>10</v>
      </c>
      <c r="K15" s="34">
        <v>15</v>
      </c>
      <c r="L15" s="220">
        <f t="shared" si="0"/>
        <v>42</v>
      </c>
    </row>
    <row r="16" spans="1:12" x14ac:dyDescent="0.35">
      <c r="A16" s="280"/>
      <c r="B16" s="280"/>
      <c r="C16" s="34" t="s">
        <v>1623</v>
      </c>
      <c r="D16" s="34" t="s">
        <v>1674</v>
      </c>
      <c r="E16" s="32" t="s">
        <v>1676</v>
      </c>
      <c r="F16" s="32" t="s">
        <v>1675</v>
      </c>
      <c r="G16" s="33" t="s">
        <v>706</v>
      </c>
      <c r="H16" s="34">
        <v>18</v>
      </c>
      <c r="I16" s="34">
        <v>12</v>
      </c>
      <c r="J16" s="34">
        <v>39</v>
      </c>
      <c r="K16" s="34">
        <v>45</v>
      </c>
      <c r="L16" s="220">
        <f t="shared" si="0"/>
        <v>114</v>
      </c>
    </row>
    <row r="17" spans="1:12" x14ac:dyDescent="0.35">
      <c r="A17" s="280"/>
      <c r="B17" s="280"/>
      <c r="C17" s="34" t="s">
        <v>1623</v>
      </c>
      <c r="D17" s="34" t="s">
        <v>1674</v>
      </c>
      <c r="E17" s="32" t="s">
        <v>1676</v>
      </c>
      <c r="F17" s="32" t="s">
        <v>1675</v>
      </c>
      <c r="G17" s="33" t="s">
        <v>707</v>
      </c>
      <c r="H17" s="34">
        <v>8</v>
      </c>
      <c r="I17" s="34">
        <v>6</v>
      </c>
      <c r="J17" s="34">
        <v>36</v>
      </c>
      <c r="K17" s="34">
        <v>40</v>
      </c>
      <c r="L17" s="220">
        <f t="shared" si="0"/>
        <v>90</v>
      </c>
    </row>
    <row r="18" spans="1:12" x14ac:dyDescent="0.35">
      <c r="A18" s="280"/>
      <c r="B18" s="280"/>
      <c r="C18" s="34" t="s">
        <v>1623</v>
      </c>
      <c r="D18" s="34" t="s">
        <v>1674</v>
      </c>
      <c r="E18" s="32" t="s">
        <v>1676</v>
      </c>
      <c r="F18" s="32" t="s">
        <v>1675</v>
      </c>
      <c r="G18" s="33" t="s">
        <v>708</v>
      </c>
      <c r="H18" s="34">
        <v>30</v>
      </c>
      <c r="I18" s="34">
        <v>25</v>
      </c>
      <c r="J18" s="34">
        <v>60</v>
      </c>
      <c r="K18" s="34">
        <v>54</v>
      </c>
      <c r="L18" s="220">
        <f t="shared" si="0"/>
        <v>169</v>
      </c>
    </row>
    <row r="19" spans="1:12" x14ac:dyDescent="0.35">
      <c r="A19" s="280"/>
      <c r="B19" s="280"/>
      <c r="C19" s="34" t="s">
        <v>1623</v>
      </c>
      <c r="D19" s="34" t="s">
        <v>1674</v>
      </c>
      <c r="E19" s="32" t="s">
        <v>1676</v>
      </c>
      <c r="F19" s="32" t="s">
        <v>1676</v>
      </c>
      <c r="G19" s="33" t="s">
        <v>709</v>
      </c>
      <c r="H19" s="34">
        <v>5</v>
      </c>
      <c r="I19" s="34">
        <v>5</v>
      </c>
      <c r="J19" s="34">
        <v>30</v>
      </c>
      <c r="K19" s="34">
        <v>22</v>
      </c>
      <c r="L19" s="220">
        <f t="shared" si="0"/>
        <v>62</v>
      </c>
    </row>
    <row r="20" spans="1:12" x14ac:dyDescent="0.35">
      <c r="A20" s="280"/>
      <c r="B20" s="280"/>
      <c r="C20" s="34" t="s">
        <v>1623</v>
      </c>
      <c r="D20" s="34" t="s">
        <v>1674</v>
      </c>
      <c r="E20" s="32" t="s">
        <v>1676</v>
      </c>
      <c r="F20" s="32" t="s">
        <v>1675</v>
      </c>
      <c r="G20" s="33" t="s">
        <v>710</v>
      </c>
      <c r="H20" s="34">
        <v>15</v>
      </c>
      <c r="I20" s="34">
        <v>15</v>
      </c>
      <c r="J20" s="34">
        <v>20</v>
      </c>
      <c r="K20" s="34">
        <v>30</v>
      </c>
      <c r="L20" s="220">
        <f t="shared" si="0"/>
        <v>80</v>
      </c>
    </row>
    <row r="21" spans="1:12" x14ac:dyDescent="0.35">
      <c r="A21" s="280"/>
      <c r="B21" s="280"/>
      <c r="C21" s="34" t="s">
        <v>1623</v>
      </c>
      <c r="D21" s="34" t="s">
        <v>1674</v>
      </c>
      <c r="E21" s="32" t="s">
        <v>1676</v>
      </c>
      <c r="F21" s="32" t="s">
        <v>1675</v>
      </c>
      <c r="G21" s="33" t="s">
        <v>711</v>
      </c>
      <c r="H21" s="34">
        <v>10</v>
      </c>
      <c r="I21" s="34">
        <v>12</v>
      </c>
      <c r="J21" s="34">
        <v>35</v>
      </c>
      <c r="K21" s="34">
        <v>35</v>
      </c>
      <c r="L21" s="220">
        <f t="shared" si="0"/>
        <v>92</v>
      </c>
    </row>
    <row r="22" spans="1:12" x14ac:dyDescent="0.35">
      <c r="A22" s="280"/>
      <c r="B22" s="280"/>
      <c r="C22" s="34" t="s">
        <v>1623</v>
      </c>
      <c r="D22" s="34" t="s">
        <v>1674</v>
      </c>
      <c r="E22" s="32" t="s">
        <v>1676</v>
      </c>
      <c r="F22" s="32" t="s">
        <v>1675</v>
      </c>
      <c r="G22" s="33" t="s">
        <v>712</v>
      </c>
      <c r="H22" s="34">
        <v>15</v>
      </c>
      <c r="I22" s="34">
        <v>15</v>
      </c>
      <c r="J22" s="34">
        <v>50</v>
      </c>
      <c r="K22" s="34">
        <v>36</v>
      </c>
      <c r="L22" s="220">
        <f t="shared" si="0"/>
        <v>116</v>
      </c>
    </row>
    <row r="23" spans="1:12" x14ac:dyDescent="0.35">
      <c r="A23" s="280"/>
      <c r="B23" s="280"/>
      <c r="C23" s="34" t="s">
        <v>1623</v>
      </c>
      <c r="D23" s="34" t="s">
        <v>1674</v>
      </c>
      <c r="E23" s="32" t="s">
        <v>1676</v>
      </c>
      <c r="F23" s="32" t="s">
        <v>1676</v>
      </c>
      <c r="G23" s="33" t="s">
        <v>713</v>
      </c>
      <c r="H23" s="34">
        <v>7</v>
      </c>
      <c r="I23" s="34">
        <v>8</v>
      </c>
      <c r="J23" s="34">
        <v>20</v>
      </c>
      <c r="K23" s="34">
        <v>20</v>
      </c>
      <c r="L23" s="220">
        <f t="shared" si="0"/>
        <v>55</v>
      </c>
    </row>
    <row r="24" spans="1:12" x14ac:dyDescent="0.35">
      <c r="A24" s="280"/>
      <c r="B24" s="280"/>
      <c r="C24" s="34" t="s">
        <v>1623</v>
      </c>
      <c r="D24" s="34" t="s">
        <v>1674</v>
      </c>
      <c r="E24" s="32" t="s">
        <v>1676</v>
      </c>
      <c r="F24" s="32" t="s">
        <v>1675</v>
      </c>
      <c r="G24" s="33" t="s">
        <v>714</v>
      </c>
      <c r="H24" s="34">
        <v>14</v>
      </c>
      <c r="I24" s="34">
        <v>10</v>
      </c>
      <c r="J24" s="34">
        <v>40</v>
      </c>
      <c r="K24" s="34">
        <v>45</v>
      </c>
      <c r="L24" s="220">
        <f t="shared" si="0"/>
        <v>109</v>
      </c>
    </row>
    <row r="25" spans="1:12" x14ac:dyDescent="0.35">
      <c r="A25" s="280"/>
      <c r="B25" s="280"/>
      <c r="C25" s="34" t="s">
        <v>1623</v>
      </c>
      <c r="D25" s="34" t="s">
        <v>1674</v>
      </c>
      <c r="E25" s="32" t="s">
        <v>1676</v>
      </c>
      <c r="F25" s="32" t="s">
        <v>1676</v>
      </c>
      <c r="G25" s="33" t="s">
        <v>715</v>
      </c>
      <c r="H25" s="34">
        <v>7</v>
      </c>
      <c r="I25" s="34">
        <v>7</v>
      </c>
      <c r="J25" s="34">
        <v>9</v>
      </c>
      <c r="K25" s="34">
        <v>11</v>
      </c>
      <c r="L25" s="220">
        <f t="shared" si="0"/>
        <v>34</v>
      </c>
    </row>
    <row r="26" spans="1:12" x14ac:dyDescent="0.35">
      <c r="A26" s="280"/>
      <c r="B26" s="280"/>
      <c r="C26" s="34" t="s">
        <v>1623</v>
      </c>
      <c r="D26" s="34" t="s">
        <v>1674</v>
      </c>
      <c r="E26" s="32" t="s">
        <v>1676</v>
      </c>
      <c r="F26" s="32" t="s">
        <v>1676</v>
      </c>
      <c r="G26" s="33" t="s">
        <v>716</v>
      </c>
      <c r="H26" s="34">
        <v>8</v>
      </c>
      <c r="I26" s="34">
        <v>8</v>
      </c>
      <c r="J26" s="34">
        <v>22</v>
      </c>
      <c r="K26" s="34">
        <v>20</v>
      </c>
      <c r="L26" s="220">
        <f t="shared" si="0"/>
        <v>58</v>
      </c>
    </row>
    <row r="27" spans="1:12" x14ac:dyDescent="0.35">
      <c r="A27" s="280"/>
      <c r="B27" s="280"/>
      <c r="C27" s="34" t="s">
        <v>1623</v>
      </c>
      <c r="D27" s="34" t="s">
        <v>1674</v>
      </c>
      <c r="E27" s="32" t="s">
        <v>1676</v>
      </c>
      <c r="F27" s="32" t="s">
        <v>1678</v>
      </c>
      <c r="G27" s="33" t="s">
        <v>717</v>
      </c>
      <c r="H27" s="34">
        <v>13</v>
      </c>
      <c r="I27" s="34">
        <v>15</v>
      </c>
      <c r="J27" s="34">
        <v>23</v>
      </c>
      <c r="K27" s="34">
        <v>22</v>
      </c>
      <c r="L27" s="220">
        <f t="shared" si="0"/>
        <v>73</v>
      </c>
    </row>
    <row r="28" spans="1:12" x14ac:dyDescent="0.35">
      <c r="A28" s="280"/>
      <c r="B28" s="280"/>
      <c r="C28" s="34" t="s">
        <v>1623</v>
      </c>
      <c r="D28" s="34" t="s">
        <v>1674</v>
      </c>
      <c r="E28" s="32" t="s">
        <v>1676</v>
      </c>
      <c r="F28" s="32" t="s">
        <v>1676</v>
      </c>
      <c r="G28" s="33" t="s">
        <v>718</v>
      </c>
      <c r="H28" s="34">
        <v>5</v>
      </c>
      <c r="I28" s="34">
        <v>5</v>
      </c>
      <c r="J28" s="34">
        <v>9</v>
      </c>
      <c r="K28" s="34">
        <v>9</v>
      </c>
      <c r="L28" s="220">
        <f t="shared" si="0"/>
        <v>28</v>
      </c>
    </row>
    <row r="29" spans="1:12" x14ac:dyDescent="0.35">
      <c r="A29" s="280"/>
      <c r="B29" s="280"/>
      <c r="C29" s="34" t="s">
        <v>1623</v>
      </c>
      <c r="D29" s="34" t="s">
        <v>1674</v>
      </c>
      <c r="E29" s="32" t="s">
        <v>1676</v>
      </c>
      <c r="F29" s="32" t="s">
        <v>1676</v>
      </c>
      <c r="G29" s="33" t="s">
        <v>719</v>
      </c>
      <c r="H29" s="34">
        <v>12</v>
      </c>
      <c r="I29" s="34">
        <v>12</v>
      </c>
      <c r="J29" s="34">
        <v>42</v>
      </c>
      <c r="K29" s="34">
        <v>42</v>
      </c>
      <c r="L29" s="220">
        <f t="shared" si="0"/>
        <v>108</v>
      </c>
    </row>
    <row r="30" spans="1:12" x14ac:dyDescent="0.35">
      <c r="A30" s="280"/>
      <c r="B30" s="280"/>
      <c r="C30" s="34" t="s">
        <v>1623</v>
      </c>
      <c r="D30" s="34" t="s">
        <v>1674</v>
      </c>
      <c r="E30" s="32" t="s">
        <v>1676</v>
      </c>
      <c r="F30" s="32" t="s">
        <v>1675</v>
      </c>
      <c r="G30" s="33" t="s">
        <v>720</v>
      </c>
      <c r="H30" s="34">
        <v>10</v>
      </c>
      <c r="I30" s="34">
        <v>8</v>
      </c>
      <c r="J30" s="34">
        <v>38</v>
      </c>
      <c r="K30" s="34">
        <v>32</v>
      </c>
      <c r="L30" s="220">
        <f t="shared" si="0"/>
        <v>88</v>
      </c>
    </row>
    <row r="31" spans="1:12" x14ac:dyDescent="0.35">
      <c r="A31" s="280"/>
      <c r="B31" s="280"/>
      <c r="C31" s="34" t="s">
        <v>1623</v>
      </c>
      <c r="D31" s="34" t="s">
        <v>1674</v>
      </c>
      <c r="E31" s="32" t="s">
        <v>1676</v>
      </c>
      <c r="F31" s="32" t="s">
        <v>1678</v>
      </c>
      <c r="G31" s="33" t="s">
        <v>721</v>
      </c>
      <c r="H31" s="34">
        <v>10</v>
      </c>
      <c r="I31" s="34">
        <v>5</v>
      </c>
      <c r="J31" s="34">
        <v>10</v>
      </c>
      <c r="K31" s="34">
        <v>10</v>
      </c>
      <c r="L31" s="220">
        <f t="shared" si="0"/>
        <v>35</v>
      </c>
    </row>
    <row r="32" spans="1:12" x14ac:dyDescent="0.35">
      <c r="A32" s="280"/>
      <c r="B32" s="280"/>
      <c r="C32" s="34" t="s">
        <v>1623</v>
      </c>
      <c r="D32" s="34" t="s">
        <v>1674</v>
      </c>
      <c r="E32" s="32" t="s">
        <v>1676</v>
      </c>
      <c r="F32" s="32" t="s">
        <v>1675</v>
      </c>
      <c r="G32" s="33" t="s">
        <v>722</v>
      </c>
      <c r="H32" s="34">
        <v>13</v>
      </c>
      <c r="I32" s="34">
        <v>9</v>
      </c>
      <c r="J32" s="34">
        <v>18</v>
      </c>
      <c r="K32" s="34">
        <v>20</v>
      </c>
      <c r="L32" s="220">
        <f t="shared" si="0"/>
        <v>60</v>
      </c>
    </row>
    <row r="33" spans="1:12" x14ac:dyDescent="0.35">
      <c r="A33" s="280"/>
      <c r="B33" s="280"/>
      <c r="C33" s="34" t="s">
        <v>1623</v>
      </c>
      <c r="D33" s="34" t="s">
        <v>1674</v>
      </c>
      <c r="E33" s="32" t="s">
        <v>1676</v>
      </c>
      <c r="F33" s="32" t="s">
        <v>1676</v>
      </c>
      <c r="G33" s="33" t="s">
        <v>723</v>
      </c>
      <c r="H33" s="34">
        <v>10</v>
      </c>
      <c r="I33" s="34">
        <v>9</v>
      </c>
      <c r="J33" s="34">
        <v>28</v>
      </c>
      <c r="K33" s="34">
        <v>27</v>
      </c>
      <c r="L33" s="220">
        <f t="shared" si="0"/>
        <v>74</v>
      </c>
    </row>
    <row r="34" spans="1:12" x14ac:dyDescent="0.35">
      <c r="A34" s="280"/>
      <c r="B34" s="280"/>
      <c r="C34" s="34" t="s">
        <v>1623</v>
      </c>
      <c r="D34" s="34" t="s">
        <v>1674</v>
      </c>
      <c r="E34" s="32" t="s">
        <v>1676</v>
      </c>
      <c r="F34" s="32" t="s">
        <v>1675</v>
      </c>
      <c r="G34" s="33" t="s">
        <v>724</v>
      </c>
      <c r="H34" s="34">
        <v>8</v>
      </c>
      <c r="I34" s="34">
        <v>10</v>
      </c>
      <c r="J34" s="34">
        <v>16</v>
      </c>
      <c r="K34" s="34">
        <v>25</v>
      </c>
      <c r="L34" s="220">
        <f t="shared" si="0"/>
        <v>59</v>
      </c>
    </row>
    <row r="35" spans="1:12" x14ac:dyDescent="0.35">
      <c r="A35" s="280"/>
      <c r="B35" s="280"/>
      <c r="C35" s="34" t="s">
        <v>1623</v>
      </c>
      <c r="D35" s="34" t="s">
        <v>1674</v>
      </c>
      <c r="E35" s="32" t="s">
        <v>1676</v>
      </c>
      <c r="F35" s="32" t="s">
        <v>1675</v>
      </c>
      <c r="G35" s="33" t="s">
        <v>725</v>
      </c>
      <c r="H35" s="34">
        <v>7</v>
      </c>
      <c r="I35" s="34">
        <v>5</v>
      </c>
      <c r="J35" s="34">
        <v>15</v>
      </c>
      <c r="K35" s="34">
        <v>20</v>
      </c>
      <c r="L35" s="220">
        <f t="shared" si="0"/>
        <v>47</v>
      </c>
    </row>
    <row r="36" spans="1:12" x14ac:dyDescent="0.35">
      <c r="A36" s="280"/>
      <c r="B36" s="280"/>
      <c r="C36" s="34" t="s">
        <v>1623</v>
      </c>
      <c r="D36" s="34" t="s">
        <v>1674</v>
      </c>
      <c r="E36" s="32" t="s">
        <v>1676</v>
      </c>
      <c r="F36" s="32" t="s">
        <v>1675</v>
      </c>
      <c r="G36" s="33" t="s">
        <v>726</v>
      </c>
      <c r="H36" s="34">
        <v>25</v>
      </c>
      <c r="I36" s="34">
        <v>25</v>
      </c>
      <c r="J36" s="34">
        <v>37</v>
      </c>
      <c r="K36" s="34">
        <v>33</v>
      </c>
      <c r="L36" s="220">
        <f t="shared" si="0"/>
        <v>120</v>
      </c>
    </row>
    <row r="37" spans="1:12" x14ac:dyDescent="0.35">
      <c r="A37" s="280"/>
      <c r="B37" s="280"/>
      <c r="C37" s="34" t="s">
        <v>1623</v>
      </c>
      <c r="D37" s="34" t="s">
        <v>1674</v>
      </c>
      <c r="E37" s="32" t="s">
        <v>1676</v>
      </c>
      <c r="F37" s="32" t="s">
        <v>1676</v>
      </c>
      <c r="G37" s="33" t="s">
        <v>727</v>
      </c>
      <c r="H37" s="34">
        <v>4</v>
      </c>
      <c r="I37" s="34">
        <v>8</v>
      </c>
      <c r="J37" s="34">
        <v>15</v>
      </c>
      <c r="K37" s="34">
        <v>11</v>
      </c>
      <c r="L37" s="220">
        <f t="shared" si="0"/>
        <v>38</v>
      </c>
    </row>
    <row r="38" spans="1:12" x14ac:dyDescent="0.35">
      <c r="A38" s="280"/>
      <c r="B38" s="280"/>
      <c r="C38" s="34" t="s">
        <v>1623</v>
      </c>
      <c r="D38" s="34" t="s">
        <v>1674</v>
      </c>
      <c r="E38" s="32" t="s">
        <v>1676</v>
      </c>
      <c r="F38" s="32" t="s">
        <v>1675</v>
      </c>
      <c r="G38" s="33" t="s">
        <v>728</v>
      </c>
      <c r="H38" s="34">
        <v>9</v>
      </c>
      <c r="I38" s="34">
        <v>9</v>
      </c>
      <c r="J38" s="34">
        <v>11</v>
      </c>
      <c r="K38" s="34">
        <v>15</v>
      </c>
      <c r="L38" s="220">
        <f t="shared" si="0"/>
        <v>44</v>
      </c>
    </row>
    <row r="39" spans="1:12" x14ac:dyDescent="0.35">
      <c r="A39" s="280"/>
      <c r="B39" s="280"/>
      <c r="C39" s="34" t="s">
        <v>1623</v>
      </c>
      <c r="D39" s="34" t="s">
        <v>1674</v>
      </c>
      <c r="E39" s="32" t="s">
        <v>1676</v>
      </c>
      <c r="F39" s="32" t="s">
        <v>1675</v>
      </c>
      <c r="G39" s="33" t="s">
        <v>729</v>
      </c>
      <c r="H39" s="34">
        <v>8</v>
      </c>
      <c r="I39" s="34">
        <v>11</v>
      </c>
      <c r="J39" s="34">
        <v>30</v>
      </c>
      <c r="K39" s="34">
        <v>20</v>
      </c>
      <c r="L39" s="220">
        <f t="shared" si="0"/>
        <v>69</v>
      </c>
    </row>
    <row r="40" spans="1:12" x14ac:dyDescent="0.35">
      <c r="A40" s="52"/>
      <c r="B40" s="52"/>
      <c r="C40" s="52"/>
      <c r="D40" s="52"/>
      <c r="E40" s="52"/>
      <c r="F40" s="52"/>
      <c r="G40" s="52" t="s">
        <v>2</v>
      </c>
      <c r="H40" s="53">
        <f t="shared" ref="H40:K40" si="1">SUM(H5:H39)</f>
        <v>392</v>
      </c>
      <c r="I40" s="53">
        <f t="shared" si="1"/>
        <v>365</v>
      </c>
      <c r="J40" s="53">
        <f t="shared" si="1"/>
        <v>911</v>
      </c>
      <c r="K40" s="53">
        <f t="shared" si="1"/>
        <v>898</v>
      </c>
      <c r="L40" s="225">
        <f t="shared" si="0"/>
        <v>2566</v>
      </c>
    </row>
    <row r="41" spans="1:12" ht="15.75" customHeight="1" x14ac:dyDescent="0.35">
      <c r="A41" s="287">
        <v>2</v>
      </c>
      <c r="B41" s="287" t="s">
        <v>1875</v>
      </c>
      <c r="C41" s="34" t="s">
        <v>1623</v>
      </c>
      <c r="D41" s="32" t="s">
        <v>1674</v>
      </c>
      <c r="E41" s="32" t="s">
        <v>1680</v>
      </c>
      <c r="F41" s="32" t="s">
        <v>1679</v>
      </c>
      <c r="G41" s="33" t="s">
        <v>731</v>
      </c>
      <c r="H41" s="34">
        <v>8</v>
      </c>
      <c r="I41" s="34">
        <v>11</v>
      </c>
      <c r="J41" s="34">
        <v>46</v>
      </c>
      <c r="K41" s="34">
        <v>53</v>
      </c>
      <c r="L41" s="220">
        <f t="shared" si="0"/>
        <v>118</v>
      </c>
    </row>
    <row r="42" spans="1:12" x14ac:dyDescent="0.35">
      <c r="A42" s="287"/>
      <c r="B42" s="287"/>
      <c r="C42" s="34" t="s">
        <v>1623</v>
      </c>
      <c r="D42" s="32" t="s">
        <v>1674</v>
      </c>
      <c r="E42" s="32" t="s">
        <v>1680</v>
      </c>
      <c r="F42" s="32" t="s">
        <v>1679</v>
      </c>
      <c r="G42" s="33" t="s">
        <v>732</v>
      </c>
      <c r="H42" s="34">
        <v>11</v>
      </c>
      <c r="I42" s="34">
        <v>13</v>
      </c>
      <c r="J42" s="34">
        <v>25</v>
      </c>
      <c r="K42" s="34">
        <v>26</v>
      </c>
      <c r="L42" s="220">
        <f t="shared" si="0"/>
        <v>75</v>
      </c>
    </row>
    <row r="43" spans="1:12" x14ac:dyDescent="0.35">
      <c r="A43" s="287"/>
      <c r="B43" s="287"/>
      <c r="C43" s="34" t="s">
        <v>1623</v>
      </c>
      <c r="D43" s="32" t="s">
        <v>1674</v>
      </c>
      <c r="E43" s="32" t="s">
        <v>1680</v>
      </c>
      <c r="F43" s="32" t="s">
        <v>1680</v>
      </c>
      <c r="G43" s="33" t="s">
        <v>733</v>
      </c>
      <c r="H43" s="34">
        <v>4</v>
      </c>
      <c r="I43" s="34">
        <v>6</v>
      </c>
      <c r="J43" s="34">
        <v>23</v>
      </c>
      <c r="K43" s="34">
        <v>22</v>
      </c>
      <c r="L43" s="220">
        <f t="shared" si="0"/>
        <v>55</v>
      </c>
    </row>
    <row r="44" spans="1:12" x14ac:dyDescent="0.35">
      <c r="A44" s="287"/>
      <c r="B44" s="287"/>
      <c r="C44" s="34" t="s">
        <v>1623</v>
      </c>
      <c r="D44" s="32" t="s">
        <v>1674</v>
      </c>
      <c r="E44" s="32" t="s">
        <v>1680</v>
      </c>
      <c r="F44" s="32" t="s">
        <v>1680</v>
      </c>
      <c r="G44" s="33" t="s">
        <v>734</v>
      </c>
      <c r="H44" s="34">
        <v>5</v>
      </c>
      <c r="I44" s="34">
        <v>5</v>
      </c>
      <c r="J44" s="34">
        <v>28</v>
      </c>
      <c r="K44" s="34">
        <v>28</v>
      </c>
      <c r="L44" s="220">
        <f t="shared" si="0"/>
        <v>66</v>
      </c>
    </row>
    <row r="45" spans="1:12" x14ac:dyDescent="0.35">
      <c r="A45" s="287"/>
      <c r="B45" s="287"/>
      <c r="C45" s="34" t="s">
        <v>1623</v>
      </c>
      <c r="D45" s="32" t="s">
        <v>1674</v>
      </c>
      <c r="E45" s="32" t="s">
        <v>1680</v>
      </c>
      <c r="F45" s="32" t="s">
        <v>1679</v>
      </c>
      <c r="G45" s="33" t="s">
        <v>735</v>
      </c>
      <c r="H45" s="34">
        <v>6</v>
      </c>
      <c r="I45" s="34">
        <v>6</v>
      </c>
      <c r="J45" s="34">
        <v>32</v>
      </c>
      <c r="K45" s="34">
        <v>22</v>
      </c>
      <c r="L45" s="220">
        <f t="shared" si="0"/>
        <v>66</v>
      </c>
    </row>
    <row r="46" spans="1:12" x14ac:dyDescent="0.35">
      <c r="A46" s="287"/>
      <c r="B46" s="287"/>
      <c r="C46" s="34" t="s">
        <v>1623</v>
      </c>
      <c r="D46" s="32" t="s">
        <v>1674</v>
      </c>
      <c r="E46" s="32" t="s">
        <v>1680</v>
      </c>
      <c r="F46" s="32" t="s">
        <v>1681</v>
      </c>
      <c r="G46" s="33" t="s">
        <v>736</v>
      </c>
      <c r="H46" s="34">
        <v>4</v>
      </c>
      <c r="I46" s="34">
        <v>6</v>
      </c>
      <c r="J46" s="34">
        <v>25</v>
      </c>
      <c r="K46" s="34">
        <v>35</v>
      </c>
      <c r="L46" s="220">
        <f t="shared" si="0"/>
        <v>70</v>
      </c>
    </row>
    <row r="47" spans="1:12" x14ac:dyDescent="0.35">
      <c r="A47" s="287"/>
      <c r="B47" s="287"/>
      <c r="C47" s="34" t="s">
        <v>1623</v>
      </c>
      <c r="D47" s="32" t="s">
        <v>1674</v>
      </c>
      <c r="E47" s="32" t="s">
        <v>1680</v>
      </c>
      <c r="F47" s="32" t="s">
        <v>1681</v>
      </c>
      <c r="G47" s="33" t="s">
        <v>737</v>
      </c>
      <c r="H47" s="34">
        <v>10</v>
      </c>
      <c r="I47" s="34">
        <v>7</v>
      </c>
      <c r="J47" s="34">
        <v>22</v>
      </c>
      <c r="K47" s="34">
        <v>27</v>
      </c>
      <c r="L47" s="220">
        <f t="shared" si="0"/>
        <v>66</v>
      </c>
    </row>
    <row r="48" spans="1:12" x14ac:dyDescent="0.35">
      <c r="A48" s="287"/>
      <c r="B48" s="287"/>
      <c r="C48" s="34" t="s">
        <v>1623</v>
      </c>
      <c r="D48" s="32" t="s">
        <v>1674</v>
      </c>
      <c r="E48" s="32" t="s">
        <v>1680</v>
      </c>
      <c r="F48" s="32" t="s">
        <v>1681</v>
      </c>
      <c r="G48" s="33" t="s">
        <v>738</v>
      </c>
      <c r="H48" s="34">
        <v>4</v>
      </c>
      <c r="I48" s="34">
        <v>8</v>
      </c>
      <c r="J48" s="34">
        <v>19</v>
      </c>
      <c r="K48" s="34">
        <v>44</v>
      </c>
      <c r="L48" s="220">
        <f t="shared" si="0"/>
        <v>75</v>
      </c>
    </row>
    <row r="49" spans="1:12" x14ac:dyDescent="0.35">
      <c r="A49" s="287"/>
      <c r="B49" s="287"/>
      <c r="C49" s="34" t="s">
        <v>1623</v>
      </c>
      <c r="D49" s="32" t="s">
        <v>1674</v>
      </c>
      <c r="E49" s="32" t="s">
        <v>1680</v>
      </c>
      <c r="F49" s="32" t="s">
        <v>1681</v>
      </c>
      <c r="G49" s="33" t="s">
        <v>739</v>
      </c>
      <c r="H49" s="34">
        <v>8</v>
      </c>
      <c r="I49" s="34">
        <v>12</v>
      </c>
      <c r="J49" s="34">
        <v>25</v>
      </c>
      <c r="K49" s="34">
        <v>33</v>
      </c>
      <c r="L49" s="220">
        <f t="shared" si="0"/>
        <v>78</v>
      </c>
    </row>
    <row r="50" spans="1:12" x14ac:dyDescent="0.35">
      <c r="A50" s="287"/>
      <c r="B50" s="287"/>
      <c r="C50" s="34" t="s">
        <v>1623</v>
      </c>
      <c r="D50" s="32" t="s">
        <v>1674</v>
      </c>
      <c r="E50" s="32" t="s">
        <v>1680</v>
      </c>
      <c r="F50" s="32" t="s">
        <v>1680</v>
      </c>
      <c r="G50" s="33" t="s">
        <v>740</v>
      </c>
      <c r="H50" s="34">
        <v>6</v>
      </c>
      <c r="I50" s="34">
        <v>7</v>
      </c>
      <c r="J50" s="34">
        <v>23</v>
      </c>
      <c r="K50" s="34">
        <v>25</v>
      </c>
      <c r="L50" s="220">
        <f t="shared" si="0"/>
        <v>61</v>
      </c>
    </row>
    <row r="51" spans="1:12" x14ac:dyDescent="0.35">
      <c r="A51" s="287"/>
      <c r="B51" s="287"/>
      <c r="C51" s="34" t="s">
        <v>1623</v>
      </c>
      <c r="D51" s="32" t="s">
        <v>1674</v>
      </c>
      <c r="E51" s="32" t="s">
        <v>1680</v>
      </c>
      <c r="F51" s="32" t="s">
        <v>1680</v>
      </c>
      <c r="G51" s="33" t="s">
        <v>741</v>
      </c>
      <c r="H51" s="34">
        <v>3</v>
      </c>
      <c r="I51" s="34">
        <v>5</v>
      </c>
      <c r="J51" s="34">
        <v>35</v>
      </c>
      <c r="K51" s="34">
        <v>26</v>
      </c>
      <c r="L51" s="220">
        <f t="shared" si="0"/>
        <v>69</v>
      </c>
    </row>
    <row r="52" spans="1:12" x14ac:dyDescent="0.35">
      <c r="A52" s="287"/>
      <c r="B52" s="287"/>
      <c r="C52" s="34" t="s">
        <v>1623</v>
      </c>
      <c r="D52" s="32" t="s">
        <v>1674</v>
      </c>
      <c r="E52" s="32" t="s">
        <v>1680</v>
      </c>
      <c r="F52" s="32" t="s">
        <v>1680</v>
      </c>
      <c r="G52" s="33" t="s">
        <v>742</v>
      </c>
      <c r="H52" s="34">
        <v>7</v>
      </c>
      <c r="I52" s="34">
        <v>10</v>
      </c>
      <c r="J52" s="34">
        <v>23</v>
      </c>
      <c r="K52" s="34">
        <v>32</v>
      </c>
      <c r="L52" s="220">
        <f t="shared" si="0"/>
        <v>72</v>
      </c>
    </row>
    <row r="53" spans="1:12" x14ac:dyDescent="0.35">
      <c r="A53" s="287"/>
      <c r="B53" s="287"/>
      <c r="C53" s="34" t="s">
        <v>1623</v>
      </c>
      <c r="D53" s="32" t="s">
        <v>1674</v>
      </c>
      <c r="E53" s="32" t="s">
        <v>1680</v>
      </c>
      <c r="F53" s="32" t="s">
        <v>1679</v>
      </c>
      <c r="G53" s="33" t="s">
        <v>743</v>
      </c>
      <c r="H53" s="34">
        <v>9</v>
      </c>
      <c r="I53" s="34">
        <v>6</v>
      </c>
      <c r="J53" s="34">
        <v>33</v>
      </c>
      <c r="K53" s="34">
        <v>27</v>
      </c>
      <c r="L53" s="220">
        <f t="shared" si="0"/>
        <v>75</v>
      </c>
    </row>
    <row r="54" spans="1:12" x14ac:dyDescent="0.35">
      <c r="A54" s="287"/>
      <c r="B54" s="287"/>
      <c r="C54" s="34" t="s">
        <v>1623</v>
      </c>
      <c r="D54" s="32" t="s">
        <v>1674</v>
      </c>
      <c r="E54" s="32" t="s">
        <v>1680</v>
      </c>
      <c r="F54" s="32" t="s">
        <v>1681</v>
      </c>
      <c r="G54" s="33" t="s">
        <v>744</v>
      </c>
      <c r="H54" s="34">
        <v>10</v>
      </c>
      <c r="I54" s="34">
        <v>2</v>
      </c>
      <c r="J54" s="34">
        <v>30</v>
      </c>
      <c r="K54" s="34">
        <v>20</v>
      </c>
      <c r="L54" s="220">
        <f t="shared" si="0"/>
        <v>62</v>
      </c>
    </row>
    <row r="55" spans="1:12" x14ac:dyDescent="0.35">
      <c r="A55" s="287"/>
      <c r="B55" s="287"/>
      <c r="C55" s="34" t="s">
        <v>1623</v>
      </c>
      <c r="D55" s="32" t="s">
        <v>1674</v>
      </c>
      <c r="E55" s="32" t="s">
        <v>1680</v>
      </c>
      <c r="F55" s="32" t="s">
        <v>1681</v>
      </c>
      <c r="G55" s="33" t="s">
        <v>745</v>
      </c>
      <c r="H55" s="34">
        <v>20</v>
      </c>
      <c r="I55" s="34">
        <v>11</v>
      </c>
      <c r="J55" s="34">
        <v>40</v>
      </c>
      <c r="K55" s="34">
        <v>55</v>
      </c>
      <c r="L55" s="220">
        <f t="shared" si="0"/>
        <v>126</v>
      </c>
    </row>
    <row r="56" spans="1:12" x14ac:dyDescent="0.35">
      <c r="A56" s="287"/>
      <c r="B56" s="287"/>
      <c r="C56" s="34" t="s">
        <v>1623</v>
      </c>
      <c r="D56" s="32" t="s">
        <v>1674</v>
      </c>
      <c r="E56" s="32" t="s">
        <v>1680</v>
      </c>
      <c r="F56" s="32" t="s">
        <v>1681</v>
      </c>
      <c r="G56" s="33" t="s">
        <v>746</v>
      </c>
      <c r="H56" s="34">
        <v>7</v>
      </c>
      <c r="I56" s="34">
        <v>3</v>
      </c>
      <c r="J56" s="34">
        <v>13</v>
      </c>
      <c r="K56" s="34">
        <v>30</v>
      </c>
      <c r="L56" s="220">
        <f t="shared" si="0"/>
        <v>53</v>
      </c>
    </row>
    <row r="57" spans="1:12" x14ac:dyDescent="0.35">
      <c r="A57" s="287"/>
      <c r="B57" s="287"/>
      <c r="C57" s="34" t="s">
        <v>1623</v>
      </c>
      <c r="D57" s="32" t="s">
        <v>1674</v>
      </c>
      <c r="E57" s="32" t="s">
        <v>1680</v>
      </c>
      <c r="F57" s="32" t="s">
        <v>1681</v>
      </c>
      <c r="G57" s="33" t="s">
        <v>747</v>
      </c>
      <c r="H57" s="34">
        <v>5</v>
      </c>
      <c r="I57" s="34">
        <v>7</v>
      </c>
      <c r="J57" s="34">
        <v>35</v>
      </c>
      <c r="K57" s="34">
        <v>40</v>
      </c>
      <c r="L57" s="220">
        <f t="shared" si="0"/>
        <v>87</v>
      </c>
    </row>
    <row r="58" spans="1:12" x14ac:dyDescent="0.35">
      <c r="A58" s="287"/>
      <c r="B58" s="287"/>
      <c r="C58" s="34" t="s">
        <v>1623</v>
      </c>
      <c r="D58" s="32" t="s">
        <v>1674</v>
      </c>
      <c r="E58" s="32" t="s">
        <v>1680</v>
      </c>
      <c r="F58" s="32" t="s">
        <v>1681</v>
      </c>
      <c r="G58" s="33" t="s">
        <v>748</v>
      </c>
      <c r="H58" s="34">
        <v>7</v>
      </c>
      <c r="I58" s="34">
        <v>6</v>
      </c>
      <c r="J58" s="34">
        <v>25</v>
      </c>
      <c r="K58" s="34">
        <v>29</v>
      </c>
      <c r="L58" s="220">
        <f t="shared" si="0"/>
        <v>67</v>
      </c>
    </row>
    <row r="59" spans="1:12" x14ac:dyDescent="0.35">
      <c r="A59" s="287"/>
      <c r="B59" s="287"/>
      <c r="C59" s="34" t="s">
        <v>1623</v>
      </c>
      <c r="D59" s="32" t="s">
        <v>1674</v>
      </c>
      <c r="E59" s="32" t="s">
        <v>1680</v>
      </c>
      <c r="F59" s="32" t="s">
        <v>1679</v>
      </c>
      <c r="G59" s="33" t="s">
        <v>749</v>
      </c>
      <c r="H59" s="34">
        <v>11</v>
      </c>
      <c r="I59" s="34">
        <v>4</v>
      </c>
      <c r="J59" s="34">
        <v>21</v>
      </c>
      <c r="K59" s="34">
        <v>26</v>
      </c>
      <c r="L59" s="220">
        <f t="shared" si="0"/>
        <v>62</v>
      </c>
    </row>
    <row r="60" spans="1:12" x14ac:dyDescent="0.35">
      <c r="A60" s="287"/>
      <c r="B60" s="287"/>
      <c r="C60" s="34" t="s">
        <v>1623</v>
      </c>
      <c r="D60" s="32" t="s">
        <v>1674</v>
      </c>
      <c r="E60" s="32" t="s">
        <v>1680</v>
      </c>
      <c r="F60" s="32" t="s">
        <v>1679</v>
      </c>
      <c r="G60" s="33" t="s">
        <v>750</v>
      </c>
      <c r="H60" s="34">
        <v>8</v>
      </c>
      <c r="I60" s="34">
        <v>7</v>
      </c>
      <c r="J60" s="34">
        <v>15</v>
      </c>
      <c r="K60" s="34">
        <v>16</v>
      </c>
      <c r="L60" s="220">
        <f t="shared" si="0"/>
        <v>46</v>
      </c>
    </row>
    <row r="61" spans="1:12" x14ac:dyDescent="0.35">
      <c r="A61" s="287"/>
      <c r="B61" s="287"/>
      <c r="C61" s="34" t="s">
        <v>1623</v>
      </c>
      <c r="D61" s="32" t="s">
        <v>1674</v>
      </c>
      <c r="E61" s="32" t="s">
        <v>1680</v>
      </c>
      <c r="F61" s="32" t="s">
        <v>1680</v>
      </c>
      <c r="G61" s="33" t="s">
        <v>730</v>
      </c>
      <c r="H61" s="34">
        <v>7</v>
      </c>
      <c r="I61" s="34">
        <v>4</v>
      </c>
      <c r="J61" s="34">
        <v>30</v>
      </c>
      <c r="K61" s="34">
        <v>28</v>
      </c>
      <c r="L61" s="220">
        <f t="shared" si="0"/>
        <v>69</v>
      </c>
    </row>
    <row r="62" spans="1:12" x14ac:dyDescent="0.35">
      <c r="A62" s="287"/>
      <c r="B62" s="287"/>
      <c r="C62" s="34" t="s">
        <v>1623</v>
      </c>
      <c r="D62" s="32" t="s">
        <v>1674</v>
      </c>
      <c r="E62" s="32" t="s">
        <v>1680</v>
      </c>
      <c r="F62" s="32" t="s">
        <v>1679</v>
      </c>
      <c r="G62" s="33" t="s">
        <v>576</v>
      </c>
      <c r="H62" s="34">
        <v>4</v>
      </c>
      <c r="I62" s="34">
        <v>7</v>
      </c>
      <c r="J62" s="34">
        <v>34</v>
      </c>
      <c r="K62" s="34">
        <v>27</v>
      </c>
      <c r="L62" s="220">
        <f t="shared" si="0"/>
        <v>72</v>
      </c>
    </row>
    <row r="63" spans="1:12" x14ac:dyDescent="0.35">
      <c r="A63" s="52"/>
      <c r="B63" s="52"/>
      <c r="C63" s="52"/>
      <c r="D63" s="52"/>
      <c r="E63" s="52"/>
      <c r="F63" s="52"/>
      <c r="G63" s="52" t="s">
        <v>2</v>
      </c>
      <c r="H63" s="53">
        <f t="shared" ref="H63:K63" si="2">SUM(H41:H62)</f>
        <v>164</v>
      </c>
      <c r="I63" s="53">
        <f t="shared" si="2"/>
        <v>153</v>
      </c>
      <c r="J63" s="53">
        <f t="shared" si="2"/>
        <v>602</v>
      </c>
      <c r="K63" s="53">
        <f t="shared" si="2"/>
        <v>671</v>
      </c>
      <c r="L63" s="225">
        <f t="shared" si="0"/>
        <v>1590</v>
      </c>
    </row>
    <row r="64" spans="1:12" x14ac:dyDescent="0.35">
      <c r="A64" s="287">
        <v>3</v>
      </c>
      <c r="B64" s="287" t="s">
        <v>1876</v>
      </c>
      <c r="C64" s="34" t="s">
        <v>1623</v>
      </c>
      <c r="D64" s="32" t="s">
        <v>1674</v>
      </c>
      <c r="E64" s="32" t="s">
        <v>1683</v>
      </c>
      <c r="F64" s="32" t="s">
        <v>1682</v>
      </c>
      <c r="G64" s="33" t="s">
        <v>751</v>
      </c>
      <c r="H64" s="34">
        <v>13</v>
      </c>
      <c r="I64" s="34">
        <v>15</v>
      </c>
      <c r="J64" s="34">
        <v>13</v>
      </c>
      <c r="K64" s="34">
        <v>19</v>
      </c>
      <c r="L64" s="220">
        <f t="shared" si="0"/>
        <v>60</v>
      </c>
    </row>
    <row r="65" spans="1:12" x14ac:dyDescent="0.35">
      <c r="A65" s="287"/>
      <c r="B65" s="287"/>
      <c r="C65" s="34" t="s">
        <v>1623</v>
      </c>
      <c r="D65" s="32" t="s">
        <v>1674</v>
      </c>
      <c r="E65" s="32" t="s">
        <v>1683</v>
      </c>
      <c r="F65" s="32" t="s">
        <v>1684</v>
      </c>
      <c r="G65" s="33" t="s">
        <v>752</v>
      </c>
      <c r="H65" s="34">
        <v>7</v>
      </c>
      <c r="I65" s="34">
        <v>6</v>
      </c>
      <c r="J65" s="34">
        <v>14</v>
      </c>
      <c r="K65" s="34">
        <v>10</v>
      </c>
      <c r="L65" s="220">
        <f t="shared" si="0"/>
        <v>37</v>
      </c>
    </row>
    <row r="66" spans="1:12" x14ac:dyDescent="0.35">
      <c r="A66" s="287"/>
      <c r="B66" s="287"/>
      <c r="C66" s="34" t="s">
        <v>1623</v>
      </c>
      <c r="D66" s="32" t="s">
        <v>1674</v>
      </c>
      <c r="E66" s="32" t="s">
        <v>1693</v>
      </c>
      <c r="F66" s="32" t="s">
        <v>189</v>
      </c>
      <c r="G66" s="33" t="s">
        <v>753</v>
      </c>
      <c r="H66" s="34">
        <v>19</v>
      </c>
      <c r="I66" s="34">
        <v>9</v>
      </c>
      <c r="J66" s="34">
        <v>23</v>
      </c>
      <c r="K66" s="34">
        <v>24</v>
      </c>
      <c r="L66" s="220">
        <f t="shared" si="0"/>
        <v>75</v>
      </c>
    </row>
    <row r="67" spans="1:12" x14ac:dyDescent="0.35">
      <c r="A67" s="287"/>
      <c r="B67" s="287"/>
      <c r="C67" s="34" t="s">
        <v>1623</v>
      </c>
      <c r="D67" s="32" t="s">
        <v>1674</v>
      </c>
      <c r="E67" s="32" t="s">
        <v>1683</v>
      </c>
      <c r="F67" s="32" t="s">
        <v>1684</v>
      </c>
      <c r="G67" s="33" t="s">
        <v>754</v>
      </c>
      <c r="H67" s="34">
        <v>11</v>
      </c>
      <c r="I67" s="34">
        <v>11</v>
      </c>
      <c r="J67" s="34">
        <v>47</v>
      </c>
      <c r="K67" s="34">
        <v>51</v>
      </c>
      <c r="L67" s="220">
        <f t="shared" si="0"/>
        <v>120</v>
      </c>
    </row>
    <row r="68" spans="1:12" x14ac:dyDescent="0.35">
      <c r="A68" s="287"/>
      <c r="B68" s="287"/>
      <c r="C68" s="34" t="s">
        <v>1623</v>
      </c>
      <c r="D68" s="32" t="s">
        <v>1674</v>
      </c>
      <c r="E68" s="32" t="s">
        <v>1693</v>
      </c>
      <c r="F68" s="32" t="s">
        <v>1693</v>
      </c>
      <c r="G68" s="33" t="s">
        <v>755</v>
      </c>
      <c r="H68" s="34">
        <v>12</v>
      </c>
      <c r="I68" s="34">
        <v>16</v>
      </c>
      <c r="J68" s="34">
        <v>20</v>
      </c>
      <c r="K68" s="34">
        <v>28</v>
      </c>
      <c r="L68" s="220">
        <f t="shared" si="0"/>
        <v>76</v>
      </c>
    </row>
    <row r="69" spans="1:12" x14ac:dyDescent="0.35">
      <c r="A69" s="287"/>
      <c r="B69" s="287"/>
      <c r="C69" s="34" t="s">
        <v>1623</v>
      </c>
      <c r="D69" s="32" t="s">
        <v>1674</v>
      </c>
      <c r="E69" s="32" t="s">
        <v>1693</v>
      </c>
      <c r="F69" s="32" t="s">
        <v>1693</v>
      </c>
      <c r="G69" s="33" t="s">
        <v>756</v>
      </c>
      <c r="H69" s="34">
        <v>5</v>
      </c>
      <c r="I69" s="34">
        <v>7</v>
      </c>
      <c r="J69" s="34">
        <v>6</v>
      </c>
      <c r="K69" s="34">
        <v>11</v>
      </c>
      <c r="L69" s="220">
        <f t="shared" si="0"/>
        <v>29</v>
      </c>
    </row>
    <row r="70" spans="1:12" x14ac:dyDescent="0.35">
      <c r="A70" s="287"/>
      <c r="B70" s="287"/>
      <c r="C70" s="34" t="s">
        <v>1623</v>
      </c>
      <c r="D70" s="32" t="s">
        <v>1674</v>
      </c>
      <c r="E70" s="32" t="s">
        <v>1683</v>
      </c>
      <c r="F70" s="32" t="s">
        <v>1682</v>
      </c>
      <c r="G70" s="33" t="s">
        <v>757</v>
      </c>
      <c r="H70" s="34">
        <v>5</v>
      </c>
      <c r="I70" s="34">
        <v>4</v>
      </c>
      <c r="J70" s="34">
        <v>23</v>
      </c>
      <c r="K70" s="34">
        <v>26</v>
      </c>
      <c r="L70" s="220">
        <f t="shared" ref="L70:L133" si="3">H70+I70+J70+K70</f>
        <v>58</v>
      </c>
    </row>
    <row r="71" spans="1:12" x14ac:dyDescent="0.35">
      <c r="A71" s="287"/>
      <c r="B71" s="287"/>
      <c r="C71" s="34" t="s">
        <v>1623</v>
      </c>
      <c r="D71" s="32" t="s">
        <v>1674</v>
      </c>
      <c r="E71" s="32" t="s">
        <v>1683</v>
      </c>
      <c r="F71" s="32" t="s">
        <v>1682</v>
      </c>
      <c r="G71" s="33" t="s">
        <v>758</v>
      </c>
      <c r="H71" s="34">
        <v>1</v>
      </c>
      <c r="I71" s="34">
        <v>4</v>
      </c>
      <c r="J71" s="34">
        <v>10</v>
      </c>
      <c r="K71" s="34">
        <v>10</v>
      </c>
      <c r="L71" s="220">
        <f t="shared" si="3"/>
        <v>25</v>
      </c>
    </row>
    <row r="72" spans="1:12" x14ac:dyDescent="0.35">
      <c r="A72" s="287"/>
      <c r="B72" s="287"/>
      <c r="C72" s="34" t="s">
        <v>1623</v>
      </c>
      <c r="D72" s="32" t="s">
        <v>1674</v>
      </c>
      <c r="E72" s="32" t="s">
        <v>1683</v>
      </c>
      <c r="F72" s="32" t="s">
        <v>1684</v>
      </c>
      <c r="G72" s="33" t="s">
        <v>759</v>
      </c>
      <c r="H72" s="34">
        <v>2</v>
      </c>
      <c r="I72" s="34">
        <v>2</v>
      </c>
      <c r="J72" s="34">
        <v>13</v>
      </c>
      <c r="K72" s="34">
        <v>14</v>
      </c>
      <c r="L72" s="220">
        <f t="shared" si="3"/>
        <v>31</v>
      </c>
    </row>
    <row r="73" spans="1:12" x14ac:dyDescent="0.35">
      <c r="A73" s="287"/>
      <c r="B73" s="287"/>
      <c r="C73" s="34" t="s">
        <v>1623</v>
      </c>
      <c r="D73" s="32" t="s">
        <v>1674</v>
      </c>
      <c r="E73" s="32" t="s">
        <v>1683</v>
      </c>
      <c r="F73" s="32" t="s">
        <v>1684</v>
      </c>
      <c r="G73" s="33" t="s">
        <v>760</v>
      </c>
      <c r="H73" s="34">
        <v>0</v>
      </c>
      <c r="I73" s="34">
        <v>4</v>
      </c>
      <c r="J73" s="34">
        <v>13</v>
      </c>
      <c r="K73" s="34">
        <v>14</v>
      </c>
      <c r="L73" s="220">
        <f t="shared" si="3"/>
        <v>31</v>
      </c>
    </row>
    <row r="74" spans="1:12" x14ac:dyDescent="0.35">
      <c r="A74" s="287"/>
      <c r="B74" s="287"/>
      <c r="C74" s="34" t="s">
        <v>1623</v>
      </c>
      <c r="D74" s="32" t="s">
        <v>1674</v>
      </c>
      <c r="E74" s="32" t="s">
        <v>1686</v>
      </c>
      <c r="F74" s="32" t="s">
        <v>1685</v>
      </c>
      <c r="G74" s="33" t="s">
        <v>761</v>
      </c>
      <c r="H74" s="34">
        <v>1</v>
      </c>
      <c r="I74" s="34">
        <v>3</v>
      </c>
      <c r="J74" s="34">
        <v>7</v>
      </c>
      <c r="K74" s="34">
        <v>6</v>
      </c>
      <c r="L74" s="220">
        <f t="shared" si="3"/>
        <v>17</v>
      </c>
    </row>
    <row r="75" spans="1:12" x14ac:dyDescent="0.35">
      <c r="A75" s="287"/>
      <c r="B75" s="287"/>
      <c r="C75" s="34" t="s">
        <v>1623</v>
      </c>
      <c r="D75" s="32" t="s">
        <v>1674</v>
      </c>
      <c r="E75" s="32" t="s">
        <v>1683</v>
      </c>
      <c r="F75" s="32" t="s">
        <v>1682</v>
      </c>
      <c r="G75" s="33" t="s">
        <v>762</v>
      </c>
      <c r="H75" s="34">
        <v>6</v>
      </c>
      <c r="I75" s="34">
        <v>7</v>
      </c>
      <c r="J75" s="34">
        <v>12</v>
      </c>
      <c r="K75" s="34">
        <v>14</v>
      </c>
      <c r="L75" s="220">
        <f t="shared" si="3"/>
        <v>39</v>
      </c>
    </row>
    <row r="76" spans="1:12" x14ac:dyDescent="0.35">
      <c r="A76" s="287"/>
      <c r="B76" s="287"/>
      <c r="C76" s="34" t="s">
        <v>1623</v>
      </c>
      <c r="D76" s="32" t="s">
        <v>1674</v>
      </c>
      <c r="E76" s="32" t="s">
        <v>1683</v>
      </c>
      <c r="F76" s="32" t="s">
        <v>1682</v>
      </c>
      <c r="G76" s="33" t="s">
        <v>763</v>
      </c>
      <c r="H76" s="34">
        <v>9</v>
      </c>
      <c r="I76" s="34">
        <v>8</v>
      </c>
      <c r="J76" s="34">
        <v>7</v>
      </c>
      <c r="K76" s="34">
        <v>8</v>
      </c>
      <c r="L76" s="220">
        <f t="shared" si="3"/>
        <v>32</v>
      </c>
    </row>
    <row r="77" spans="1:12" x14ac:dyDescent="0.35">
      <c r="A77" s="287"/>
      <c r="B77" s="287"/>
      <c r="C77" s="34" t="s">
        <v>1623</v>
      </c>
      <c r="D77" s="32" t="s">
        <v>1674</v>
      </c>
      <c r="E77" s="32" t="s">
        <v>1683</v>
      </c>
      <c r="F77" s="32" t="s">
        <v>1684</v>
      </c>
      <c r="G77" s="33" t="s">
        <v>764</v>
      </c>
      <c r="H77" s="34">
        <v>1</v>
      </c>
      <c r="I77" s="34">
        <v>5</v>
      </c>
      <c r="J77" s="34">
        <v>19</v>
      </c>
      <c r="K77" s="34">
        <v>20</v>
      </c>
      <c r="L77" s="220">
        <f t="shared" si="3"/>
        <v>45</v>
      </c>
    </row>
    <row r="78" spans="1:12" x14ac:dyDescent="0.35">
      <c r="A78" s="287"/>
      <c r="B78" s="287"/>
      <c r="C78" s="34" t="s">
        <v>1623</v>
      </c>
      <c r="D78" s="32" t="s">
        <v>1674</v>
      </c>
      <c r="E78" s="32" t="s">
        <v>1683</v>
      </c>
      <c r="F78" s="32" t="s">
        <v>1684</v>
      </c>
      <c r="G78" s="33" t="s">
        <v>765</v>
      </c>
      <c r="H78" s="34">
        <v>10</v>
      </c>
      <c r="I78" s="34">
        <v>15</v>
      </c>
      <c r="J78" s="34">
        <v>17</v>
      </c>
      <c r="K78" s="34">
        <v>15</v>
      </c>
      <c r="L78" s="220">
        <f t="shared" si="3"/>
        <v>57</v>
      </c>
    </row>
    <row r="79" spans="1:12" x14ac:dyDescent="0.35">
      <c r="A79" s="287"/>
      <c r="B79" s="287"/>
      <c r="C79" s="34" t="s">
        <v>1623</v>
      </c>
      <c r="D79" s="32" t="s">
        <v>1674</v>
      </c>
      <c r="E79" s="32" t="s">
        <v>1686</v>
      </c>
      <c r="F79" s="32" t="s">
        <v>1687</v>
      </c>
      <c r="G79" s="33" t="s">
        <v>766</v>
      </c>
      <c r="H79" s="34">
        <v>6</v>
      </c>
      <c r="I79" s="34">
        <v>4</v>
      </c>
      <c r="J79" s="34">
        <v>10</v>
      </c>
      <c r="K79" s="34">
        <v>17</v>
      </c>
      <c r="L79" s="220">
        <f t="shared" si="3"/>
        <v>37</v>
      </c>
    </row>
    <row r="80" spans="1:12" x14ac:dyDescent="0.35">
      <c r="A80" s="287"/>
      <c r="B80" s="287"/>
      <c r="C80" s="34" t="s">
        <v>1623</v>
      </c>
      <c r="D80" s="32" t="s">
        <v>1674</v>
      </c>
      <c r="E80" s="32" t="s">
        <v>1686</v>
      </c>
      <c r="F80" s="32" t="s">
        <v>1685</v>
      </c>
      <c r="G80" s="33" t="s">
        <v>767</v>
      </c>
      <c r="H80" s="34">
        <v>2</v>
      </c>
      <c r="I80" s="34">
        <v>2</v>
      </c>
      <c r="J80" s="34">
        <v>7</v>
      </c>
      <c r="K80" s="34">
        <v>9</v>
      </c>
      <c r="L80" s="220">
        <f t="shared" si="3"/>
        <v>20</v>
      </c>
    </row>
    <row r="81" spans="1:12" x14ac:dyDescent="0.35">
      <c r="A81" s="287"/>
      <c r="B81" s="287"/>
      <c r="C81" s="34" t="s">
        <v>1623</v>
      </c>
      <c r="D81" s="32" t="s">
        <v>1674</v>
      </c>
      <c r="E81" s="32" t="s">
        <v>1686</v>
      </c>
      <c r="F81" s="32" t="s">
        <v>330</v>
      </c>
      <c r="G81" s="33" t="s">
        <v>768</v>
      </c>
      <c r="H81" s="34">
        <v>3</v>
      </c>
      <c r="I81" s="34">
        <v>4</v>
      </c>
      <c r="J81" s="34">
        <v>4</v>
      </c>
      <c r="K81" s="34">
        <v>13</v>
      </c>
      <c r="L81" s="220">
        <f t="shared" si="3"/>
        <v>24</v>
      </c>
    </row>
    <row r="82" spans="1:12" x14ac:dyDescent="0.35">
      <c r="A82" s="287"/>
      <c r="B82" s="287"/>
      <c r="C82" s="34" t="s">
        <v>1623</v>
      </c>
      <c r="D82" s="32" t="s">
        <v>1674</v>
      </c>
      <c r="E82" s="32" t="s">
        <v>1676</v>
      </c>
      <c r="F82" s="32" t="s">
        <v>1675</v>
      </c>
      <c r="G82" s="33" t="s">
        <v>706</v>
      </c>
      <c r="H82" s="34">
        <v>4</v>
      </c>
      <c r="I82" s="34">
        <v>6</v>
      </c>
      <c r="J82" s="34">
        <v>7</v>
      </c>
      <c r="K82" s="34">
        <v>5</v>
      </c>
      <c r="L82" s="220">
        <f t="shared" si="3"/>
        <v>22</v>
      </c>
    </row>
    <row r="83" spans="1:12" x14ac:dyDescent="0.35">
      <c r="A83" s="287"/>
      <c r="B83" s="287"/>
      <c r="C83" s="34" t="s">
        <v>1623</v>
      </c>
      <c r="D83" s="32" t="s">
        <v>1674</v>
      </c>
      <c r="E83" s="32" t="s">
        <v>1676</v>
      </c>
      <c r="F83" s="32" t="s">
        <v>1675</v>
      </c>
      <c r="G83" s="33" t="s">
        <v>769</v>
      </c>
      <c r="H83" s="34">
        <v>5</v>
      </c>
      <c r="I83" s="34">
        <v>3</v>
      </c>
      <c r="J83" s="34">
        <v>16</v>
      </c>
      <c r="K83" s="34">
        <v>19</v>
      </c>
      <c r="L83" s="220">
        <f t="shared" si="3"/>
        <v>43</v>
      </c>
    </row>
    <row r="84" spans="1:12" x14ac:dyDescent="0.35">
      <c r="A84" s="287"/>
      <c r="B84" s="287"/>
      <c r="C84" s="34" t="s">
        <v>1623</v>
      </c>
      <c r="D84" s="32" t="s">
        <v>1674</v>
      </c>
      <c r="E84" s="32" t="s">
        <v>1686</v>
      </c>
      <c r="F84" s="32" t="s">
        <v>1688</v>
      </c>
      <c r="G84" s="33" t="s">
        <v>770</v>
      </c>
      <c r="H84" s="34">
        <v>2</v>
      </c>
      <c r="I84" s="34">
        <v>3</v>
      </c>
      <c r="J84" s="34">
        <v>3</v>
      </c>
      <c r="K84" s="34">
        <v>4</v>
      </c>
      <c r="L84" s="220">
        <f t="shared" si="3"/>
        <v>12</v>
      </c>
    </row>
    <row r="85" spans="1:12" x14ac:dyDescent="0.35">
      <c r="A85" s="287"/>
      <c r="B85" s="287"/>
      <c r="C85" s="34" t="s">
        <v>1623</v>
      </c>
      <c r="D85" s="32" t="s">
        <v>1674</v>
      </c>
      <c r="E85" s="32" t="s">
        <v>1689</v>
      </c>
      <c r="F85" s="32" t="s">
        <v>1682</v>
      </c>
      <c r="G85" s="33" t="s">
        <v>771</v>
      </c>
      <c r="H85" s="34">
        <v>17</v>
      </c>
      <c r="I85" s="34">
        <v>20</v>
      </c>
      <c r="J85" s="34">
        <v>25</v>
      </c>
      <c r="K85" s="34">
        <v>25</v>
      </c>
      <c r="L85" s="220">
        <f t="shared" si="3"/>
        <v>87</v>
      </c>
    </row>
    <row r="86" spans="1:12" x14ac:dyDescent="0.35">
      <c r="A86" s="287"/>
      <c r="B86" s="287"/>
      <c r="C86" s="34" t="s">
        <v>1623</v>
      </c>
      <c r="D86" s="32" t="s">
        <v>1674</v>
      </c>
      <c r="E86" s="32" t="s">
        <v>1686</v>
      </c>
      <c r="F86" s="32" t="s">
        <v>1691</v>
      </c>
      <c r="G86" s="33" t="s">
        <v>772</v>
      </c>
      <c r="H86" s="34">
        <v>3</v>
      </c>
      <c r="I86" s="34">
        <v>3</v>
      </c>
      <c r="J86" s="34">
        <v>10</v>
      </c>
      <c r="K86" s="34">
        <v>8</v>
      </c>
      <c r="L86" s="220">
        <f t="shared" si="3"/>
        <v>24</v>
      </c>
    </row>
    <row r="87" spans="1:12" x14ac:dyDescent="0.35">
      <c r="A87" s="287"/>
      <c r="B87" s="287"/>
      <c r="C87" s="34" t="s">
        <v>1623</v>
      </c>
      <c r="D87" s="32" t="s">
        <v>1674</v>
      </c>
      <c r="E87" s="32" t="s">
        <v>1689</v>
      </c>
      <c r="F87" s="32" t="s">
        <v>1682</v>
      </c>
      <c r="G87" s="33" t="s">
        <v>773</v>
      </c>
      <c r="H87" s="34">
        <v>9</v>
      </c>
      <c r="I87" s="34">
        <v>10</v>
      </c>
      <c r="J87" s="34">
        <v>10</v>
      </c>
      <c r="K87" s="34">
        <v>7</v>
      </c>
      <c r="L87" s="220">
        <f t="shared" si="3"/>
        <v>36</v>
      </c>
    </row>
    <row r="88" spans="1:12" x14ac:dyDescent="0.35">
      <c r="A88" s="287"/>
      <c r="B88" s="287"/>
      <c r="C88" s="34" t="s">
        <v>1623</v>
      </c>
      <c r="D88" s="32" t="s">
        <v>1674</v>
      </c>
      <c r="E88" s="32" t="s">
        <v>1686</v>
      </c>
      <c r="F88" s="32" t="s">
        <v>330</v>
      </c>
      <c r="G88" s="33" t="s">
        <v>774</v>
      </c>
      <c r="H88" s="34">
        <v>2</v>
      </c>
      <c r="I88" s="34">
        <v>3</v>
      </c>
      <c r="J88" s="34">
        <v>8</v>
      </c>
      <c r="K88" s="34">
        <v>10</v>
      </c>
      <c r="L88" s="220">
        <f t="shared" si="3"/>
        <v>23</v>
      </c>
    </row>
    <row r="89" spans="1:12" x14ac:dyDescent="0.35">
      <c r="A89" s="287"/>
      <c r="B89" s="287"/>
      <c r="C89" s="34" t="s">
        <v>1623</v>
      </c>
      <c r="D89" s="32" t="s">
        <v>1674</v>
      </c>
      <c r="E89" s="32" t="s">
        <v>1686</v>
      </c>
      <c r="F89" s="32" t="s">
        <v>330</v>
      </c>
      <c r="G89" s="33" t="s">
        <v>775</v>
      </c>
      <c r="H89" s="34">
        <v>7</v>
      </c>
      <c r="I89" s="34">
        <v>6</v>
      </c>
      <c r="J89" s="34">
        <v>11</v>
      </c>
      <c r="K89" s="34">
        <v>13</v>
      </c>
      <c r="L89" s="220">
        <f t="shared" si="3"/>
        <v>37</v>
      </c>
    </row>
    <row r="90" spans="1:12" x14ac:dyDescent="0.35">
      <c r="A90" s="287"/>
      <c r="B90" s="287"/>
      <c r="C90" s="34" t="s">
        <v>1623</v>
      </c>
      <c r="D90" s="32" t="s">
        <v>1674</v>
      </c>
      <c r="E90" s="32" t="s">
        <v>1686</v>
      </c>
      <c r="F90" s="32" t="s">
        <v>1691</v>
      </c>
      <c r="G90" s="33" t="s">
        <v>776</v>
      </c>
      <c r="H90" s="34">
        <v>3</v>
      </c>
      <c r="I90" s="34">
        <v>5</v>
      </c>
      <c r="J90" s="34">
        <v>6</v>
      </c>
      <c r="K90" s="34">
        <v>7</v>
      </c>
      <c r="L90" s="220">
        <f t="shared" si="3"/>
        <v>21</v>
      </c>
    </row>
    <row r="91" spans="1:12" x14ac:dyDescent="0.35">
      <c r="A91" s="287"/>
      <c r="B91" s="287"/>
      <c r="C91" s="34" t="s">
        <v>1623</v>
      </c>
      <c r="D91" s="32" t="s">
        <v>1674</v>
      </c>
      <c r="E91" s="32" t="s">
        <v>1686</v>
      </c>
      <c r="F91" s="32" t="s">
        <v>1691</v>
      </c>
      <c r="G91" s="33" t="s">
        <v>777</v>
      </c>
      <c r="H91" s="34">
        <v>4</v>
      </c>
      <c r="I91" s="34">
        <v>3</v>
      </c>
      <c r="J91" s="34">
        <v>11</v>
      </c>
      <c r="K91" s="34">
        <v>13</v>
      </c>
      <c r="L91" s="220">
        <f t="shared" si="3"/>
        <v>31</v>
      </c>
    </row>
    <row r="92" spans="1:12" x14ac:dyDescent="0.35">
      <c r="A92" s="287"/>
      <c r="B92" s="287"/>
      <c r="C92" s="34" t="s">
        <v>1623</v>
      </c>
      <c r="D92" s="32" t="s">
        <v>1674</v>
      </c>
      <c r="E92" s="32" t="s">
        <v>1686</v>
      </c>
      <c r="F92" s="32" t="s">
        <v>1688</v>
      </c>
      <c r="G92" s="33" t="s">
        <v>778</v>
      </c>
      <c r="H92" s="34">
        <v>6</v>
      </c>
      <c r="I92" s="34">
        <v>8</v>
      </c>
      <c r="J92" s="34">
        <v>14</v>
      </c>
      <c r="K92" s="34">
        <v>18</v>
      </c>
      <c r="L92" s="220">
        <f t="shared" si="3"/>
        <v>46</v>
      </c>
    </row>
    <row r="93" spans="1:12" x14ac:dyDescent="0.35">
      <c r="A93" s="287"/>
      <c r="B93" s="287"/>
      <c r="C93" s="34" t="s">
        <v>1623</v>
      </c>
      <c r="D93" s="32" t="s">
        <v>1674</v>
      </c>
      <c r="E93" s="32" t="s">
        <v>1686</v>
      </c>
      <c r="F93" s="32" t="s">
        <v>1688</v>
      </c>
      <c r="G93" s="33" t="s">
        <v>779</v>
      </c>
      <c r="H93" s="34">
        <v>4</v>
      </c>
      <c r="I93" s="34">
        <v>6</v>
      </c>
      <c r="J93" s="34">
        <v>11</v>
      </c>
      <c r="K93" s="34">
        <v>13</v>
      </c>
      <c r="L93" s="220">
        <f t="shared" si="3"/>
        <v>34</v>
      </c>
    </row>
    <row r="94" spans="1:12" x14ac:dyDescent="0.35">
      <c r="A94" s="287"/>
      <c r="B94" s="287"/>
      <c r="C94" s="34" t="s">
        <v>1623</v>
      </c>
      <c r="D94" s="32" t="s">
        <v>1674</v>
      </c>
      <c r="E94" s="32" t="s">
        <v>1683</v>
      </c>
      <c r="F94" s="32" t="s">
        <v>1689</v>
      </c>
      <c r="G94" s="33" t="s">
        <v>780</v>
      </c>
      <c r="H94" s="34">
        <v>1</v>
      </c>
      <c r="I94" s="34">
        <v>4</v>
      </c>
      <c r="J94" s="34">
        <v>17</v>
      </c>
      <c r="K94" s="34">
        <v>20</v>
      </c>
      <c r="L94" s="220">
        <f t="shared" si="3"/>
        <v>42</v>
      </c>
    </row>
    <row r="95" spans="1:12" x14ac:dyDescent="0.35">
      <c r="A95" s="287"/>
      <c r="B95" s="287"/>
      <c r="C95" s="34" t="s">
        <v>1623</v>
      </c>
      <c r="D95" s="32" t="s">
        <v>1674</v>
      </c>
      <c r="E95" s="32" t="s">
        <v>1683</v>
      </c>
      <c r="F95" s="32" t="s">
        <v>1689</v>
      </c>
      <c r="G95" s="33" t="s">
        <v>781</v>
      </c>
      <c r="H95" s="34">
        <v>7</v>
      </c>
      <c r="I95" s="34">
        <v>10</v>
      </c>
      <c r="J95" s="34">
        <v>9</v>
      </c>
      <c r="K95" s="34">
        <v>13</v>
      </c>
      <c r="L95" s="220">
        <f t="shared" si="3"/>
        <v>39</v>
      </c>
    </row>
    <row r="96" spans="1:12" x14ac:dyDescent="0.35">
      <c r="A96" s="287"/>
      <c r="B96" s="287"/>
      <c r="C96" s="34" t="s">
        <v>1623</v>
      </c>
      <c r="D96" s="32" t="s">
        <v>1674</v>
      </c>
      <c r="E96" s="32" t="s">
        <v>1683</v>
      </c>
      <c r="F96" s="32" t="s">
        <v>1689</v>
      </c>
      <c r="G96" s="33" t="s">
        <v>782</v>
      </c>
      <c r="H96" s="34">
        <v>5</v>
      </c>
      <c r="I96" s="34">
        <v>7</v>
      </c>
      <c r="J96" s="34">
        <v>7</v>
      </c>
      <c r="K96" s="34">
        <v>11</v>
      </c>
      <c r="L96" s="220">
        <f t="shared" si="3"/>
        <v>30</v>
      </c>
    </row>
    <row r="97" spans="1:12" x14ac:dyDescent="0.35">
      <c r="A97" s="287"/>
      <c r="B97" s="287"/>
      <c r="C97" s="34" t="s">
        <v>1623</v>
      </c>
      <c r="D97" s="32" t="s">
        <v>1674</v>
      </c>
      <c r="E97" s="32" t="s">
        <v>1696</v>
      </c>
      <c r="F97" s="32" t="s">
        <v>1695</v>
      </c>
      <c r="G97" s="33" t="s">
        <v>783</v>
      </c>
      <c r="H97" s="34">
        <v>6</v>
      </c>
      <c r="I97" s="34">
        <v>5</v>
      </c>
      <c r="J97" s="34">
        <v>14</v>
      </c>
      <c r="K97" s="34">
        <v>20</v>
      </c>
      <c r="L97" s="220">
        <f t="shared" si="3"/>
        <v>45</v>
      </c>
    </row>
    <row r="98" spans="1:12" x14ac:dyDescent="0.35">
      <c r="A98" s="287"/>
      <c r="B98" s="287"/>
      <c r="C98" s="34" t="s">
        <v>1623</v>
      </c>
      <c r="D98" s="32" t="s">
        <v>1674</v>
      </c>
      <c r="E98" s="32" t="s">
        <v>1686</v>
      </c>
      <c r="F98" s="32" t="s">
        <v>1690</v>
      </c>
      <c r="G98" s="33" t="s">
        <v>784</v>
      </c>
      <c r="H98" s="34">
        <v>3</v>
      </c>
      <c r="I98" s="34">
        <v>3</v>
      </c>
      <c r="J98" s="34">
        <v>18</v>
      </c>
      <c r="K98" s="34">
        <v>7</v>
      </c>
      <c r="L98" s="220">
        <f t="shared" si="3"/>
        <v>31</v>
      </c>
    </row>
    <row r="99" spans="1:12" x14ac:dyDescent="0.35">
      <c r="A99" s="287"/>
      <c r="B99" s="287"/>
      <c r="C99" s="34" t="s">
        <v>1623</v>
      </c>
      <c r="D99" s="32" t="s">
        <v>1674</v>
      </c>
      <c r="E99" s="32" t="s">
        <v>1686</v>
      </c>
      <c r="F99" s="32" t="s">
        <v>1685</v>
      </c>
      <c r="G99" s="33" t="s">
        <v>785</v>
      </c>
      <c r="H99" s="34">
        <v>1</v>
      </c>
      <c r="I99" s="34">
        <v>5</v>
      </c>
      <c r="J99" s="34">
        <v>16</v>
      </c>
      <c r="K99" s="34">
        <v>13</v>
      </c>
      <c r="L99" s="220">
        <f t="shared" si="3"/>
        <v>35</v>
      </c>
    </row>
    <row r="100" spans="1:12" x14ac:dyDescent="0.35">
      <c r="A100" s="287"/>
      <c r="B100" s="287"/>
      <c r="C100" s="34" t="s">
        <v>1623</v>
      </c>
      <c r="D100" s="32" t="s">
        <v>1674</v>
      </c>
      <c r="E100" s="32" t="s">
        <v>1686</v>
      </c>
      <c r="F100" s="32" t="s">
        <v>1691</v>
      </c>
      <c r="G100" s="33" t="s">
        <v>786</v>
      </c>
      <c r="H100" s="34">
        <v>2</v>
      </c>
      <c r="I100" s="34">
        <v>5</v>
      </c>
      <c r="J100" s="34">
        <v>25</v>
      </c>
      <c r="K100" s="34">
        <v>23</v>
      </c>
      <c r="L100" s="220">
        <f t="shared" si="3"/>
        <v>55</v>
      </c>
    </row>
    <row r="101" spans="1:12" x14ac:dyDescent="0.35">
      <c r="A101" s="287"/>
      <c r="B101" s="287"/>
      <c r="C101" s="34" t="s">
        <v>1623</v>
      </c>
      <c r="D101" s="32" t="s">
        <v>1674</v>
      </c>
      <c r="E101" s="32" t="s">
        <v>1686</v>
      </c>
      <c r="F101" s="32" t="s">
        <v>330</v>
      </c>
      <c r="G101" s="33" t="s">
        <v>787</v>
      </c>
      <c r="H101" s="34">
        <v>2</v>
      </c>
      <c r="I101" s="34">
        <v>3</v>
      </c>
      <c r="J101" s="34">
        <v>3</v>
      </c>
      <c r="K101" s="34">
        <v>10</v>
      </c>
      <c r="L101" s="220">
        <f t="shared" si="3"/>
        <v>18</v>
      </c>
    </row>
    <row r="102" spans="1:12" x14ac:dyDescent="0.35">
      <c r="A102" s="287"/>
      <c r="B102" s="287"/>
      <c r="C102" s="34" t="s">
        <v>1623</v>
      </c>
      <c r="D102" s="32" t="s">
        <v>1674</v>
      </c>
      <c r="E102" s="32" t="s">
        <v>1686</v>
      </c>
      <c r="F102" s="32" t="s">
        <v>330</v>
      </c>
      <c r="G102" s="33" t="s">
        <v>788</v>
      </c>
      <c r="H102" s="34">
        <v>1</v>
      </c>
      <c r="I102" s="34">
        <v>3</v>
      </c>
      <c r="J102" s="34">
        <v>13</v>
      </c>
      <c r="K102" s="34">
        <v>8</v>
      </c>
      <c r="L102" s="220">
        <f t="shared" si="3"/>
        <v>25</v>
      </c>
    </row>
    <row r="103" spans="1:12" x14ac:dyDescent="0.35">
      <c r="A103" s="287"/>
      <c r="B103" s="287"/>
      <c r="C103" s="34" t="s">
        <v>1623</v>
      </c>
      <c r="D103" s="32" t="s">
        <v>1674</v>
      </c>
      <c r="E103" s="32" t="s">
        <v>1686</v>
      </c>
      <c r="F103" s="32" t="s">
        <v>330</v>
      </c>
      <c r="G103" s="33" t="s">
        <v>789</v>
      </c>
      <c r="H103" s="34">
        <v>10</v>
      </c>
      <c r="I103" s="34">
        <v>12</v>
      </c>
      <c r="J103" s="34">
        <v>14</v>
      </c>
      <c r="K103" s="34">
        <v>20</v>
      </c>
      <c r="L103" s="220">
        <f t="shared" si="3"/>
        <v>56</v>
      </c>
    </row>
    <row r="104" spans="1:12" x14ac:dyDescent="0.35">
      <c r="A104" s="287"/>
      <c r="B104" s="287"/>
      <c r="C104" s="34" t="s">
        <v>1623</v>
      </c>
      <c r="D104" s="32" t="s">
        <v>1674</v>
      </c>
      <c r="E104" s="32" t="s">
        <v>1686</v>
      </c>
      <c r="F104" s="32" t="s">
        <v>1687</v>
      </c>
      <c r="G104" s="33" t="s">
        <v>790</v>
      </c>
      <c r="H104" s="34">
        <v>10</v>
      </c>
      <c r="I104" s="34">
        <v>7</v>
      </c>
      <c r="J104" s="34">
        <v>16</v>
      </c>
      <c r="K104" s="34">
        <v>15</v>
      </c>
      <c r="L104" s="220">
        <f t="shared" si="3"/>
        <v>48</v>
      </c>
    </row>
    <row r="105" spans="1:12" x14ac:dyDescent="0.35">
      <c r="A105" s="287"/>
      <c r="B105" s="287"/>
      <c r="C105" s="34" t="s">
        <v>1623</v>
      </c>
      <c r="D105" s="32" t="s">
        <v>1674</v>
      </c>
      <c r="E105" s="32" t="s">
        <v>1686</v>
      </c>
      <c r="F105" s="32" t="s">
        <v>1685</v>
      </c>
      <c r="G105" s="33" t="s">
        <v>785</v>
      </c>
      <c r="H105" s="34">
        <v>17</v>
      </c>
      <c r="I105" s="34">
        <v>20</v>
      </c>
      <c r="J105" s="34">
        <v>20</v>
      </c>
      <c r="K105" s="34">
        <v>23</v>
      </c>
      <c r="L105" s="220">
        <f t="shared" si="3"/>
        <v>80</v>
      </c>
    </row>
    <row r="106" spans="1:12" x14ac:dyDescent="0.35">
      <c r="A106" s="287"/>
      <c r="B106" s="287"/>
      <c r="C106" s="34" t="s">
        <v>1623</v>
      </c>
      <c r="D106" s="32" t="s">
        <v>1674</v>
      </c>
      <c r="E106" s="32" t="s">
        <v>1686</v>
      </c>
      <c r="F106" s="32" t="s">
        <v>1685</v>
      </c>
      <c r="G106" s="33" t="s">
        <v>791</v>
      </c>
      <c r="H106" s="34">
        <v>4</v>
      </c>
      <c r="I106" s="34">
        <v>10</v>
      </c>
      <c r="J106" s="34">
        <v>14</v>
      </c>
      <c r="K106" s="34">
        <v>17</v>
      </c>
      <c r="L106" s="220">
        <f t="shared" si="3"/>
        <v>45</v>
      </c>
    </row>
    <row r="107" spans="1:12" x14ac:dyDescent="0.35">
      <c r="A107" s="287"/>
      <c r="B107" s="287"/>
      <c r="C107" s="34" t="s">
        <v>1623</v>
      </c>
      <c r="D107" s="32" t="s">
        <v>1674</v>
      </c>
      <c r="E107" s="32" t="s">
        <v>1686</v>
      </c>
      <c r="F107" s="32" t="s">
        <v>1691</v>
      </c>
      <c r="G107" s="33" t="s">
        <v>792</v>
      </c>
      <c r="H107" s="34">
        <v>5</v>
      </c>
      <c r="I107" s="34">
        <v>1</v>
      </c>
      <c r="J107" s="34">
        <v>7</v>
      </c>
      <c r="K107" s="34">
        <v>7</v>
      </c>
      <c r="L107" s="220">
        <f t="shared" si="3"/>
        <v>20</v>
      </c>
    </row>
    <row r="108" spans="1:12" x14ac:dyDescent="0.35">
      <c r="A108" s="287"/>
      <c r="B108" s="287"/>
      <c r="C108" s="34" t="s">
        <v>1623</v>
      </c>
      <c r="D108" s="32" t="s">
        <v>1674</v>
      </c>
      <c r="E108" s="32" t="s">
        <v>1683</v>
      </c>
      <c r="F108" s="32" t="s">
        <v>1689</v>
      </c>
      <c r="G108" s="33" t="s">
        <v>793</v>
      </c>
      <c r="H108" s="34">
        <v>8</v>
      </c>
      <c r="I108" s="34">
        <v>20</v>
      </c>
      <c r="J108" s="34">
        <v>5</v>
      </c>
      <c r="K108" s="34">
        <v>7</v>
      </c>
      <c r="L108" s="220">
        <f t="shared" si="3"/>
        <v>40</v>
      </c>
    </row>
    <row r="109" spans="1:12" x14ac:dyDescent="0.35">
      <c r="A109" s="287"/>
      <c r="B109" s="287"/>
      <c r="C109" s="34" t="s">
        <v>1623</v>
      </c>
      <c r="D109" s="32" t="s">
        <v>1674</v>
      </c>
      <c r="E109" s="32" t="s">
        <v>1683</v>
      </c>
      <c r="F109" s="32" t="s">
        <v>1689</v>
      </c>
      <c r="G109" s="33" t="s">
        <v>794</v>
      </c>
      <c r="H109" s="34">
        <v>3</v>
      </c>
      <c r="I109" s="34">
        <v>3</v>
      </c>
      <c r="J109" s="34">
        <v>15</v>
      </c>
      <c r="K109" s="34">
        <v>16</v>
      </c>
      <c r="L109" s="220">
        <f t="shared" si="3"/>
        <v>37</v>
      </c>
    </row>
    <row r="110" spans="1:12" x14ac:dyDescent="0.35">
      <c r="A110" s="287"/>
      <c r="B110" s="287"/>
      <c r="C110" s="34" t="s">
        <v>1623</v>
      </c>
      <c r="D110" s="32" t="s">
        <v>1674</v>
      </c>
      <c r="E110" s="32" t="s">
        <v>1683</v>
      </c>
      <c r="F110" s="32" t="s">
        <v>1689</v>
      </c>
      <c r="G110" s="33" t="s">
        <v>795</v>
      </c>
      <c r="H110" s="34">
        <v>5</v>
      </c>
      <c r="I110" s="34">
        <v>7</v>
      </c>
      <c r="J110" s="34">
        <v>15</v>
      </c>
      <c r="K110" s="34">
        <v>19</v>
      </c>
      <c r="L110" s="220">
        <f t="shared" si="3"/>
        <v>46</v>
      </c>
    </row>
    <row r="111" spans="1:12" x14ac:dyDescent="0.35">
      <c r="A111" s="287"/>
      <c r="B111" s="287"/>
      <c r="C111" s="34" t="s">
        <v>1623</v>
      </c>
      <c r="D111" s="32" t="s">
        <v>1674</v>
      </c>
      <c r="E111" s="32" t="s">
        <v>1683</v>
      </c>
      <c r="F111" s="32" t="s">
        <v>1682</v>
      </c>
      <c r="G111" s="33" t="s">
        <v>796</v>
      </c>
      <c r="H111" s="34">
        <v>2</v>
      </c>
      <c r="I111" s="34">
        <v>2</v>
      </c>
      <c r="J111" s="34">
        <v>12</v>
      </c>
      <c r="K111" s="34">
        <v>18</v>
      </c>
      <c r="L111" s="220">
        <f t="shared" si="3"/>
        <v>34</v>
      </c>
    </row>
    <row r="112" spans="1:12" x14ac:dyDescent="0.35">
      <c r="A112" s="287"/>
      <c r="B112" s="287"/>
      <c r="C112" s="34" t="s">
        <v>1623</v>
      </c>
      <c r="D112" s="32" t="s">
        <v>1674</v>
      </c>
      <c r="E112" s="32" t="s">
        <v>1683</v>
      </c>
      <c r="F112" s="32" t="s">
        <v>1685</v>
      </c>
      <c r="G112" s="33" t="s">
        <v>797</v>
      </c>
      <c r="H112" s="34">
        <v>4</v>
      </c>
      <c r="I112" s="34">
        <v>2</v>
      </c>
      <c r="J112" s="34">
        <v>6</v>
      </c>
      <c r="K112" s="34">
        <v>10</v>
      </c>
      <c r="L112" s="220">
        <f t="shared" si="3"/>
        <v>22</v>
      </c>
    </row>
    <row r="113" spans="1:12" x14ac:dyDescent="0.35">
      <c r="A113" s="287"/>
      <c r="B113" s="287"/>
      <c r="C113" s="34" t="s">
        <v>1623</v>
      </c>
      <c r="D113" s="32" t="s">
        <v>1674</v>
      </c>
      <c r="E113" s="32" t="s">
        <v>1686</v>
      </c>
      <c r="F113" s="32" t="s">
        <v>1691</v>
      </c>
      <c r="G113" s="33" t="s">
        <v>798</v>
      </c>
      <c r="H113" s="34">
        <v>3</v>
      </c>
      <c r="I113" s="34">
        <v>0</v>
      </c>
      <c r="J113" s="34">
        <v>3</v>
      </c>
      <c r="K113" s="34">
        <v>2</v>
      </c>
      <c r="L113" s="220">
        <f t="shared" si="3"/>
        <v>8</v>
      </c>
    </row>
    <row r="114" spans="1:12" x14ac:dyDescent="0.35">
      <c r="A114" s="287"/>
      <c r="B114" s="287"/>
      <c r="C114" s="34" t="s">
        <v>1623</v>
      </c>
      <c r="D114" s="32" t="s">
        <v>1674</v>
      </c>
      <c r="E114" s="32" t="s">
        <v>1686</v>
      </c>
      <c r="F114" s="32" t="s">
        <v>1687</v>
      </c>
      <c r="G114" s="33" t="s">
        <v>799</v>
      </c>
      <c r="H114" s="34">
        <v>1</v>
      </c>
      <c r="I114" s="34">
        <v>3</v>
      </c>
      <c r="J114" s="34">
        <v>20</v>
      </c>
      <c r="K114" s="34">
        <v>11</v>
      </c>
      <c r="L114" s="220">
        <f t="shared" si="3"/>
        <v>35</v>
      </c>
    </row>
    <row r="115" spans="1:12" x14ac:dyDescent="0.35">
      <c r="A115" s="287"/>
      <c r="B115" s="287"/>
      <c r="C115" s="34" t="s">
        <v>1623</v>
      </c>
      <c r="D115" s="32" t="s">
        <v>1674</v>
      </c>
      <c r="E115" s="32" t="s">
        <v>1693</v>
      </c>
      <c r="F115" s="32" t="s">
        <v>1694</v>
      </c>
      <c r="G115" s="33" t="s">
        <v>800</v>
      </c>
      <c r="H115" s="34">
        <v>10</v>
      </c>
      <c r="I115" s="34">
        <v>12</v>
      </c>
      <c r="J115" s="34">
        <v>18</v>
      </c>
      <c r="K115" s="34">
        <v>20</v>
      </c>
      <c r="L115" s="220">
        <f t="shared" si="3"/>
        <v>60</v>
      </c>
    </row>
    <row r="116" spans="1:12" x14ac:dyDescent="0.35">
      <c r="A116" s="287"/>
      <c r="B116" s="287"/>
      <c r="C116" s="34" t="s">
        <v>1623</v>
      </c>
      <c r="D116" s="32" t="s">
        <v>1674</v>
      </c>
      <c r="E116" s="32" t="s">
        <v>1686</v>
      </c>
      <c r="F116" s="32" t="s">
        <v>1687</v>
      </c>
      <c r="G116" s="33" t="s">
        <v>801</v>
      </c>
      <c r="H116" s="34">
        <v>8</v>
      </c>
      <c r="I116" s="34">
        <v>6</v>
      </c>
      <c r="J116" s="34">
        <v>26</v>
      </c>
      <c r="K116" s="34">
        <v>27</v>
      </c>
      <c r="L116" s="220">
        <f t="shared" si="3"/>
        <v>67</v>
      </c>
    </row>
    <row r="117" spans="1:12" x14ac:dyDescent="0.35">
      <c r="A117" s="287"/>
      <c r="B117" s="287"/>
      <c r="C117" s="34" t="s">
        <v>1623</v>
      </c>
      <c r="D117" s="32" t="s">
        <v>1674</v>
      </c>
      <c r="E117" s="32" t="s">
        <v>1683</v>
      </c>
      <c r="F117" s="32" t="s">
        <v>1682</v>
      </c>
      <c r="G117" s="33" t="s">
        <v>802</v>
      </c>
      <c r="H117" s="34">
        <v>5</v>
      </c>
      <c r="I117" s="34">
        <v>13</v>
      </c>
      <c r="J117" s="34">
        <v>19</v>
      </c>
      <c r="K117" s="34">
        <v>33</v>
      </c>
      <c r="L117" s="220">
        <f t="shared" si="3"/>
        <v>70</v>
      </c>
    </row>
    <row r="118" spans="1:12" x14ac:dyDescent="0.35">
      <c r="A118" s="287"/>
      <c r="B118" s="287"/>
      <c r="C118" s="34" t="s">
        <v>1623</v>
      </c>
      <c r="D118" s="32" t="s">
        <v>1674</v>
      </c>
      <c r="E118" s="32" t="s">
        <v>1683</v>
      </c>
      <c r="F118" s="32" t="s">
        <v>1682</v>
      </c>
      <c r="G118" s="33" t="s">
        <v>803</v>
      </c>
      <c r="H118" s="34">
        <v>7</v>
      </c>
      <c r="I118" s="34">
        <v>7</v>
      </c>
      <c r="J118" s="34">
        <v>24</v>
      </c>
      <c r="K118" s="34">
        <v>35</v>
      </c>
      <c r="L118" s="220">
        <f t="shared" si="3"/>
        <v>73</v>
      </c>
    </row>
    <row r="119" spans="1:12" x14ac:dyDescent="0.35">
      <c r="A119" s="287"/>
      <c r="B119" s="287"/>
      <c r="C119" s="34" t="s">
        <v>1623</v>
      </c>
      <c r="D119" s="32" t="s">
        <v>1674</v>
      </c>
      <c r="E119" s="32" t="s">
        <v>1693</v>
      </c>
      <c r="F119" s="32" t="s">
        <v>189</v>
      </c>
      <c r="G119" s="33" t="s">
        <v>804</v>
      </c>
      <c r="H119" s="34">
        <v>15</v>
      </c>
      <c r="I119" s="34">
        <v>30</v>
      </c>
      <c r="J119" s="34">
        <v>40</v>
      </c>
      <c r="K119" s="34">
        <v>60</v>
      </c>
      <c r="L119" s="220">
        <f t="shared" si="3"/>
        <v>145</v>
      </c>
    </row>
    <row r="120" spans="1:12" x14ac:dyDescent="0.35">
      <c r="A120" s="287"/>
      <c r="B120" s="287"/>
      <c r="C120" s="34" t="s">
        <v>1623</v>
      </c>
      <c r="D120" s="32" t="s">
        <v>1674</v>
      </c>
      <c r="E120" s="32" t="s">
        <v>1689</v>
      </c>
      <c r="F120" s="32" t="s">
        <v>1682</v>
      </c>
      <c r="G120" s="33" t="s">
        <v>805</v>
      </c>
      <c r="H120" s="34">
        <v>5</v>
      </c>
      <c r="I120" s="34">
        <v>8</v>
      </c>
      <c r="J120" s="34">
        <v>29</v>
      </c>
      <c r="K120" s="34">
        <v>30</v>
      </c>
      <c r="L120" s="220">
        <f t="shared" si="3"/>
        <v>72</v>
      </c>
    </row>
    <row r="121" spans="1:12" x14ac:dyDescent="0.35">
      <c r="A121" s="287"/>
      <c r="B121" s="287"/>
      <c r="C121" s="34" t="s">
        <v>1623</v>
      </c>
      <c r="D121" s="32" t="s">
        <v>1674</v>
      </c>
      <c r="E121" s="32" t="s">
        <v>1689</v>
      </c>
      <c r="F121" s="32" t="s">
        <v>1682</v>
      </c>
      <c r="G121" s="33" t="s">
        <v>806</v>
      </c>
      <c r="H121" s="34">
        <v>14</v>
      </c>
      <c r="I121" s="34">
        <v>20</v>
      </c>
      <c r="J121" s="34">
        <v>19</v>
      </c>
      <c r="K121" s="34">
        <v>31</v>
      </c>
      <c r="L121" s="220">
        <f t="shared" si="3"/>
        <v>84</v>
      </c>
    </row>
    <row r="122" spans="1:12" x14ac:dyDescent="0.35">
      <c r="A122" s="287"/>
      <c r="B122" s="287"/>
      <c r="C122" s="34" t="s">
        <v>1623</v>
      </c>
      <c r="D122" s="32" t="s">
        <v>1674</v>
      </c>
      <c r="E122" s="32" t="s">
        <v>1683</v>
      </c>
      <c r="F122" s="32" t="s">
        <v>1684</v>
      </c>
      <c r="G122" s="33" t="s">
        <v>807</v>
      </c>
      <c r="H122" s="34">
        <v>13</v>
      </c>
      <c r="I122" s="34">
        <v>12</v>
      </c>
      <c r="J122" s="34">
        <v>38</v>
      </c>
      <c r="K122" s="34">
        <v>31</v>
      </c>
      <c r="L122" s="220">
        <f t="shared" si="3"/>
        <v>94</v>
      </c>
    </row>
    <row r="123" spans="1:12" x14ac:dyDescent="0.35">
      <c r="A123" s="287"/>
      <c r="B123" s="287"/>
      <c r="C123" s="34" t="s">
        <v>1623</v>
      </c>
      <c r="D123" s="32" t="s">
        <v>1674</v>
      </c>
      <c r="E123" s="32" t="s">
        <v>1683</v>
      </c>
      <c r="F123" s="32" t="s">
        <v>1689</v>
      </c>
      <c r="G123" s="33" t="s">
        <v>808</v>
      </c>
      <c r="H123" s="34">
        <v>8</v>
      </c>
      <c r="I123" s="34">
        <v>13</v>
      </c>
      <c r="J123" s="34">
        <v>37</v>
      </c>
      <c r="K123" s="34">
        <v>28</v>
      </c>
      <c r="L123" s="220">
        <f t="shared" si="3"/>
        <v>86</v>
      </c>
    </row>
    <row r="124" spans="1:12" x14ac:dyDescent="0.35">
      <c r="A124" s="287"/>
      <c r="B124" s="287"/>
      <c r="C124" s="34" t="s">
        <v>1623</v>
      </c>
      <c r="D124" s="32" t="s">
        <v>1674</v>
      </c>
      <c r="E124" s="32" t="s">
        <v>1683</v>
      </c>
      <c r="F124" s="32" t="s">
        <v>1689</v>
      </c>
      <c r="G124" s="33" t="s">
        <v>809</v>
      </c>
      <c r="H124" s="34">
        <v>9</v>
      </c>
      <c r="I124" s="34">
        <v>12</v>
      </c>
      <c r="J124" s="34">
        <v>24</v>
      </c>
      <c r="K124" s="34">
        <v>18</v>
      </c>
      <c r="L124" s="220">
        <f t="shared" si="3"/>
        <v>63</v>
      </c>
    </row>
    <row r="125" spans="1:12" x14ac:dyDescent="0.35">
      <c r="A125" s="287"/>
      <c r="B125" s="287"/>
      <c r="C125" s="34" t="s">
        <v>1623</v>
      </c>
      <c r="D125" s="32" t="s">
        <v>1674</v>
      </c>
      <c r="E125" s="32" t="s">
        <v>1683</v>
      </c>
      <c r="F125" s="32" t="s">
        <v>1689</v>
      </c>
      <c r="G125" s="33" t="s">
        <v>810</v>
      </c>
      <c r="H125" s="34">
        <v>11</v>
      </c>
      <c r="I125" s="34">
        <v>16</v>
      </c>
      <c r="J125" s="34">
        <v>28</v>
      </c>
      <c r="K125" s="34">
        <v>33</v>
      </c>
      <c r="L125" s="220">
        <f t="shared" si="3"/>
        <v>88</v>
      </c>
    </row>
    <row r="126" spans="1:12" x14ac:dyDescent="0.35">
      <c r="A126" s="287"/>
      <c r="B126" s="287"/>
      <c r="C126" s="34" t="s">
        <v>1623</v>
      </c>
      <c r="D126" s="32" t="s">
        <v>1674</v>
      </c>
      <c r="E126" s="32" t="s">
        <v>1686</v>
      </c>
      <c r="F126" s="32" t="s">
        <v>1690</v>
      </c>
      <c r="G126" s="33" t="s">
        <v>811</v>
      </c>
      <c r="H126" s="34">
        <v>4</v>
      </c>
      <c r="I126" s="34">
        <v>6</v>
      </c>
      <c r="J126" s="34">
        <v>32</v>
      </c>
      <c r="K126" s="34">
        <v>24</v>
      </c>
      <c r="L126" s="220">
        <f t="shared" si="3"/>
        <v>66</v>
      </c>
    </row>
    <row r="127" spans="1:12" x14ac:dyDescent="0.35">
      <c r="A127" s="287"/>
      <c r="B127" s="287"/>
      <c r="C127" s="34" t="s">
        <v>1623</v>
      </c>
      <c r="D127" s="32" t="s">
        <v>1674</v>
      </c>
      <c r="E127" s="32" t="s">
        <v>1693</v>
      </c>
      <c r="F127" s="32" t="s">
        <v>1693</v>
      </c>
      <c r="G127" s="33" t="s">
        <v>812</v>
      </c>
      <c r="H127" s="34">
        <v>8</v>
      </c>
      <c r="I127" s="34">
        <v>15</v>
      </c>
      <c r="J127" s="34">
        <v>20</v>
      </c>
      <c r="K127" s="34">
        <v>21</v>
      </c>
      <c r="L127" s="220">
        <f t="shared" si="3"/>
        <v>64</v>
      </c>
    </row>
    <row r="128" spans="1:12" x14ac:dyDescent="0.35">
      <c r="A128" s="287"/>
      <c r="B128" s="287"/>
      <c r="C128" s="34" t="s">
        <v>1623</v>
      </c>
      <c r="D128" s="32" t="s">
        <v>1674</v>
      </c>
      <c r="E128" s="32" t="s">
        <v>1683</v>
      </c>
      <c r="F128" s="32" t="s">
        <v>1684</v>
      </c>
      <c r="G128" s="33" t="s">
        <v>813</v>
      </c>
      <c r="H128" s="34">
        <v>8</v>
      </c>
      <c r="I128" s="34">
        <v>7</v>
      </c>
      <c r="J128" s="34">
        <v>33</v>
      </c>
      <c r="K128" s="34">
        <v>23</v>
      </c>
      <c r="L128" s="220">
        <f t="shared" si="3"/>
        <v>71</v>
      </c>
    </row>
    <row r="129" spans="1:12" x14ac:dyDescent="0.35">
      <c r="A129" s="287"/>
      <c r="B129" s="287"/>
      <c r="C129" s="34" t="s">
        <v>1623</v>
      </c>
      <c r="D129" s="32" t="s">
        <v>1674</v>
      </c>
      <c r="E129" s="32" t="s">
        <v>1683</v>
      </c>
      <c r="F129" s="32" t="s">
        <v>1689</v>
      </c>
      <c r="G129" s="33" t="s">
        <v>814</v>
      </c>
      <c r="H129" s="34">
        <v>10</v>
      </c>
      <c r="I129" s="34">
        <v>15</v>
      </c>
      <c r="J129" s="34">
        <v>44</v>
      </c>
      <c r="K129" s="34">
        <v>57</v>
      </c>
      <c r="L129" s="220">
        <f t="shared" si="3"/>
        <v>126</v>
      </c>
    </row>
    <row r="130" spans="1:12" x14ac:dyDescent="0.35">
      <c r="A130" s="287"/>
      <c r="B130" s="287"/>
      <c r="C130" s="34" t="s">
        <v>1623</v>
      </c>
      <c r="D130" s="32" t="s">
        <v>1674</v>
      </c>
      <c r="E130" s="32" t="s">
        <v>1686</v>
      </c>
      <c r="F130" s="32" t="s">
        <v>1685</v>
      </c>
      <c r="G130" s="33" t="s">
        <v>815</v>
      </c>
      <c r="H130" s="34">
        <v>10</v>
      </c>
      <c r="I130" s="34">
        <v>7</v>
      </c>
      <c r="J130" s="34">
        <v>24</v>
      </c>
      <c r="K130" s="34">
        <v>20</v>
      </c>
      <c r="L130" s="220">
        <f t="shared" si="3"/>
        <v>61</v>
      </c>
    </row>
    <row r="131" spans="1:12" x14ac:dyDescent="0.35">
      <c r="A131" s="287"/>
      <c r="B131" s="287"/>
      <c r="C131" s="34" t="s">
        <v>1623</v>
      </c>
      <c r="D131" s="32" t="s">
        <v>1674</v>
      </c>
      <c r="E131" s="32" t="s">
        <v>1686</v>
      </c>
      <c r="F131" s="32" t="s">
        <v>1692</v>
      </c>
      <c r="G131" s="33" t="s">
        <v>816</v>
      </c>
      <c r="H131" s="34">
        <v>6</v>
      </c>
      <c r="I131" s="34">
        <v>7</v>
      </c>
      <c r="J131" s="34">
        <v>35</v>
      </c>
      <c r="K131" s="34">
        <v>30</v>
      </c>
      <c r="L131" s="220">
        <f t="shared" si="3"/>
        <v>78</v>
      </c>
    </row>
    <row r="132" spans="1:12" x14ac:dyDescent="0.35">
      <c r="A132" s="287"/>
      <c r="B132" s="287"/>
      <c r="C132" s="34" t="s">
        <v>1623</v>
      </c>
      <c r="D132" s="32" t="s">
        <v>1674</v>
      </c>
      <c r="E132" s="32" t="s">
        <v>1693</v>
      </c>
      <c r="F132" s="32" t="s">
        <v>1693</v>
      </c>
      <c r="G132" s="33" t="s">
        <v>817</v>
      </c>
      <c r="H132" s="34">
        <v>4</v>
      </c>
      <c r="I132" s="34">
        <v>7</v>
      </c>
      <c r="J132" s="34">
        <v>13</v>
      </c>
      <c r="K132" s="34">
        <v>22</v>
      </c>
      <c r="L132" s="220">
        <f t="shared" si="3"/>
        <v>46</v>
      </c>
    </row>
    <row r="133" spans="1:12" x14ac:dyDescent="0.35">
      <c r="A133" s="287"/>
      <c r="B133" s="287"/>
      <c r="C133" s="34" t="s">
        <v>1623</v>
      </c>
      <c r="D133" s="32" t="s">
        <v>1674</v>
      </c>
      <c r="E133" s="32" t="s">
        <v>1686</v>
      </c>
      <c r="F133" s="32" t="s">
        <v>1691</v>
      </c>
      <c r="G133" s="33" t="s">
        <v>818</v>
      </c>
      <c r="H133" s="34">
        <v>6</v>
      </c>
      <c r="I133" s="34">
        <v>9</v>
      </c>
      <c r="J133" s="34">
        <v>17</v>
      </c>
      <c r="K133" s="34">
        <v>13</v>
      </c>
      <c r="L133" s="220">
        <f t="shared" si="3"/>
        <v>45</v>
      </c>
    </row>
    <row r="134" spans="1:12" x14ac:dyDescent="0.35">
      <c r="A134" s="287"/>
      <c r="B134" s="287"/>
      <c r="C134" s="34" t="s">
        <v>1623</v>
      </c>
      <c r="D134" s="32" t="s">
        <v>1674</v>
      </c>
      <c r="E134" s="32" t="s">
        <v>1683</v>
      </c>
      <c r="F134" s="32" t="s">
        <v>1684</v>
      </c>
      <c r="G134" s="33" t="s">
        <v>722</v>
      </c>
      <c r="H134" s="34">
        <v>15</v>
      </c>
      <c r="I134" s="34">
        <v>25</v>
      </c>
      <c r="J134" s="34">
        <v>15</v>
      </c>
      <c r="K134" s="34">
        <v>12</v>
      </c>
      <c r="L134" s="220">
        <f t="shared" ref="L134:L197" si="4">H134+I134+J134+K134</f>
        <v>67</v>
      </c>
    </row>
    <row r="135" spans="1:12" x14ac:dyDescent="0.35">
      <c r="A135" s="287"/>
      <c r="B135" s="287"/>
      <c r="C135" s="34" t="s">
        <v>1623</v>
      </c>
      <c r="D135" s="32" t="s">
        <v>1674</v>
      </c>
      <c r="E135" s="32" t="s">
        <v>1693</v>
      </c>
      <c r="F135" s="32" t="s">
        <v>1693</v>
      </c>
      <c r="G135" s="33" t="s">
        <v>819</v>
      </c>
      <c r="H135" s="34">
        <v>5</v>
      </c>
      <c r="I135" s="34">
        <v>9</v>
      </c>
      <c r="J135" s="34">
        <v>11</v>
      </c>
      <c r="K135" s="34">
        <v>25</v>
      </c>
      <c r="L135" s="220">
        <f t="shared" si="4"/>
        <v>50</v>
      </c>
    </row>
    <row r="136" spans="1:12" x14ac:dyDescent="0.35">
      <c r="A136" s="287"/>
      <c r="B136" s="287"/>
      <c r="C136" s="34" t="s">
        <v>1623</v>
      </c>
      <c r="D136" s="32" t="s">
        <v>1674</v>
      </c>
      <c r="E136" s="32" t="s">
        <v>1683</v>
      </c>
      <c r="F136" s="32" t="s">
        <v>1684</v>
      </c>
      <c r="G136" s="33" t="s">
        <v>436</v>
      </c>
      <c r="H136" s="34">
        <v>10</v>
      </c>
      <c r="I136" s="34">
        <v>10</v>
      </c>
      <c r="J136" s="34">
        <v>14</v>
      </c>
      <c r="K136" s="34">
        <v>22</v>
      </c>
      <c r="L136" s="220">
        <f t="shared" si="4"/>
        <v>56</v>
      </c>
    </row>
    <row r="137" spans="1:12" x14ac:dyDescent="0.35">
      <c r="A137" s="287"/>
      <c r="B137" s="287"/>
      <c r="C137" s="34" t="s">
        <v>1623</v>
      </c>
      <c r="D137" s="32" t="s">
        <v>1674</v>
      </c>
      <c r="E137" s="32" t="s">
        <v>1683</v>
      </c>
      <c r="F137" s="32" t="s">
        <v>1689</v>
      </c>
      <c r="G137" s="33" t="s">
        <v>820</v>
      </c>
      <c r="H137" s="34">
        <v>9</v>
      </c>
      <c r="I137" s="34">
        <v>12</v>
      </c>
      <c r="J137" s="34">
        <v>10</v>
      </c>
      <c r="K137" s="34">
        <v>21</v>
      </c>
      <c r="L137" s="220">
        <f t="shared" si="4"/>
        <v>52</v>
      </c>
    </row>
    <row r="138" spans="1:12" x14ac:dyDescent="0.35">
      <c r="A138" s="287"/>
      <c r="B138" s="287"/>
      <c r="C138" s="34" t="s">
        <v>1623</v>
      </c>
      <c r="D138" s="32" t="s">
        <v>1674</v>
      </c>
      <c r="E138" s="32" t="s">
        <v>1683</v>
      </c>
      <c r="F138" s="32" t="s">
        <v>1689</v>
      </c>
      <c r="G138" s="33" t="s">
        <v>821</v>
      </c>
      <c r="H138" s="34">
        <v>5</v>
      </c>
      <c r="I138" s="34">
        <v>9</v>
      </c>
      <c r="J138" s="34">
        <v>21</v>
      </c>
      <c r="K138" s="34">
        <v>27</v>
      </c>
      <c r="L138" s="220">
        <f t="shared" si="4"/>
        <v>62</v>
      </c>
    </row>
    <row r="139" spans="1:12" x14ac:dyDescent="0.35">
      <c r="A139" s="287"/>
      <c r="B139" s="287"/>
      <c r="C139" s="34" t="s">
        <v>1623</v>
      </c>
      <c r="D139" s="32" t="s">
        <v>1674</v>
      </c>
      <c r="E139" s="32" t="s">
        <v>1683</v>
      </c>
      <c r="F139" s="32" t="s">
        <v>1689</v>
      </c>
      <c r="G139" s="33" t="s">
        <v>822</v>
      </c>
      <c r="H139" s="34">
        <v>5</v>
      </c>
      <c r="I139" s="34">
        <v>6</v>
      </c>
      <c r="J139" s="34">
        <v>16</v>
      </c>
      <c r="K139" s="34">
        <v>20</v>
      </c>
      <c r="L139" s="220">
        <f t="shared" si="4"/>
        <v>47</v>
      </c>
    </row>
    <row r="140" spans="1:12" x14ac:dyDescent="0.35">
      <c r="A140" s="287"/>
      <c r="B140" s="287"/>
      <c r="C140" s="34" t="s">
        <v>1623</v>
      </c>
      <c r="D140" s="32" t="s">
        <v>1674</v>
      </c>
      <c r="E140" s="32" t="s">
        <v>1683</v>
      </c>
      <c r="F140" s="32" t="s">
        <v>1689</v>
      </c>
      <c r="G140" s="33" t="s">
        <v>823</v>
      </c>
      <c r="H140" s="34">
        <v>11</v>
      </c>
      <c r="I140" s="34">
        <v>11</v>
      </c>
      <c r="J140" s="34">
        <v>26</v>
      </c>
      <c r="K140" s="34">
        <v>33</v>
      </c>
      <c r="L140" s="220">
        <f t="shared" si="4"/>
        <v>81</v>
      </c>
    </row>
    <row r="141" spans="1:12" x14ac:dyDescent="0.35">
      <c r="A141" s="287"/>
      <c r="B141" s="287"/>
      <c r="C141" s="34" t="s">
        <v>1623</v>
      </c>
      <c r="D141" s="32" t="s">
        <v>1674</v>
      </c>
      <c r="E141" s="32" t="s">
        <v>1686</v>
      </c>
      <c r="F141" s="32" t="s">
        <v>1690</v>
      </c>
      <c r="G141" s="33" t="s">
        <v>824</v>
      </c>
      <c r="H141" s="34">
        <v>4</v>
      </c>
      <c r="I141" s="34">
        <v>5</v>
      </c>
      <c r="J141" s="34">
        <v>8</v>
      </c>
      <c r="K141" s="34">
        <v>10</v>
      </c>
      <c r="L141" s="220">
        <f t="shared" si="4"/>
        <v>27</v>
      </c>
    </row>
    <row r="142" spans="1:12" x14ac:dyDescent="0.35">
      <c r="A142" s="287"/>
      <c r="B142" s="287"/>
      <c r="C142" s="34" t="s">
        <v>1623</v>
      </c>
      <c r="D142" s="32" t="s">
        <v>1674</v>
      </c>
      <c r="E142" s="32" t="s">
        <v>1686</v>
      </c>
      <c r="F142" s="32" t="s">
        <v>1690</v>
      </c>
      <c r="G142" s="33" t="s">
        <v>711</v>
      </c>
      <c r="H142" s="34">
        <v>21</v>
      </c>
      <c r="I142" s="34">
        <v>31</v>
      </c>
      <c r="J142" s="34">
        <v>48</v>
      </c>
      <c r="K142" s="34">
        <v>64</v>
      </c>
      <c r="L142" s="220">
        <f t="shared" si="4"/>
        <v>164</v>
      </c>
    </row>
    <row r="143" spans="1:12" x14ac:dyDescent="0.35">
      <c r="A143" s="287"/>
      <c r="B143" s="287"/>
      <c r="C143" s="34" t="s">
        <v>1623</v>
      </c>
      <c r="D143" s="32" t="s">
        <v>1674</v>
      </c>
      <c r="E143" s="32" t="s">
        <v>1683</v>
      </c>
      <c r="F143" s="32" t="s">
        <v>1682</v>
      </c>
      <c r="G143" s="33" t="s">
        <v>825</v>
      </c>
      <c r="H143" s="34">
        <v>5</v>
      </c>
      <c r="I143" s="34">
        <v>12</v>
      </c>
      <c r="J143" s="34">
        <v>26</v>
      </c>
      <c r="K143" s="34">
        <v>35</v>
      </c>
      <c r="L143" s="220">
        <f t="shared" si="4"/>
        <v>78</v>
      </c>
    </row>
    <row r="144" spans="1:12" x14ac:dyDescent="0.35">
      <c r="A144" s="287"/>
      <c r="B144" s="287"/>
      <c r="C144" s="34" t="s">
        <v>1623</v>
      </c>
      <c r="D144" s="32" t="s">
        <v>1674</v>
      </c>
      <c r="E144" s="32" t="s">
        <v>1683</v>
      </c>
      <c r="F144" s="32" t="s">
        <v>1684</v>
      </c>
      <c r="G144" s="33" t="s">
        <v>826</v>
      </c>
      <c r="H144" s="34">
        <v>3</v>
      </c>
      <c r="I144" s="34">
        <v>4</v>
      </c>
      <c r="J144" s="34">
        <v>20</v>
      </c>
      <c r="K144" s="34">
        <v>24</v>
      </c>
      <c r="L144" s="220">
        <f t="shared" si="4"/>
        <v>51</v>
      </c>
    </row>
    <row r="145" spans="1:12" x14ac:dyDescent="0.35">
      <c r="A145" s="287"/>
      <c r="B145" s="287"/>
      <c r="C145" s="34" t="s">
        <v>1623</v>
      </c>
      <c r="D145" s="32" t="s">
        <v>1674</v>
      </c>
      <c r="E145" s="32" t="s">
        <v>1683</v>
      </c>
      <c r="F145" s="32" t="s">
        <v>1684</v>
      </c>
      <c r="G145" s="33" t="s">
        <v>827</v>
      </c>
      <c r="H145" s="34">
        <v>7</v>
      </c>
      <c r="I145" s="34">
        <v>10</v>
      </c>
      <c r="J145" s="34">
        <v>18</v>
      </c>
      <c r="K145" s="34">
        <v>20</v>
      </c>
      <c r="L145" s="220">
        <f t="shared" si="4"/>
        <v>55</v>
      </c>
    </row>
    <row r="146" spans="1:12" x14ac:dyDescent="0.35">
      <c r="A146" s="287"/>
      <c r="B146" s="287"/>
      <c r="C146" s="34" t="s">
        <v>1623</v>
      </c>
      <c r="D146" s="32" t="s">
        <v>1674</v>
      </c>
      <c r="E146" s="32" t="s">
        <v>1683</v>
      </c>
      <c r="F146" s="32" t="s">
        <v>1682</v>
      </c>
      <c r="G146" s="33" t="s">
        <v>828</v>
      </c>
      <c r="H146" s="34">
        <v>3</v>
      </c>
      <c r="I146" s="34">
        <v>1</v>
      </c>
      <c r="J146" s="34">
        <v>14</v>
      </c>
      <c r="K146" s="34">
        <v>13</v>
      </c>
      <c r="L146" s="220">
        <f t="shared" si="4"/>
        <v>31</v>
      </c>
    </row>
    <row r="147" spans="1:12" x14ac:dyDescent="0.35">
      <c r="A147" s="287"/>
      <c r="B147" s="287"/>
      <c r="C147" s="34" t="s">
        <v>1623</v>
      </c>
      <c r="D147" s="32" t="s">
        <v>1674</v>
      </c>
      <c r="E147" s="32" t="s">
        <v>1686</v>
      </c>
      <c r="F147" s="32" t="s">
        <v>1690</v>
      </c>
      <c r="G147" s="33" t="s">
        <v>829</v>
      </c>
      <c r="H147" s="34">
        <v>2</v>
      </c>
      <c r="I147" s="34">
        <v>9</v>
      </c>
      <c r="J147" s="34">
        <v>11</v>
      </c>
      <c r="K147" s="34">
        <v>13</v>
      </c>
      <c r="L147" s="220">
        <f t="shared" si="4"/>
        <v>35</v>
      </c>
    </row>
    <row r="148" spans="1:12" x14ac:dyDescent="0.35">
      <c r="A148" s="287"/>
      <c r="B148" s="287"/>
      <c r="C148" s="34" t="s">
        <v>1623</v>
      </c>
      <c r="D148" s="32" t="s">
        <v>1674</v>
      </c>
      <c r="E148" s="32" t="s">
        <v>1686</v>
      </c>
      <c r="F148" s="32" t="s">
        <v>1690</v>
      </c>
      <c r="G148" s="33" t="s">
        <v>830</v>
      </c>
      <c r="H148" s="34">
        <v>4</v>
      </c>
      <c r="I148" s="34">
        <v>5</v>
      </c>
      <c r="J148" s="34">
        <v>8</v>
      </c>
      <c r="K148" s="34">
        <v>12</v>
      </c>
      <c r="L148" s="220">
        <f t="shared" si="4"/>
        <v>29</v>
      </c>
    </row>
    <row r="149" spans="1:12" x14ac:dyDescent="0.35">
      <c r="A149" s="287"/>
      <c r="B149" s="287"/>
      <c r="C149" s="34" t="s">
        <v>1623</v>
      </c>
      <c r="D149" s="32" t="s">
        <v>1674</v>
      </c>
      <c r="E149" s="32" t="s">
        <v>1689</v>
      </c>
      <c r="F149" s="32" t="s">
        <v>1684</v>
      </c>
      <c r="G149" s="33" t="s">
        <v>831</v>
      </c>
      <c r="H149" s="34">
        <v>4</v>
      </c>
      <c r="I149" s="34">
        <v>10</v>
      </c>
      <c r="J149" s="34">
        <v>12</v>
      </c>
      <c r="K149" s="34">
        <v>5</v>
      </c>
      <c r="L149" s="220">
        <f t="shared" si="4"/>
        <v>31</v>
      </c>
    </row>
    <row r="150" spans="1:12" ht="16.5" customHeight="1" x14ac:dyDescent="0.35">
      <c r="A150" s="287"/>
      <c r="B150" s="287"/>
      <c r="C150" s="34" t="s">
        <v>1623</v>
      </c>
      <c r="D150" s="32" t="s">
        <v>1674</v>
      </c>
      <c r="E150" s="32" t="s">
        <v>1686</v>
      </c>
      <c r="F150" s="32" t="s">
        <v>1691</v>
      </c>
      <c r="G150" s="33" t="s">
        <v>832</v>
      </c>
      <c r="H150" s="34">
        <v>4</v>
      </c>
      <c r="I150" s="34">
        <v>3</v>
      </c>
      <c r="J150" s="34">
        <v>10</v>
      </c>
      <c r="K150" s="34">
        <v>6</v>
      </c>
      <c r="L150" s="220">
        <f t="shared" si="4"/>
        <v>23</v>
      </c>
    </row>
    <row r="151" spans="1:12" x14ac:dyDescent="0.35">
      <c r="A151" s="287"/>
      <c r="B151" s="287"/>
      <c r="C151" s="34" t="s">
        <v>1623</v>
      </c>
      <c r="D151" s="32" t="s">
        <v>1674</v>
      </c>
      <c r="E151" s="32" t="s">
        <v>1686</v>
      </c>
      <c r="F151" s="32" t="s">
        <v>1687</v>
      </c>
      <c r="G151" s="33" t="s">
        <v>833</v>
      </c>
      <c r="H151" s="34">
        <v>8</v>
      </c>
      <c r="I151" s="34">
        <v>12</v>
      </c>
      <c r="J151" s="34">
        <v>13</v>
      </c>
      <c r="K151" s="34">
        <v>15</v>
      </c>
      <c r="L151" s="220">
        <f t="shared" si="4"/>
        <v>48</v>
      </c>
    </row>
    <row r="152" spans="1:12" x14ac:dyDescent="0.35">
      <c r="A152" s="287"/>
      <c r="B152" s="287"/>
      <c r="C152" s="34" t="s">
        <v>1623</v>
      </c>
      <c r="D152" s="32" t="s">
        <v>1674</v>
      </c>
      <c r="E152" s="32" t="s">
        <v>1683</v>
      </c>
      <c r="F152" s="32" t="s">
        <v>1684</v>
      </c>
      <c r="G152" s="33" t="s">
        <v>834</v>
      </c>
      <c r="H152" s="34">
        <v>3</v>
      </c>
      <c r="I152" s="34">
        <v>13</v>
      </c>
      <c r="J152" s="34">
        <v>28</v>
      </c>
      <c r="K152" s="34">
        <v>10</v>
      </c>
      <c r="L152" s="220">
        <f t="shared" si="4"/>
        <v>54</v>
      </c>
    </row>
    <row r="153" spans="1:12" x14ac:dyDescent="0.35">
      <c r="A153" s="287"/>
      <c r="B153" s="287"/>
      <c r="C153" s="34" t="s">
        <v>1623</v>
      </c>
      <c r="D153" s="32" t="s">
        <v>1674</v>
      </c>
      <c r="E153" s="32" t="s">
        <v>1683</v>
      </c>
      <c r="F153" s="32" t="s">
        <v>1684</v>
      </c>
      <c r="G153" s="33" t="s">
        <v>835</v>
      </c>
      <c r="H153" s="34">
        <v>0</v>
      </c>
      <c r="I153" s="34">
        <v>2</v>
      </c>
      <c r="J153" s="34">
        <v>12</v>
      </c>
      <c r="K153" s="34">
        <v>12</v>
      </c>
      <c r="L153" s="220">
        <f t="shared" si="4"/>
        <v>26</v>
      </c>
    </row>
    <row r="154" spans="1:12" x14ac:dyDescent="0.35">
      <c r="A154" s="287"/>
      <c r="B154" s="287"/>
      <c r="C154" s="34" t="s">
        <v>1623</v>
      </c>
      <c r="D154" s="32" t="s">
        <v>1674</v>
      </c>
      <c r="E154" s="32" t="s">
        <v>1683</v>
      </c>
      <c r="F154" s="32" t="s">
        <v>1684</v>
      </c>
      <c r="G154" s="33" t="s">
        <v>710</v>
      </c>
      <c r="H154" s="34">
        <v>12</v>
      </c>
      <c r="I154" s="34">
        <v>17</v>
      </c>
      <c r="J154" s="34">
        <v>13</v>
      </c>
      <c r="K154" s="34">
        <v>18</v>
      </c>
      <c r="L154" s="220">
        <f t="shared" si="4"/>
        <v>60</v>
      </c>
    </row>
    <row r="155" spans="1:12" x14ac:dyDescent="0.35">
      <c r="A155" s="287"/>
      <c r="B155" s="287"/>
      <c r="C155" s="34" t="s">
        <v>1623</v>
      </c>
      <c r="D155" s="32" t="s">
        <v>1674</v>
      </c>
      <c r="E155" s="32" t="s">
        <v>1689</v>
      </c>
      <c r="F155" s="32" t="s">
        <v>1682</v>
      </c>
      <c r="G155" s="33" t="s">
        <v>836</v>
      </c>
      <c r="H155" s="34">
        <v>4</v>
      </c>
      <c r="I155" s="34">
        <v>16</v>
      </c>
      <c r="J155" s="34">
        <v>15</v>
      </c>
      <c r="K155" s="34">
        <v>20</v>
      </c>
      <c r="L155" s="220">
        <f t="shared" si="4"/>
        <v>55</v>
      </c>
    </row>
    <row r="156" spans="1:12" x14ac:dyDescent="0.35">
      <c r="A156" s="287"/>
      <c r="B156" s="287"/>
      <c r="C156" s="34" t="s">
        <v>1623</v>
      </c>
      <c r="D156" s="32" t="s">
        <v>1674</v>
      </c>
      <c r="E156" s="32" t="s">
        <v>1683</v>
      </c>
      <c r="F156" s="32" t="s">
        <v>1689</v>
      </c>
      <c r="G156" s="33" t="s">
        <v>837</v>
      </c>
      <c r="H156" s="34">
        <v>13</v>
      </c>
      <c r="I156" s="34">
        <v>18</v>
      </c>
      <c r="J156" s="34">
        <v>29</v>
      </c>
      <c r="K156" s="34">
        <v>32</v>
      </c>
      <c r="L156" s="220">
        <f t="shared" si="4"/>
        <v>92</v>
      </c>
    </row>
    <row r="157" spans="1:12" x14ac:dyDescent="0.35">
      <c r="A157" s="287"/>
      <c r="B157" s="287"/>
      <c r="C157" s="34" t="s">
        <v>1623</v>
      </c>
      <c r="D157" s="32" t="s">
        <v>1674</v>
      </c>
      <c r="E157" s="32" t="s">
        <v>1683</v>
      </c>
      <c r="F157" s="32" t="s">
        <v>1689</v>
      </c>
      <c r="G157" s="33" t="s">
        <v>838</v>
      </c>
      <c r="H157" s="34">
        <v>12</v>
      </c>
      <c r="I157" s="34">
        <v>14</v>
      </c>
      <c r="J157" s="34">
        <v>32</v>
      </c>
      <c r="K157" s="34">
        <v>18</v>
      </c>
      <c r="L157" s="220">
        <f t="shared" si="4"/>
        <v>76</v>
      </c>
    </row>
    <row r="158" spans="1:12" x14ac:dyDescent="0.35">
      <c r="A158" s="287"/>
      <c r="B158" s="287"/>
      <c r="C158" s="34" t="s">
        <v>1623</v>
      </c>
      <c r="D158" s="32" t="s">
        <v>1674</v>
      </c>
      <c r="E158" s="32" t="s">
        <v>1683</v>
      </c>
      <c r="F158" s="32" t="s">
        <v>1682</v>
      </c>
      <c r="G158" s="33" t="s">
        <v>839</v>
      </c>
      <c r="H158" s="34">
        <v>10</v>
      </c>
      <c r="I158" s="34">
        <v>10</v>
      </c>
      <c r="J158" s="34">
        <v>21</v>
      </c>
      <c r="K158" s="34">
        <v>35</v>
      </c>
      <c r="L158" s="220">
        <f t="shared" si="4"/>
        <v>76</v>
      </c>
    </row>
    <row r="159" spans="1:12" x14ac:dyDescent="0.35">
      <c r="A159" s="287"/>
      <c r="B159" s="287"/>
      <c r="C159" s="34" t="s">
        <v>1623</v>
      </c>
      <c r="D159" s="32" t="s">
        <v>1674</v>
      </c>
      <c r="E159" s="32" t="s">
        <v>1683</v>
      </c>
      <c r="F159" s="32" t="s">
        <v>1684</v>
      </c>
      <c r="G159" s="33" t="s">
        <v>840</v>
      </c>
      <c r="H159" s="34">
        <v>11</v>
      </c>
      <c r="I159" s="34">
        <v>13</v>
      </c>
      <c r="J159" s="34">
        <v>16</v>
      </c>
      <c r="K159" s="34">
        <v>29</v>
      </c>
      <c r="L159" s="220">
        <f t="shared" si="4"/>
        <v>69</v>
      </c>
    </row>
    <row r="160" spans="1:12" x14ac:dyDescent="0.35">
      <c r="A160" s="287"/>
      <c r="B160" s="287"/>
      <c r="C160" s="34" t="s">
        <v>1623</v>
      </c>
      <c r="D160" s="32" t="s">
        <v>1674</v>
      </c>
      <c r="E160" s="32" t="s">
        <v>1683</v>
      </c>
      <c r="F160" s="32" t="s">
        <v>1684</v>
      </c>
      <c r="G160" s="33" t="s">
        <v>841</v>
      </c>
      <c r="H160" s="34">
        <v>3</v>
      </c>
      <c r="I160" s="34">
        <v>5</v>
      </c>
      <c r="J160" s="34">
        <v>25</v>
      </c>
      <c r="K160" s="34">
        <v>28</v>
      </c>
      <c r="L160" s="220">
        <f t="shared" si="4"/>
        <v>61</v>
      </c>
    </row>
    <row r="161" spans="1:12" x14ac:dyDescent="0.35">
      <c r="A161" s="287"/>
      <c r="B161" s="287"/>
      <c r="C161" s="34" t="s">
        <v>1623</v>
      </c>
      <c r="D161" s="32" t="s">
        <v>1674</v>
      </c>
      <c r="E161" s="32" t="s">
        <v>1686</v>
      </c>
      <c r="F161" s="32" t="s">
        <v>1687</v>
      </c>
      <c r="G161" s="33" t="s">
        <v>799</v>
      </c>
      <c r="H161" s="34">
        <v>3</v>
      </c>
      <c r="I161" s="34">
        <v>13</v>
      </c>
      <c r="J161" s="34">
        <v>23</v>
      </c>
      <c r="K161" s="34">
        <v>30</v>
      </c>
      <c r="L161" s="220">
        <f t="shared" si="4"/>
        <v>69</v>
      </c>
    </row>
    <row r="162" spans="1:12" x14ac:dyDescent="0.35">
      <c r="A162" s="52"/>
      <c r="B162" s="52"/>
      <c r="C162" s="52"/>
      <c r="D162" s="52"/>
      <c r="E162" s="52"/>
      <c r="F162" s="52"/>
      <c r="G162" s="52" t="s">
        <v>2</v>
      </c>
      <c r="H162" s="53">
        <f t="shared" ref="H162:K162" si="5">SUM(H64:H161)</f>
        <v>636</v>
      </c>
      <c r="I162" s="53">
        <f t="shared" si="5"/>
        <v>861</v>
      </c>
      <c r="J162" s="53">
        <f t="shared" si="5"/>
        <v>1701</v>
      </c>
      <c r="K162" s="53">
        <f t="shared" si="5"/>
        <v>1906</v>
      </c>
      <c r="L162" s="225">
        <f t="shared" si="4"/>
        <v>5104</v>
      </c>
    </row>
    <row r="163" spans="1:12" x14ac:dyDescent="0.35">
      <c r="A163" s="287">
        <v>4</v>
      </c>
      <c r="B163" s="287" t="s">
        <v>1877</v>
      </c>
      <c r="C163" s="34" t="s">
        <v>1623</v>
      </c>
      <c r="D163" s="32" t="s">
        <v>1674</v>
      </c>
      <c r="E163" s="32" t="s">
        <v>188</v>
      </c>
      <c r="F163" s="32" t="s">
        <v>188</v>
      </c>
      <c r="G163" s="33" t="s">
        <v>843</v>
      </c>
      <c r="H163" s="34">
        <v>7</v>
      </c>
      <c r="I163" s="34">
        <v>8</v>
      </c>
      <c r="J163" s="34">
        <v>18</v>
      </c>
      <c r="K163" s="34">
        <v>11</v>
      </c>
      <c r="L163" s="220">
        <f t="shared" si="4"/>
        <v>44</v>
      </c>
    </row>
    <row r="164" spans="1:12" x14ac:dyDescent="0.35">
      <c r="A164" s="287"/>
      <c r="B164" s="287"/>
      <c r="C164" s="34" t="s">
        <v>1623</v>
      </c>
      <c r="D164" s="32" t="s">
        <v>1674</v>
      </c>
      <c r="E164" s="32" t="s">
        <v>188</v>
      </c>
      <c r="F164" s="32" t="s">
        <v>188</v>
      </c>
      <c r="G164" s="33" t="s">
        <v>844</v>
      </c>
      <c r="H164" s="34">
        <v>8</v>
      </c>
      <c r="I164" s="34">
        <v>8</v>
      </c>
      <c r="J164" s="34">
        <v>15</v>
      </c>
      <c r="K164" s="34">
        <v>15</v>
      </c>
      <c r="L164" s="220">
        <f t="shared" si="4"/>
        <v>46</v>
      </c>
    </row>
    <row r="165" spans="1:12" x14ac:dyDescent="0.35">
      <c r="A165" s="287"/>
      <c r="B165" s="287"/>
      <c r="C165" s="34" t="s">
        <v>1623</v>
      </c>
      <c r="D165" s="32" t="s">
        <v>1674</v>
      </c>
      <c r="E165" s="32" t="s">
        <v>188</v>
      </c>
      <c r="F165" s="32" t="s">
        <v>188</v>
      </c>
      <c r="G165" s="33" t="s">
        <v>845</v>
      </c>
      <c r="H165" s="34">
        <v>9</v>
      </c>
      <c r="I165" s="34">
        <v>10</v>
      </c>
      <c r="J165" s="34">
        <v>15</v>
      </c>
      <c r="K165" s="34">
        <v>15</v>
      </c>
      <c r="L165" s="220">
        <f t="shared" si="4"/>
        <v>49</v>
      </c>
    </row>
    <row r="166" spans="1:12" x14ac:dyDescent="0.35">
      <c r="A166" s="287"/>
      <c r="B166" s="287"/>
      <c r="C166" s="34" t="s">
        <v>1623</v>
      </c>
      <c r="D166" s="32" t="s">
        <v>1674</v>
      </c>
      <c r="E166" s="32" t="s">
        <v>188</v>
      </c>
      <c r="F166" s="32" t="s">
        <v>188</v>
      </c>
      <c r="G166" s="33" t="s">
        <v>846</v>
      </c>
      <c r="H166" s="34">
        <v>33</v>
      </c>
      <c r="I166" s="34">
        <v>37</v>
      </c>
      <c r="J166" s="34">
        <v>31</v>
      </c>
      <c r="K166" s="34">
        <v>37</v>
      </c>
      <c r="L166" s="220">
        <f t="shared" si="4"/>
        <v>138</v>
      </c>
    </row>
    <row r="167" spans="1:12" x14ac:dyDescent="0.35">
      <c r="A167" s="287"/>
      <c r="B167" s="287"/>
      <c r="C167" s="34" t="s">
        <v>1623</v>
      </c>
      <c r="D167" s="32" t="s">
        <v>1674</v>
      </c>
      <c r="E167" s="32" t="s">
        <v>188</v>
      </c>
      <c r="F167" s="32" t="s">
        <v>1697</v>
      </c>
      <c r="G167" s="33" t="s">
        <v>847</v>
      </c>
      <c r="H167" s="34">
        <v>8</v>
      </c>
      <c r="I167" s="34">
        <v>6</v>
      </c>
      <c r="J167" s="34">
        <v>15</v>
      </c>
      <c r="K167" s="34">
        <v>15</v>
      </c>
      <c r="L167" s="220">
        <f t="shared" si="4"/>
        <v>44</v>
      </c>
    </row>
    <row r="168" spans="1:12" x14ac:dyDescent="0.35">
      <c r="A168" s="287"/>
      <c r="B168" s="287"/>
      <c r="C168" s="34" t="s">
        <v>1623</v>
      </c>
      <c r="D168" s="32" t="s">
        <v>1674</v>
      </c>
      <c r="E168" s="32" t="s">
        <v>188</v>
      </c>
      <c r="F168" s="32" t="s">
        <v>1698</v>
      </c>
      <c r="G168" s="33" t="s">
        <v>776</v>
      </c>
      <c r="H168" s="34">
        <v>12</v>
      </c>
      <c r="I168" s="34">
        <v>18</v>
      </c>
      <c r="J168" s="34">
        <v>15</v>
      </c>
      <c r="K168" s="34">
        <v>15</v>
      </c>
      <c r="L168" s="220">
        <f t="shared" si="4"/>
        <v>60</v>
      </c>
    </row>
    <row r="169" spans="1:12" x14ac:dyDescent="0.35">
      <c r="A169" s="287"/>
      <c r="B169" s="287"/>
      <c r="C169" s="34" t="s">
        <v>1623</v>
      </c>
      <c r="D169" s="32" t="s">
        <v>1674</v>
      </c>
      <c r="E169" s="32" t="s">
        <v>188</v>
      </c>
      <c r="F169" s="32" t="s">
        <v>1697</v>
      </c>
      <c r="G169" s="33" t="s">
        <v>848</v>
      </c>
      <c r="H169" s="34">
        <v>7</v>
      </c>
      <c r="I169" s="34">
        <v>4</v>
      </c>
      <c r="J169" s="34">
        <v>17</v>
      </c>
      <c r="K169" s="34">
        <v>17</v>
      </c>
      <c r="L169" s="220">
        <f t="shared" si="4"/>
        <v>45</v>
      </c>
    </row>
    <row r="170" spans="1:12" x14ac:dyDescent="0.35">
      <c r="A170" s="287"/>
      <c r="B170" s="287"/>
      <c r="C170" s="34" t="s">
        <v>1623</v>
      </c>
      <c r="D170" s="32" t="s">
        <v>1674</v>
      </c>
      <c r="E170" s="32" t="s">
        <v>188</v>
      </c>
      <c r="F170" s="32" t="s">
        <v>1697</v>
      </c>
      <c r="G170" s="33" t="s">
        <v>849</v>
      </c>
      <c r="H170" s="34">
        <v>15</v>
      </c>
      <c r="I170" s="34">
        <v>13</v>
      </c>
      <c r="J170" s="34">
        <v>15</v>
      </c>
      <c r="K170" s="34">
        <v>15</v>
      </c>
      <c r="L170" s="220">
        <f t="shared" si="4"/>
        <v>58</v>
      </c>
    </row>
    <row r="171" spans="1:12" x14ac:dyDescent="0.35">
      <c r="A171" s="287"/>
      <c r="B171" s="287"/>
      <c r="C171" s="34" t="s">
        <v>1623</v>
      </c>
      <c r="D171" s="32" t="s">
        <v>1674</v>
      </c>
      <c r="E171" s="32" t="s">
        <v>188</v>
      </c>
      <c r="F171" s="32" t="s">
        <v>1698</v>
      </c>
      <c r="G171" s="33" t="s">
        <v>850</v>
      </c>
      <c r="H171" s="34">
        <v>21</v>
      </c>
      <c r="I171" s="34">
        <v>20</v>
      </c>
      <c r="J171" s="34">
        <v>24</v>
      </c>
      <c r="K171" s="34">
        <v>24</v>
      </c>
      <c r="L171" s="220">
        <f t="shared" si="4"/>
        <v>89</v>
      </c>
    </row>
    <row r="172" spans="1:12" x14ac:dyDescent="0.35">
      <c r="A172" s="287"/>
      <c r="B172" s="287"/>
      <c r="C172" s="34" t="s">
        <v>1623</v>
      </c>
      <c r="D172" s="32" t="s">
        <v>1674</v>
      </c>
      <c r="E172" s="32" t="s">
        <v>188</v>
      </c>
      <c r="F172" s="32" t="s">
        <v>1698</v>
      </c>
      <c r="G172" s="33" t="s">
        <v>851</v>
      </c>
      <c r="H172" s="34">
        <v>5</v>
      </c>
      <c r="I172" s="34">
        <v>7</v>
      </c>
      <c r="J172" s="34">
        <v>20</v>
      </c>
      <c r="K172" s="34">
        <v>20</v>
      </c>
      <c r="L172" s="220">
        <f t="shared" si="4"/>
        <v>52</v>
      </c>
    </row>
    <row r="173" spans="1:12" x14ac:dyDescent="0.35">
      <c r="A173" s="287"/>
      <c r="B173" s="287"/>
      <c r="C173" s="34" t="s">
        <v>1623</v>
      </c>
      <c r="D173" s="32" t="s">
        <v>1674</v>
      </c>
      <c r="E173" s="32" t="s">
        <v>188</v>
      </c>
      <c r="F173" s="32" t="s">
        <v>1698</v>
      </c>
      <c r="G173" s="33" t="s">
        <v>852</v>
      </c>
      <c r="H173" s="34">
        <v>5</v>
      </c>
      <c r="I173" s="34">
        <v>5</v>
      </c>
      <c r="J173" s="34">
        <v>30</v>
      </c>
      <c r="K173" s="34">
        <v>30</v>
      </c>
      <c r="L173" s="220">
        <f t="shared" si="4"/>
        <v>70</v>
      </c>
    </row>
    <row r="174" spans="1:12" x14ac:dyDescent="0.35">
      <c r="A174" s="287"/>
      <c r="B174" s="287"/>
      <c r="C174" s="34" t="s">
        <v>1623</v>
      </c>
      <c r="D174" s="32" t="s">
        <v>1674</v>
      </c>
      <c r="E174" s="32" t="s">
        <v>188</v>
      </c>
      <c r="F174" s="32" t="s">
        <v>1698</v>
      </c>
      <c r="G174" s="33" t="s">
        <v>853</v>
      </c>
      <c r="H174" s="34">
        <v>5</v>
      </c>
      <c r="I174" s="34">
        <v>7</v>
      </c>
      <c r="J174" s="34">
        <v>15</v>
      </c>
      <c r="K174" s="34">
        <v>15</v>
      </c>
      <c r="L174" s="220">
        <f t="shared" si="4"/>
        <v>42</v>
      </c>
    </row>
    <row r="175" spans="1:12" x14ac:dyDescent="0.35">
      <c r="A175" s="287"/>
      <c r="B175" s="287"/>
      <c r="C175" s="34" t="s">
        <v>1623</v>
      </c>
      <c r="D175" s="32" t="s">
        <v>1674</v>
      </c>
      <c r="E175" s="32" t="s">
        <v>188</v>
      </c>
      <c r="F175" s="32" t="s">
        <v>1698</v>
      </c>
      <c r="G175" s="33" t="s">
        <v>722</v>
      </c>
      <c r="H175" s="34">
        <v>17</v>
      </c>
      <c r="I175" s="34">
        <v>13</v>
      </c>
      <c r="J175" s="34">
        <v>29</v>
      </c>
      <c r="K175" s="34">
        <v>29</v>
      </c>
      <c r="L175" s="220">
        <f t="shared" si="4"/>
        <v>88</v>
      </c>
    </row>
    <row r="176" spans="1:12" x14ac:dyDescent="0.35">
      <c r="A176" s="287"/>
      <c r="B176" s="287"/>
      <c r="C176" s="34" t="s">
        <v>1623</v>
      </c>
      <c r="D176" s="32" t="s">
        <v>1674</v>
      </c>
      <c r="E176" s="32" t="s">
        <v>188</v>
      </c>
      <c r="F176" s="32" t="s">
        <v>1698</v>
      </c>
      <c r="G176" s="33" t="s">
        <v>854</v>
      </c>
      <c r="H176" s="34">
        <v>18</v>
      </c>
      <c r="I176" s="34">
        <v>25</v>
      </c>
      <c r="J176" s="34">
        <v>17</v>
      </c>
      <c r="K176" s="34">
        <v>17</v>
      </c>
      <c r="L176" s="220">
        <f t="shared" si="4"/>
        <v>77</v>
      </c>
    </row>
    <row r="177" spans="1:12" x14ac:dyDescent="0.35">
      <c r="A177" s="287"/>
      <c r="B177" s="287"/>
      <c r="C177" s="34" t="s">
        <v>1623</v>
      </c>
      <c r="D177" s="32" t="s">
        <v>1674</v>
      </c>
      <c r="E177" s="32" t="s">
        <v>188</v>
      </c>
      <c r="F177" s="32" t="s">
        <v>1698</v>
      </c>
      <c r="G177" s="33" t="s">
        <v>855</v>
      </c>
      <c r="H177" s="34">
        <v>7</v>
      </c>
      <c r="I177" s="34">
        <v>4</v>
      </c>
      <c r="J177" s="34">
        <v>15</v>
      </c>
      <c r="K177" s="34">
        <v>15</v>
      </c>
      <c r="L177" s="220">
        <f t="shared" si="4"/>
        <v>41</v>
      </c>
    </row>
    <row r="178" spans="1:12" x14ac:dyDescent="0.35">
      <c r="A178" s="287"/>
      <c r="B178" s="287"/>
      <c r="C178" s="34" t="s">
        <v>1623</v>
      </c>
      <c r="D178" s="32" t="s">
        <v>1674</v>
      </c>
      <c r="E178" s="32" t="s">
        <v>188</v>
      </c>
      <c r="F178" s="32" t="s">
        <v>1697</v>
      </c>
      <c r="G178" s="33" t="s">
        <v>856</v>
      </c>
      <c r="H178" s="34">
        <v>11</v>
      </c>
      <c r="I178" s="34">
        <v>7</v>
      </c>
      <c r="J178" s="34">
        <v>13</v>
      </c>
      <c r="K178" s="34">
        <v>13</v>
      </c>
      <c r="L178" s="220">
        <f t="shared" si="4"/>
        <v>44</v>
      </c>
    </row>
    <row r="179" spans="1:12" x14ac:dyDescent="0.35">
      <c r="A179" s="287"/>
      <c r="B179" s="287"/>
      <c r="C179" s="34" t="s">
        <v>1623</v>
      </c>
      <c r="D179" s="32" t="s">
        <v>1674</v>
      </c>
      <c r="E179" s="32" t="s">
        <v>188</v>
      </c>
      <c r="F179" s="32" t="s">
        <v>1697</v>
      </c>
      <c r="G179" s="33" t="s">
        <v>857</v>
      </c>
      <c r="H179" s="34">
        <v>8</v>
      </c>
      <c r="I179" s="34">
        <v>5</v>
      </c>
      <c r="J179" s="34">
        <v>18</v>
      </c>
      <c r="K179" s="34">
        <v>18</v>
      </c>
      <c r="L179" s="220">
        <f t="shared" si="4"/>
        <v>49</v>
      </c>
    </row>
    <row r="180" spans="1:12" x14ac:dyDescent="0.35">
      <c r="A180" s="287"/>
      <c r="B180" s="287"/>
      <c r="C180" s="34" t="s">
        <v>1623</v>
      </c>
      <c r="D180" s="32" t="s">
        <v>1674</v>
      </c>
      <c r="E180" s="32" t="s">
        <v>188</v>
      </c>
      <c r="F180" s="32" t="s">
        <v>1698</v>
      </c>
      <c r="G180" s="33" t="s">
        <v>858</v>
      </c>
      <c r="H180" s="34">
        <v>10</v>
      </c>
      <c r="I180" s="34">
        <v>14</v>
      </c>
      <c r="J180" s="34">
        <v>37</v>
      </c>
      <c r="K180" s="34">
        <v>37</v>
      </c>
      <c r="L180" s="220">
        <f t="shared" si="4"/>
        <v>98</v>
      </c>
    </row>
    <row r="181" spans="1:12" x14ac:dyDescent="0.35">
      <c r="A181" s="287"/>
      <c r="B181" s="287"/>
      <c r="C181" s="34" t="s">
        <v>1623</v>
      </c>
      <c r="D181" s="32" t="s">
        <v>1674</v>
      </c>
      <c r="E181" s="32" t="s">
        <v>188</v>
      </c>
      <c r="F181" s="32" t="s">
        <v>1699</v>
      </c>
      <c r="G181" s="33" t="s">
        <v>786</v>
      </c>
      <c r="H181" s="34">
        <v>15</v>
      </c>
      <c r="I181" s="34">
        <v>20</v>
      </c>
      <c r="J181" s="34">
        <v>50</v>
      </c>
      <c r="K181" s="34">
        <v>50</v>
      </c>
      <c r="L181" s="220">
        <f t="shared" si="4"/>
        <v>135</v>
      </c>
    </row>
    <row r="182" spans="1:12" x14ac:dyDescent="0.35">
      <c r="A182" s="287"/>
      <c r="B182" s="287"/>
      <c r="C182" s="34" t="s">
        <v>1623</v>
      </c>
      <c r="D182" s="32" t="s">
        <v>1674</v>
      </c>
      <c r="E182" s="32" t="s">
        <v>188</v>
      </c>
      <c r="F182" s="32" t="s">
        <v>1700</v>
      </c>
      <c r="G182" s="33" t="s">
        <v>859</v>
      </c>
      <c r="H182" s="34">
        <v>15</v>
      </c>
      <c r="I182" s="34">
        <v>16</v>
      </c>
      <c r="J182" s="34">
        <v>14</v>
      </c>
      <c r="K182" s="34">
        <v>20</v>
      </c>
      <c r="L182" s="220">
        <f t="shared" si="4"/>
        <v>65</v>
      </c>
    </row>
    <row r="183" spans="1:12" x14ac:dyDescent="0.35">
      <c r="A183" s="287"/>
      <c r="B183" s="287"/>
      <c r="C183" s="34" t="s">
        <v>1623</v>
      </c>
      <c r="D183" s="32" t="s">
        <v>1674</v>
      </c>
      <c r="E183" s="32" t="s">
        <v>188</v>
      </c>
      <c r="F183" s="32" t="s">
        <v>1699</v>
      </c>
      <c r="G183" s="33" t="s">
        <v>860</v>
      </c>
      <c r="H183" s="34">
        <v>7</v>
      </c>
      <c r="I183" s="34">
        <v>9</v>
      </c>
      <c r="J183" s="34">
        <v>14</v>
      </c>
      <c r="K183" s="34">
        <v>13</v>
      </c>
      <c r="L183" s="220">
        <f t="shared" si="4"/>
        <v>43</v>
      </c>
    </row>
    <row r="184" spans="1:12" x14ac:dyDescent="0.35">
      <c r="A184" s="287"/>
      <c r="B184" s="287"/>
      <c r="C184" s="34" t="s">
        <v>1623</v>
      </c>
      <c r="D184" s="32" t="s">
        <v>1674</v>
      </c>
      <c r="E184" s="32" t="s">
        <v>188</v>
      </c>
      <c r="F184" s="32" t="s">
        <v>1699</v>
      </c>
      <c r="G184" s="33" t="s">
        <v>861</v>
      </c>
      <c r="H184" s="34">
        <v>11</v>
      </c>
      <c r="I184" s="34">
        <v>12</v>
      </c>
      <c r="J184" s="34">
        <v>28</v>
      </c>
      <c r="K184" s="34">
        <v>26</v>
      </c>
      <c r="L184" s="220">
        <f t="shared" si="4"/>
        <v>77</v>
      </c>
    </row>
    <row r="185" spans="1:12" x14ac:dyDescent="0.35">
      <c r="A185" s="287"/>
      <c r="B185" s="287"/>
      <c r="C185" s="34" t="s">
        <v>1623</v>
      </c>
      <c r="D185" s="32" t="s">
        <v>1674</v>
      </c>
      <c r="E185" s="32" t="s">
        <v>188</v>
      </c>
      <c r="F185" s="32" t="s">
        <v>1699</v>
      </c>
      <c r="G185" s="33" t="s">
        <v>862</v>
      </c>
      <c r="H185" s="34">
        <v>10</v>
      </c>
      <c r="I185" s="34">
        <v>11</v>
      </c>
      <c r="J185" s="34">
        <v>12</v>
      </c>
      <c r="K185" s="34">
        <v>14</v>
      </c>
      <c r="L185" s="220">
        <f t="shared" si="4"/>
        <v>47</v>
      </c>
    </row>
    <row r="186" spans="1:12" x14ac:dyDescent="0.35">
      <c r="A186" s="287"/>
      <c r="B186" s="287"/>
      <c r="C186" s="34" t="s">
        <v>1623</v>
      </c>
      <c r="D186" s="32" t="s">
        <v>1674</v>
      </c>
      <c r="E186" s="32" t="s">
        <v>188</v>
      </c>
      <c r="F186" s="32" t="s">
        <v>1699</v>
      </c>
      <c r="G186" s="33" t="s">
        <v>863</v>
      </c>
      <c r="H186" s="34">
        <v>10</v>
      </c>
      <c r="I186" s="34">
        <v>14</v>
      </c>
      <c r="J186" s="34">
        <v>10</v>
      </c>
      <c r="K186" s="34">
        <v>23</v>
      </c>
      <c r="L186" s="220">
        <f t="shared" si="4"/>
        <v>57</v>
      </c>
    </row>
    <row r="187" spans="1:12" x14ac:dyDescent="0.35">
      <c r="A187" s="287"/>
      <c r="B187" s="287"/>
      <c r="C187" s="34" t="s">
        <v>1623</v>
      </c>
      <c r="D187" s="32" t="s">
        <v>1674</v>
      </c>
      <c r="E187" s="32" t="s">
        <v>188</v>
      </c>
      <c r="F187" s="32" t="s">
        <v>1699</v>
      </c>
      <c r="G187" s="33" t="s">
        <v>864</v>
      </c>
      <c r="H187" s="34">
        <v>16</v>
      </c>
      <c r="I187" s="34">
        <v>13</v>
      </c>
      <c r="J187" s="34">
        <v>17</v>
      </c>
      <c r="K187" s="34">
        <v>16</v>
      </c>
      <c r="L187" s="220">
        <f t="shared" si="4"/>
        <v>62</v>
      </c>
    </row>
    <row r="188" spans="1:12" x14ac:dyDescent="0.35">
      <c r="A188" s="287"/>
      <c r="B188" s="287"/>
      <c r="C188" s="34" t="s">
        <v>1623</v>
      </c>
      <c r="D188" s="32" t="s">
        <v>1674</v>
      </c>
      <c r="E188" s="32" t="s">
        <v>188</v>
      </c>
      <c r="F188" s="32" t="s">
        <v>1697</v>
      </c>
      <c r="G188" s="33" t="s">
        <v>865</v>
      </c>
      <c r="H188" s="34">
        <v>8</v>
      </c>
      <c r="I188" s="34">
        <v>4</v>
      </c>
      <c r="J188" s="34">
        <v>21</v>
      </c>
      <c r="K188" s="34">
        <v>25</v>
      </c>
      <c r="L188" s="220">
        <f t="shared" si="4"/>
        <v>58</v>
      </c>
    </row>
    <row r="189" spans="1:12" x14ac:dyDescent="0.35">
      <c r="A189" s="287"/>
      <c r="B189" s="287"/>
      <c r="C189" s="34" t="s">
        <v>1623</v>
      </c>
      <c r="D189" s="32" t="s">
        <v>1674</v>
      </c>
      <c r="E189" s="32" t="s">
        <v>188</v>
      </c>
      <c r="F189" s="32" t="s">
        <v>188</v>
      </c>
      <c r="G189" s="33" t="s">
        <v>842</v>
      </c>
      <c r="H189" s="34">
        <v>11</v>
      </c>
      <c r="I189" s="34">
        <v>4</v>
      </c>
      <c r="J189" s="34">
        <v>19</v>
      </c>
      <c r="K189" s="34">
        <v>16</v>
      </c>
      <c r="L189" s="220">
        <f t="shared" si="4"/>
        <v>50</v>
      </c>
    </row>
    <row r="190" spans="1:12" x14ac:dyDescent="0.35">
      <c r="A190" s="287"/>
      <c r="B190" s="287"/>
      <c r="C190" s="34" t="s">
        <v>1623</v>
      </c>
      <c r="D190" s="32" t="s">
        <v>1674</v>
      </c>
      <c r="E190" s="32" t="s">
        <v>188</v>
      </c>
      <c r="F190" s="32" t="s">
        <v>1697</v>
      </c>
      <c r="G190" s="33" t="s">
        <v>848</v>
      </c>
      <c r="H190" s="34">
        <v>2</v>
      </c>
      <c r="I190" s="34">
        <v>3</v>
      </c>
      <c r="J190" s="34">
        <v>18</v>
      </c>
      <c r="K190" s="34">
        <v>17</v>
      </c>
      <c r="L190" s="220">
        <f t="shared" si="4"/>
        <v>40</v>
      </c>
    </row>
    <row r="191" spans="1:12" x14ac:dyDescent="0.35">
      <c r="A191" s="287"/>
      <c r="B191" s="287"/>
      <c r="C191" s="34" t="s">
        <v>1623</v>
      </c>
      <c r="D191" s="32" t="s">
        <v>1674</v>
      </c>
      <c r="E191" s="32" t="s">
        <v>188</v>
      </c>
      <c r="F191" s="32" t="s">
        <v>1697</v>
      </c>
      <c r="G191" s="33" t="s">
        <v>866</v>
      </c>
      <c r="H191" s="34">
        <v>3</v>
      </c>
      <c r="I191" s="34">
        <v>2</v>
      </c>
      <c r="J191" s="34">
        <v>15</v>
      </c>
      <c r="K191" s="34">
        <v>14</v>
      </c>
      <c r="L191" s="220">
        <f t="shared" si="4"/>
        <v>34</v>
      </c>
    </row>
    <row r="192" spans="1:12" x14ac:dyDescent="0.35">
      <c r="A192" s="287"/>
      <c r="B192" s="287"/>
      <c r="C192" s="34" t="s">
        <v>1623</v>
      </c>
      <c r="D192" s="32" t="s">
        <v>1674</v>
      </c>
      <c r="E192" s="32" t="s">
        <v>188</v>
      </c>
      <c r="F192" s="32" t="s">
        <v>188</v>
      </c>
      <c r="G192" s="33" t="s">
        <v>867</v>
      </c>
      <c r="H192" s="34">
        <v>9</v>
      </c>
      <c r="I192" s="34">
        <v>12</v>
      </c>
      <c r="J192" s="34">
        <v>17</v>
      </c>
      <c r="K192" s="34">
        <v>22</v>
      </c>
      <c r="L192" s="220">
        <f t="shared" si="4"/>
        <v>60</v>
      </c>
    </row>
    <row r="193" spans="1:12" x14ac:dyDescent="0.35">
      <c r="A193" s="287"/>
      <c r="B193" s="287"/>
      <c r="C193" s="34" t="s">
        <v>1623</v>
      </c>
      <c r="D193" s="32" t="s">
        <v>1674</v>
      </c>
      <c r="E193" s="32" t="s">
        <v>188</v>
      </c>
      <c r="F193" s="32" t="s">
        <v>1698</v>
      </c>
      <c r="G193" s="33" t="s">
        <v>868</v>
      </c>
      <c r="H193" s="34">
        <v>2</v>
      </c>
      <c r="I193" s="34">
        <v>3</v>
      </c>
      <c r="J193" s="34">
        <v>24</v>
      </c>
      <c r="K193" s="34">
        <v>28</v>
      </c>
      <c r="L193" s="220">
        <f t="shared" si="4"/>
        <v>57</v>
      </c>
    </row>
    <row r="194" spans="1:12" x14ac:dyDescent="0.35">
      <c r="A194" s="287"/>
      <c r="B194" s="287"/>
      <c r="C194" s="34" t="s">
        <v>1623</v>
      </c>
      <c r="D194" s="32" t="s">
        <v>1674</v>
      </c>
      <c r="E194" s="32" t="s">
        <v>188</v>
      </c>
      <c r="F194" s="32" t="s">
        <v>188</v>
      </c>
      <c r="G194" s="33" t="s">
        <v>710</v>
      </c>
      <c r="H194" s="34">
        <v>14</v>
      </c>
      <c r="I194" s="34">
        <v>5</v>
      </c>
      <c r="J194" s="34">
        <v>16</v>
      </c>
      <c r="K194" s="34">
        <v>19</v>
      </c>
      <c r="L194" s="220">
        <f t="shared" si="4"/>
        <v>54</v>
      </c>
    </row>
    <row r="195" spans="1:12" x14ac:dyDescent="0.35">
      <c r="A195" s="287"/>
      <c r="B195" s="287"/>
      <c r="C195" s="34" t="s">
        <v>1623</v>
      </c>
      <c r="D195" s="32" t="s">
        <v>1674</v>
      </c>
      <c r="E195" s="32" t="s">
        <v>188</v>
      </c>
      <c r="F195" s="32" t="s">
        <v>1697</v>
      </c>
      <c r="G195" s="33" t="s">
        <v>869</v>
      </c>
      <c r="H195" s="34">
        <v>23</v>
      </c>
      <c r="I195" s="34">
        <v>17</v>
      </c>
      <c r="J195" s="34">
        <v>48</v>
      </c>
      <c r="K195" s="34">
        <v>55</v>
      </c>
      <c r="L195" s="220">
        <f t="shared" si="4"/>
        <v>143</v>
      </c>
    </row>
    <row r="196" spans="1:12" x14ac:dyDescent="0.35">
      <c r="A196" s="287"/>
      <c r="B196" s="287"/>
      <c r="C196" s="34" t="s">
        <v>1623</v>
      </c>
      <c r="D196" s="32" t="s">
        <v>1674</v>
      </c>
      <c r="E196" s="32" t="s">
        <v>188</v>
      </c>
      <c r="F196" s="32" t="s">
        <v>188</v>
      </c>
      <c r="G196" s="33" t="s">
        <v>870</v>
      </c>
      <c r="H196" s="34">
        <v>8</v>
      </c>
      <c r="I196" s="34">
        <v>7</v>
      </c>
      <c r="J196" s="34">
        <v>15</v>
      </c>
      <c r="K196" s="34">
        <v>19</v>
      </c>
      <c r="L196" s="220">
        <f t="shared" si="4"/>
        <v>49</v>
      </c>
    </row>
    <row r="197" spans="1:12" x14ac:dyDescent="0.35">
      <c r="A197" s="287"/>
      <c r="B197" s="287"/>
      <c r="C197" s="34" t="s">
        <v>1623</v>
      </c>
      <c r="D197" s="32" t="s">
        <v>1674</v>
      </c>
      <c r="E197" s="32" t="s">
        <v>188</v>
      </c>
      <c r="F197" s="32" t="s">
        <v>1697</v>
      </c>
      <c r="G197" s="33" t="s">
        <v>871</v>
      </c>
      <c r="H197" s="34">
        <v>16</v>
      </c>
      <c r="I197" s="34">
        <v>14</v>
      </c>
      <c r="J197" s="34">
        <v>18</v>
      </c>
      <c r="K197" s="34">
        <v>18</v>
      </c>
      <c r="L197" s="220">
        <f t="shared" si="4"/>
        <v>66</v>
      </c>
    </row>
    <row r="198" spans="1:12" x14ac:dyDescent="0.35">
      <c r="A198" s="287"/>
      <c r="B198" s="287"/>
      <c r="C198" s="34" t="s">
        <v>1623</v>
      </c>
      <c r="D198" s="32" t="s">
        <v>1674</v>
      </c>
      <c r="E198" s="32" t="s">
        <v>188</v>
      </c>
      <c r="F198" s="32" t="s">
        <v>1697</v>
      </c>
      <c r="G198" s="33" t="s">
        <v>872</v>
      </c>
      <c r="H198" s="34">
        <v>12</v>
      </c>
      <c r="I198" s="34">
        <v>28</v>
      </c>
      <c r="J198" s="34">
        <v>14</v>
      </c>
      <c r="K198" s="34">
        <v>14</v>
      </c>
      <c r="L198" s="220">
        <f t="shared" ref="L198:L261" si="6">H198+I198+J198+K198</f>
        <v>68</v>
      </c>
    </row>
    <row r="199" spans="1:12" x14ac:dyDescent="0.35">
      <c r="A199" s="287"/>
      <c r="B199" s="287"/>
      <c r="C199" s="34" t="s">
        <v>1623</v>
      </c>
      <c r="D199" s="32" t="s">
        <v>1674</v>
      </c>
      <c r="E199" s="32" t="s">
        <v>188</v>
      </c>
      <c r="F199" s="32" t="s">
        <v>1697</v>
      </c>
      <c r="G199" s="33" t="s">
        <v>873</v>
      </c>
      <c r="H199" s="34">
        <v>11</v>
      </c>
      <c r="I199" s="34">
        <v>9</v>
      </c>
      <c r="J199" s="34">
        <v>18</v>
      </c>
      <c r="K199" s="34">
        <v>18</v>
      </c>
      <c r="L199" s="220">
        <f t="shared" si="6"/>
        <v>56</v>
      </c>
    </row>
    <row r="200" spans="1:12" x14ac:dyDescent="0.35">
      <c r="A200" s="287"/>
      <c r="B200" s="287"/>
      <c r="C200" s="34" t="s">
        <v>1623</v>
      </c>
      <c r="D200" s="32" t="s">
        <v>1674</v>
      </c>
      <c r="E200" s="32" t="s">
        <v>188</v>
      </c>
      <c r="F200" s="32" t="s">
        <v>1697</v>
      </c>
      <c r="G200" s="33" t="s">
        <v>874</v>
      </c>
      <c r="H200" s="34">
        <v>16</v>
      </c>
      <c r="I200" s="34">
        <v>14</v>
      </c>
      <c r="J200" s="34">
        <v>15</v>
      </c>
      <c r="K200" s="34">
        <v>15</v>
      </c>
      <c r="L200" s="220">
        <f t="shared" si="6"/>
        <v>60</v>
      </c>
    </row>
    <row r="201" spans="1:12" x14ac:dyDescent="0.35">
      <c r="A201" s="287"/>
      <c r="B201" s="287"/>
      <c r="C201" s="34" t="s">
        <v>1623</v>
      </c>
      <c r="D201" s="32" t="s">
        <v>1674</v>
      </c>
      <c r="E201" s="32" t="s">
        <v>188</v>
      </c>
      <c r="F201" s="32" t="s">
        <v>1698</v>
      </c>
      <c r="G201" s="33" t="s">
        <v>875</v>
      </c>
      <c r="H201" s="34">
        <v>11</v>
      </c>
      <c r="I201" s="34">
        <v>9</v>
      </c>
      <c r="J201" s="34">
        <v>25</v>
      </c>
      <c r="K201" s="34">
        <v>25</v>
      </c>
      <c r="L201" s="220">
        <f t="shared" si="6"/>
        <v>70</v>
      </c>
    </row>
    <row r="202" spans="1:12" x14ac:dyDescent="0.35">
      <c r="A202" s="287"/>
      <c r="B202" s="287"/>
      <c r="C202" s="34" t="s">
        <v>1623</v>
      </c>
      <c r="D202" s="32" t="s">
        <v>1674</v>
      </c>
      <c r="E202" s="32" t="s">
        <v>188</v>
      </c>
      <c r="F202" s="32" t="s">
        <v>1697</v>
      </c>
      <c r="G202" s="33" t="s">
        <v>876</v>
      </c>
      <c r="H202" s="34">
        <v>8</v>
      </c>
      <c r="I202" s="34">
        <v>10</v>
      </c>
      <c r="J202" s="34">
        <v>17</v>
      </c>
      <c r="K202" s="34">
        <v>17</v>
      </c>
      <c r="L202" s="220">
        <f t="shared" si="6"/>
        <v>52</v>
      </c>
    </row>
    <row r="203" spans="1:12" x14ac:dyDescent="0.35">
      <c r="A203" s="287"/>
      <c r="B203" s="287"/>
      <c r="C203" s="34" t="s">
        <v>1623</v>
      </c>
      <c r="D203" s="32" t="s">
        <v>1674</v>
      </c>
      <c r="E203" s="32" t="s">
        <v>188</v>
      </c>
      <c r="F203" s="32" t="s">
        <v>1697</v>
      </c>
      <c r="G203" s="33" t="s">
        <v>877</v>
      </c>
      <c r="H203" s="34">
        <v>14</v>
      </c>
      <c r="I203" s="34">
        <v>11</v>
      </c>
      <c r="J203" s="34">
        <v>36</v>
      </c>
      <c r="K203" s="34">
        <v>20</v>
      </c>
      <c r="L203" s="220">
        <f t="shared" si="6"/>
        <v>81</v>
      </c>
    </row>
    <row r="204" spans="1:12" x14ac:dyDescent="0.35">
      <c r="A204" s="287"/>
      <c r="B204" s="287"/>
      <c r="C204" s="34" t="s">
        <v>1623</v>
      </c>
      <c r="D204" s="32" t="s">
        <v>1674</v>
      </c>
      <c r="E204" s="32" t="s">
        <v>188</v>
      </c>
      <c r="F204" s="32" t="s">
        <v>1697</v>
      </c>
      <c r="G204" s="33" t="s">
        <v>878</v>
      </c>
      <c r="H204" s="34">
        <v>4</v>
      </c>
      <c r="I204" s="34">
        <v>3</v>
      </c>
      <c r="J204" s="34">
        <v>11</v>
      </c>
      <c r="K204" s="34">
        <v>13</v>
      </c>
      <c r="L204" s="220">
        <f t="shared" si="6"/>
        <v>31</v>
      </c>
    </row>
    <row r="205" spans="1:12" x14ac:dyDescent="0.35">
      <c r="A205" s="287"/>
      <c r="B205" s="287"/>
      <c r="C205" s="34" t="s">
        <v>1623</v>
      </c>
      <c r="D205" s="32" t="s">
        <v>1674</v>
      </c>
      <c r="E205" s="32" t="s">
        <v>188</v>
      </c>
      <c r="F205" s="32" t="s">
        <v>1697</v>
      </c>
      <c r="G205" s="33" t="s">
        <v>879</v>
      </c>
      <c r="H205" s="34">
        <v>9</v>
      </c>
      <c r="I205" s="34">
        <v>7</v>
      </c>
      <c r="J205" s="34">
        <v>13</v>
      </c>
      <c r="K205" s="34">
        <v>15</v>
      </c>
      <c r="L205" s="220">
        <f t="shared" si="6"/>
        <v>44</v>
      </c>
    </row>
    <row r="206" spans="1:12" x14ac:dyDescent="0.35">
      <c r="A206" s="287"/>
      <c r="B206" s="287"/>
      <c r="C206" s="34" t="s">
        <v>1623</v>
      </c>
      <c r="D206" s="32" t="s">
        <v>1674</v>
      </c>
      <c r="E206" s="32" t="s">
        <v>188</v>
      </c>
      <c r="F206" s="32" t="s">
        <v>1698</v>
      </c>
      <c r="G206" s="33" t="s">
        <v>880</v>
      </c>
      <c r="H206" s="34">
        <v>13</v>
      </c>
      <c r="I206" s="34">
        <v>12</v>
      </c>
      <c r="J206" s="34">
        <v>12</v>
      </c>
      <c r="K206" s="34">
        <v>14</v>
      </c>
      <c r="L206" s="220">
        <f t="shared" si="6"/>
        <v>51</v>
      </c>
    </row>
    <row r="207" spans="1:12" x14ac:dyDescent="0.35">
      <c r="A207" s="287"/>
      <c r="B207" s="287"/>
      <c r="C207" s="34" t="s">
        <v>1623</v>
      </c>
      <c r="D207" s="32" t="s">
        <v>1674</v>
      </c>
      <c r="E207" s="32" t="s">
        <v>188</v>
      </c>
      <c r="F207" s="32" t="s">
        <v>1698</v>
      </c>
      <c r="G207" s="33" t="s">
        <v>881</v>
      </c>
      <c r="H207" s="34">
        <v>4</v>
      </c>
      <c r="I207" s="34">
        <v>6</v>
      </c>
      <c r="J207" s="34">
        <v>24</v>
      </c>
      <c r="K207" s="34">
        <v>19</v>
      </c>
      <c r="L207" s="220">
        <f t="shared" si="6"/>
        <v>53</v>
      </c>
    </row>
    <row r="208" spans="1:12" x14ac:dyDescent="0.35">
      <c r="A208" s="287"/>
      <c r="B208" s="287"/>
      <c r="C208" s="34" t="s">
        <v>1623</v>
      </c>
      <c r="D208" s="32" t="s">
        <v>1674</v>
      </c>
      <c r="E208" s="32" t="s">
        <v>188</v>
      </c>
      <c r="F208" s="32" t="s">
        <v>1699</v>
      </c>
      <c r="G208" s="33" t="s">
        <v>882</v>
      </c>
      <c r="H208" s="34">
        <v>10</v>
      </c>
      <c r="I208" s="34">
        <v>8</v>
      </c>
      <c r="J208" s="34">
        <v>18</v>
      </c>
      <c r="K208" s="34">
        <v>20</v>
      </c>
      <c r="L208" s="220">
        <f t="shared" si="6"/>
        <v>56</v>
      </c>
    </row>
    <row r="209" spans="1:12" x14ac:dyDescent="0.35">
      <c r="A209" s="287"/>
      <c r="B209" s="287"/>
      <c r="C209" s="34" t="s">
        <v>1623</v>
      </c>
      <c r="D209" s="32" t="s">
        <v>1674</v>
      </c>
      <c r="E209" s="32" t="s">
        <v>188</v>
      </c>
      <c r="F209" s="32" t="s">
        <v>1698</v>
      </c>
      <c r="G209" s="33" t="s">
        <v>883</v>
      </c>
      <c r="H209" s="34">
        <v>2</v>
      </c>
      <c r="I209" s="34">
        <v>2</v>
      </c>
      <c r="J209" s="34">
        <v>14</v>
      </c>
      <c r="K209" s="34">
        <v>22</v>
      </c>
      <c r="L209" s="220">
        <f t="shared" si="6"/>
        <v>40</v>
      </c>
    </row>
    <row r="210" spans="1:12" x14ac:dyDescent="0.35">
      <c r="A210" s="52"/>
      <c r="B210" s="52"/>
      <c r="C210" s="52"/>
      <c r="D210" s="52"/>
      <c r="E210" s="52"/>
      <c r="F210" s="52"/>
      <c r="G210" s="52" t="s">
        <v>2</v>
      </c>
      <c r="H210" s="53">
        <f t="shared" ref="H210:K210" si="7">SUM(H163:H209)</f>
        <v>500</v>
      </c>
      <c r="I210" s="53">
        <f t="shared" si="7"/>
        <v>496</v>
      </c>
      <c r="J210" s="53">
        <f t="shared" si="7"/>
        <v>932</v>
      </c>
      <c r="K210" s="53">
        <f t="shared" si="7"/>
        <v>965</v>
      </c>
      <c r="L210" s="225">
        <f t="shared" si="6"/>
        <v>2893</v>
      </c>
    </row>
    <row r="211" spans="1:12" x14ac:dyDescent="0.35">
      <c r="A211" s="287">
        <v>5</v>
      </c>
      <c r="B211" s="287" t="s">
        <v>1878</v>
      </c>
      <c r="C211" s="34" t="s">
        <v>1623</v>
      </c>
      <c r="D211" s="32" t="s">
        <v>1674</v>
      </c>
      <c r="E211" s="32" t="s">
        <v>1696</v>
      </c>
      <c r="F211" s="32" t="s">
        <v>1695</v>
      </c>
      <c r="G211" s="33" t="s">
        <v>884</v>
      </c>
      <c r="H211" s="34">
        <v>20</v>
      </c>
      <c r="I211" s="34">
        <v>15</v>
      </c>
      <c r="J211" s="34">
        <v>31</v>
      </c>
      <c r="K211" s="34">
        <v>19</v>
      </c>
      <c r="L211" s="220">
        <f t="shared" si="6"/>
        <v>85</v>
      </c>
    </row>
    <row r="212" spans="1:12" x14ac:dyDescent="0.35">
      <c r="A212" s="287"/>
      <c r="B212" s="287"/>
      <c r="C212" s="34" t="s">
        <v>1623</v>
      </c>
      <c r="D212" s="32" t="s">
        <v>1674</v>
      </c>
      <c r="E212" s="32" t="s">
        <v>1696</v>
      </c>
      <c r="F212" s="32" t="s">
        <v>1696</v>
      </c>
      <c r="G212" s="33" t="s">
        <v>885</v>
      </c>
      <c r="H212" s="34">
        <v>15</v>
      </c>
      <c r="I212" s="34">
        <v>17</v>
      </c>
      <c r="J212" s="34">
        <v>62</v>
      </c>
      <c r="K212" s="34">
        <v>68</v>
      </c>
      <c r="L212" s="220">
        <f t="shared" si="6"/>
        <v>162</v>
      </c>
    </row>
    <row r="213" spans="1:12" x14ac:dyDescent="0.35">
      <c r="A213" s="287"/>
      <c r="B213" s="287"/>
      <c r="C213" s="34" t="s">
        <v>1623</v>
      </c>
      <c r="D213" s="32" t="s">
        <v>1674</v>
      </c>
      <c r="E213" s="32" t="s">
        <v>1696</v>
      </c>
      <c r="F213" s="32" t="s">
        <v>1695</v>
      </c>
      <c r="G213" s="33" t="s">
        <v>886</v>
      </c>
      <c r="H213" s="34">
        <v>24</v>
      </c>
      <c r="I213" s="34">
        <v>29</v>
      </c>
      <c r="J213" s="34">
        <v>43</v>
      </c>
      <c r="K213" s="34">
        <v>52</v>
      </c>
      <c r="L213" s="220">
        <f t="shared" si="6"/>
        <v>148</v>
      </c>
    </row>
    <row r="214" spans="1:12" x14ac:dyDescent="0.35">
      <c r="A214" s="287"/>
      <c r="B214" s="287"/>
      <c r="C214" s="34" t="s">
        <v>1623</v>
      </c>
      <c r="D214" s="32" t="s">
        <v>1674</v>
      </c>
      <c r="E214" s="32" t="s">
        <v>1696</v>
      </c>
      <c r="F214" s="32" t="s">
        <v>1696</v>
      </c>
      <c r="G214" s="33" t="s">
        <v>887</v>
      </c>
      <c r="H214" s="34">
        <v>10</v>
      </c>
      <c r="I214" s="34">
        <v>15</v>
      </c>
      <c r="J214" s="34">
        <v>13</v>
      </c>
      <c r="K214" s="34">
        <v>23</v>
      </c>
      <c r="L214" s="220">
        <f t="shared" si="6"/>
        <v>61</v>
      </c>
    </row>
    <row r="215" spans="1:12" x14ac:dyDescent="0.35">
      <c r="A215" s="287"/>
      <c r="B215" s="287"/>
      <c r="C215" s="34" t="s">
        <v>1623</v>
      </c>
      <c r="D215" s="32" t="s">
        <v>1674</v>
      </c>
      <c r="E215" s="32" t="s">
        <v>1696</v>
      </c>
      <c r="F215" s="32" t="s">
        <v>179</v>
      </c>
      <c r="G215" s="33" t="s">
        <v>888</v>
      </c>
      <c r="H215" s="34">
        <v>43</v>
      </c>
      <c r="I215" s="34">
        <v>22</v>
      </c>
      <c r="J215" s="34">
        <v>80</v>
      </c>
      <c r="K215" s="34">
        <v>74</v>
      </c>
      <c r="L215" s="220">
        <f t="shared" si="6"/>
        <v>219</v>
      </c>
    </row>
    <row r="216" spans="1:12" x14ac:dyDescent="0.35">
      <c r="A216" s="287"/>
      <c r="B216" s="287"/>
      <c r="C216" s="34" t="s">
        <v>1623</v>
      </c>
      <c r="D216" s="32" t="s">
        <v>1674</v>
      </c>
      <c r="E216" s="32" t="s">
        <v>1696</v>
      </c>
      <c r="F216" s="32" t="s">
        <v>179</v>
      </c>
      <c r="G216" s="33" t="s">
        <v>889</v>
      </c>
      <c r="H216" s="34">
        <v>19</v>
      </c>
      <c r="I216" s="34">
        <v>19</v>
      </c>
      <c r="J216" s="34">
        <v>39</v>
      </c>
      <c r="K216" s="34">
        <v>58</v>
      </c>
      <c r="L216" s="220">
        <f t="shared" si="6"/>
        <v>135</v>
      </c>
    </row>
    <row r="217" spans="1:12" x14ac:dyDescent="0.35">
      <c r="A217" s="287"/>
      <c r="B217" s="287"/>
      <c r="C217" s="34" t="s">
        <v>1623</v>
      </c>
      <c r="D217" s="32" t="s">
        <v>1674</v>
      </c>
      <c r="E217" s="32" t="s">
        <v>1696</v>
      </c>
      <c r="F217" s="32" t="s">
        <v>1696</v>
      </c>
      <c r="G217" s="33" t="s">
        <v>890</v>
      </c>
      <c r="H217" s="34">
        <v>12</v>
      </c>
      <c r="I217" s="34">
        <v>15</v>
      </c>
      <c r="J217" s="34">
        <v>47</v>
      </c>
      <c r="K217" s="34">
        <v>53</v>
      </c>
      <c r="L217" s="220">
        <f t="shared" si="6"/>
        <v>127</v>
      </c>
    </row>
    <row r="218" spans="1:12" x14ac:dyDescent="0.35">
      <c r="A218" s="287"/>
      <c r="B218" s="287"/>
      <c r="C218" s="34" t="s">
        <v>1623</v>
      </c>
      <c r="D218" s="32" t="s">
        <v>1674</v>
      </c>
      <c r="E218" s="32" t="s">
        <v>1696</v>
      </c>
      <c r="F218" s="32" t="s">
        <v>1696</v>
      </c>
      <c r="G218" s="33" t="s">
        <v>891</v>
      </c>
      <c r="H218" s="34">
        <v>8</v>
      </c>
      <c r="I218" s="34">
        <v>14</v>
      </c>
      <c r="J218" s="34">
        <v>24</v>
      </c>
      <c r="K218" s="34">
        <v>34</v>
      </c>
      <c r="L218" s="220">
        <f t="shared" si="6"/>
        <v>80</v>
      </c>
    </row>
    <row r="219" spans="1:12" x14ac:dyDescent="0.35">
      <c r="A219" s="287"/>
      <c r="B219" s="287"/>
      <c r="C219" s="34" t="s">
        <v>1623</v>
      </c>
      <c r="D219" s="32" t="s">
        <v>1674</v>
      </c>
      <c r="E219" s="32" t="s">
        <v>1696</v>
      </c>
      <c r="F219" s="32" t="s">
        <v>1696</v>
      </c>
      <c r="G219" s="33" t="s">
        <v>892</v>
      </c>
      <c r="H219" s="34">
        <v>22</v>
      </c>
      <c r="I219" s="34">
        <v>27</v>
      </c>
      <c r="J219" s="34">
        <v>52</v>
      </c>
      <c r="K219" s="34">
        <v>48</v>
      </c>
      <c r="L219" s="220">
        <f t="shared" si="6"/>
        <v>149</v>
      </c>
    </row>
    <row r="220" spans="1:12" x14ac:dyDescent="0.35">
      <c r="A220" s="287"/>
      <c r="B220" s="287"/>
      <c r="C220" s="34" t="s">
        <v>1623</v>
      </c>
      <c r="D220" s="32" t="s">
        <v>1674</v>
      </c>
      <c r="E220" s="32" t="s">
        <v>1696</v>
      </c>
      <c r="F220" s="32" t="s">
        <v>1696</v>
      </c>
      <c r="G220" s="33" t="s">
        <v>893</v>
      </c>
      <c r="H220" s="34">
        <v>6</v>
      </c>
      <c r="I220" s="34">
        <v>5</v>
      </c>
      <c r="J220" s="34">
        <v>35</v>
      </c>
      <c r="K220" s="34">
        <v>27</v>
      </c>
      <c r="L220" s="220">
        <f t="shared" si="6"/>
        <v>73</v>
      </c>
    </row>
    <row r="221" spans="1:12" x14ac:dyDescent="0.35">
      <c r="A221" s="287"/>
      <c r="B221" s="287"/>
      <c r="C221" s="34" t="s">
        <v>1623</v>
      </c>
      <c r="D221" s="32" t="s">
        <v>1674</v>
      </c>
      <c r="E221" s="32" t="s">
        <v>1696</v>
      </c>
      <c r="F221" s="32" t="s">
        <v>1696</v>
      </c>
      <c r="G221" s="33" t="s">
        <v>894</v>
      </c>
      <c r="H221" s="34">
        <v>9</v>
      </c>
      <c r="I221" s="34">
        <v>11</v>
      </c>
      <c r="J221" s="34">
        <v>34</v>
      </c>
      <c r="K221" s="34">
        <v>41</v>
      </c>
      <c r="L221" s="220">
        <f t="shared" si="6"/>
        <v>95</v>
      </c>
    </row>
    <row r="222" spans="1:12" x14ac:dyDescent="0.35">
      <c r="A222" s="287"/>
      <c r="B222" s="287"/>
      <c r="C222" s="34" t="s">
        <v>1623</v>
      </c>
      <c r="D222" s="32" t="s">
        <v>1674</v>
      </c>
      <c r="E222" s="32" t="s">
        <v>1696</v>
      </c>
      <c r="F222" s="32" t="s">
        <v>1695</v>
      </c>
      <c r="G222" s="33" t="s">
        <v>895</v>
      </c>
      <c r="H222" s="34">
        <v>14</v>
      </c>
      <c r="I222" s="34">
        <v>17</v>
      </c>
      <c r="J222" s="34">
        <v>16</v>
      </c>
      <c r="K222" s="34">
        <v>14</v>
      </c>
      <c r="L222" s="220">
        <f t="shared" si="6"/>
        <v>61</v>
      </c>
    </row>
    <row r="223" spans="1:12" x14ac:dyDescent="0.35">
      <c r="A223" s="287"/>
      <c r="B223" s="287"/>
      <c r="C223" s="34" t="s">
        <v>1623</v>
      </c>
      <c r="D223" s="32" t="s">
        <v>1674</v>
      </c>
      <c r="E223" s="32" t="s">
        <v>1696</v>
      </c>
      <c r="F223" s="32" t="s">
        <v>1696</v>
      </c>
      <c r="G223" s="33" t="s">
        <v>739</v>
      </c>
      <c r="H223" s="34">
        <v>12</v>
      </c>
      <c r="I223" s="34">
        <v>18</v>
      </c>
      <c r="J223" s="34">
        <v>24</v>
      </c>
      <c r="K223" s="34">
        <v>26</v>
      </c>
      <c r="L223" s="220">
        <f t="shared" si="6"/>
        <v>80</v>
      </c>
    </row>
    <row r="224" spans="1:12" x14ac:dyDescent="0.35">
      <c r="A224" s="287"/>
      <c r="B224" s="287"/>
      <c r="C224" s="34" t="s">
        <v>1623</v>
      </c>
      <c r="D224" s="32" t="s">
        <v>1674</v>
      </c>
      <c r="E224" s="32" t="s">
        <v>1696</v>
      </c>
      <c r="F224" s="32" t="s">
        <v>1695</v>
      </c>
      <c r="G224" s="33" t="s">
        <v>896</v>
      </c>
      <c r="H224" s="34">
        <v>19</v>
      </c>
      <c r="I224" s="34">
        <v>16</v>
      </c>
      <c r="J224" s="34">
        <v>26</v>
      </c>
      <c r="K224" s="34">
        <v>24</v>
      </c>
      <c r="L224" s="220">
        <f t="shared" si="6"/>
        <v>85</v>
      </c>
    </row>
    <row r="225" spans="1:12" x14ac:dyDescent="0.35">
      <c r="A225" s="287"/>
      <c r="B225" s="287"/>
      <c r="C225" s="34" t="s">
        <v>1623</v>
      </c>
      <c r="D225" s="32" t="s">
        <v>1674</v>
      </c>
      <c r="E225" s="32" t="s">
        <v>1696</v>
      </c>
      <c r="F225" s="32" t="s">
        <v>1701</v>
      </c>
      <c r="G225" s="33" t="s">
        <v>897</v>
      </c>
      <c r="H225" s="34">
        <v>2</v>
      </c>
      <c r="I225" s="34">
        <v>6</v>
      </c>
      <c r="J225" s="34">
        <v>30</v>
      </c>
      <c r="K225" s="34">
        <v>20</v>
      </c>
      <c r="L225" s="220">
        <f t="shared" si="6"/>
        <v>58</v>
      </c>
    </row>
    <row r="226" spans="1:12" x14ac:dyDescent="0.35">
      <c r="A226" s="287"/>
      <c r="B226" s="287"/>
      <c r="C226" s="34" t="s">
        <v>1623</v>
      </c>
      <c r="D226" s="32" t="s">
        <v>1674</v>
      </c>
      <c r="E226" s="32" t="s">
        <v>1696</v>
      </c>
      <c r="F226" s="32" t="s">
        <v>1695</v>
      </c>
      <c r="G226" s="33" t="s">
        <v>898</v>
      </c>
      <c r="H226" s="34">
        <v>36</v>
      </c>
      <c r="I226" s="34">
        <v>34</v>
      </c>
      <c r="J226" s="34">
        <v>57</v>
      </c>
      <c r="K226" s="34">
        <v>70</v>
      </c>
      <c r="L226" s="220">
        <f t="shared" si="6"/>
        <v>197</v>
      </c>
    </row>
    <row r="227" spans="1:12" x14ac:dyDescent="0.35">
      <c r="A227" s="287"/>
      <c r="B227" s="287"/>
      <c r="C227" s="34" t="s">
        <v>1623</v>
      </c>
      <c r="D227" s="32" t="s">
        <v>1674</v>
      </c>
      <c r="E227" s="32" t="s">
        <v>1696</v>
      </c>
      <c r="F227" s="32" t="s">
        <v>179</v>
      </c>
      <c r="G227" s="33" t="s">
        <v>899</v>
      </c>
      <c r="H227" s="34">
        <v>20</v>
      </c>
      <c r="I227" s="34">
        <v>30</v>
      </c>
      <c r="J227" s="34">
        <v>35</v>
      </c>
      <c r="K227" s="34">
        <v>45</v>
      </c>
      <c r="L227" s="220">
        <f t="shared" si="6"/>
        <v>130</v>
      </c>
    </row>
    <row r="228" spans="1:12" x14ac:dyDescent="0.35">
      <c r="A228" s="287"/>
      <c r="B228" s="287"/>
      <c r="C228" s="34" t="s">
        <v>1623</v>
      </c>
      <c r="D228" s="32" t="s">
        <v>1674</v>
      </c>
      <c r="E228" s="32" t="s">
        <v>1696</v>
      </c>
      <c r="F228" s="32" t="s">
        <v>179</v>
      </c>
      <c r="G228" s="33" t="s">
        <v>900</v>
      </c>
      <c r="H228" s="34">
        <v>9</v>
      </c>
      <c r="I228" s="34">
        <v>11</v>
      </c>
      <c r="J228" s="34">
        <v>18</v>
      </c>
      <c r="K228" s="34">
        <v>28</v>
      </c>
      <c r="L228" s="220">
        <f t="shared" si="6"/>
        <v>66</v>
      </c>
    </row>
    <row r="229" spans="1:12" x14ac:dyDescent="0.35">
      <c r="A229" s="287"/>
      <c r="B229" s="287"/>
      <c r="C229" s="34" t="s">
        <v>1623</v>
      </c>
      <c r="D229" s="32" t="s">
        <v>1674</v>
      </c>
      <c r="E229" s="32" t="s">
        <v>1696</v>
      </c>
      <c r="F229" s="32" t="s">
        <v>179</v>
      </c>
      <c r="G229" s="33" t="s">
        <v>901</v>
      </c>
      <c r="H229" s="34">
        <v>22</v>
      </c>
      <c r="I229" s="34">
        <v>28</v>
      </c>
      <c r="J229" s="34">
        <v>21</v>
      </c>
      <c r="K229" s="34">
        <v>49</v>
      </c>
      <c r="L229" s="220">
        <f t="shared" si="6"/>
        <v>120</v>
      </c>
    </row>
    <row r="230" spans="1:12" x14ac:dyDescent="0.35">
      <c r="A230" s="287"/>
      <c r="B230" s="287"/>
      <c r="C230" s="34" t="s">
        <v>1623</v>
      </c>
      <c r="D230" s="32" t="s">
        <v>1674</v>
      </c>
      <c r="E230" s="32" t="s">
        <v>1696</v>
      </c>
      <c r="F230" s="32" t="s">
        <v>179</v>
      </c>
      <c r="G230" s="33" t="s">
        <v>902</v>
      </c>
      <c r="H230" s="34">
        <v>7</v>
      </c>
      <c r="I230" s="34">
        <v>18</v>
      </c>
      <c r="J230" s="34">
        <v>18</v>
      </c>
      <c r="K230" s="34">
        <v>19</v>
      </c>
      <c r="L230" s="220">
        <f t="shared" si="6"/>
        <v>62</v>
      </c>
    </row>
    <row r="231" spans="1:12" x14ac:dyDescent="0.35">
      <c r="A231" s="287"/>
      <c r="B231" s="287"/>
      <c r="C231" s="34" t="s">
        <v>1623</v>
      </c>
      <c r="D231" s="32" t="s">
        <v>1674</v>
      </c>
      <c r="E231" s="32" t="s">
        <v>1696</v>
      </c>
      <c r="F231" s="32" t="s">
        <v>1701</v>
      </c>
      <c r="G231" s="33" t="s">
        <v>903</v>
      </c>
      <c r="H231" s="34">
        <v>6</v>
      </c>
      <c r="I231" s="34">
        <v>9</v>
      </c>
      <c r="J231" s="34">
        <v>17</v>
      </c>
      <c r="K231" s="34">
        <v>27</v>
      </c>
      <c r="L231" s="220">
        <f t="shared" si="6"/>
        <v>59</v>
      </c>
    </row>
    <row r="232" spans="1:12" x14ac:dyDescent="0.35">
      <c r="A232" s="287"/>
      <c r="B232" s="287"/>
      <c r="C232" s="34" t="s">
        <v>1623</v>
      </c>
      <c r="D232" s="32" t="s">
        <v>1674</v>
      </c>
      <c r="E232" s="32" t="s">
        <v>1696</v>
      </c>
      <c r="F232" s="32" t="s">
        <v>1695</v>
      </c>
      <c r="G232" s="33" t="s">
        <v>904</v>
      </c>
      <c r="H232" s="34">
        <v>25</v>
      </c>
      <c r="I232" s="34">
        <v>31</v>
      </c>
      <c r="J232" s="34">
        <v>48</v>
      </c>
      <c r="K232" s="34">
        <v>52</v>
      </c>
      <c r="L232" s="220">
        <f t="shared" si="6"/>
        <v>156</v>
      </c>
    </row>
    <row r="233" spans="1:12" x14ac:dyDescent="0.35">
      <c r="A233" s="287"/>
      <c r="B233" s="287"/>
      <c r="C233" s="34" t="s">
        <v>1623</v>
      </c>
      <c r="D233" s="32" t="s">
        <v>1674</v>
      </c>
      <c r="E233" s="32" t="s">
        <v>1696</v>
      </c>
      <c r="F233" s="32" t="s">
        <v>1696</v>
      </c>
      <c r="G233" s="33" t="s">
        <v>905</v>
      </c>
      <c r="H233" s="34">
        <v>10</v>
      </c>
      <c r="I233" s="34">
        <v>15</v>
      </c>
      <c r="J233" s="34">
        <v>15</v>
      </c>
      <c r="K233" s="34">
        <v>25</v>
      </c>
      <c r="L233" s="220">
        <f t="shared" si="6"/>
        <v>65</v>
      </c>
    </row>
    <row r="234" spans="1:12" x14ac:dyDescent="0.35">
      <c r="A234" s="287"/>
      <c r="B234" s="287"/>
      <c r="C234" s="34" t="s">
        <v>1623</v>
      </c>
      <c r="D234" s="32" t="s">
        <v>1674</v>
      </c>
      <c r="E234" s="32" t="s">
        <v>1696</v>
      </c>
      <c r="F234" s="32" t="s">
        <v>179</v>
      </c>
      <c r="G234" s="33" t="s">
        <v>906</v>
      </c>
      <c r="H234" s="34">
        <v>15</v>
      </c>
      <c r="I234" s="34">
        <v>15</v>
      </c>
      <c r="J234" s="34">
        <v>20</v>
      </c>
      <c r="K234" s="34">
        <v>30</v>
      </c>
      <c r="L234" s="220">
        <f t="shared" si="6"/>
        <v>80</v>
      </c>
    </row>
    <row r="235" spans="1:12" x14ac:dyDescent="0.35">
      <c r="A235" s="287"/>
      <c r="B235" s="287"/>
      <c r="C235" s="34" t="s">
        <v>1623</v>
      </c>
      <c r="D235" s="32" t="s">
        <v>1674</v>
      </c>
      <c r="E235" s="32" t="s">
        <v>1696</v>
      </c>
      <c r="F235" s="32" t="s">
        <v>179</v>
      </c>
      <c r="G235" s="33" t="s">
        <v>907</v>
      </c>
      <c r="H235" s="34">
        <v>20</v>
      </c>
      <c r="I235" s="34">
        <v>24</v>
      </c>
      <c r="J235" s="34">
        <v>30</v>
      </c>
      <c r="K235" s="34">
        <v>35</v>
      </c>
      <c r="L235" s="220">
        <f t="shared" si="6"/>
        <v>109</v>
      </c>
    </row>
    <row r="236" spans="1:12" x14ac:dyDescent="0.35">
      <c r="A236" s="287"/>
      <c r="B236" s="287"/>
      <c r="C236" s="34" t="s">
        <v>1623</v>
      </c>
      <c r="D236" s="32" t="s">
        <v>1674</v>
      </c>
      <c r="E236" s="32" t="s">
        <v>1696</v>
      </c>
      <c r="F236" s="32" t="s">
        <v>179</v>
      </c>
      <c r="G236" s="33" t="s">
        <v>908</v>
      </c>
      <c r="H236" s="34">
        <v>13</v>
      </c>
      <c r="I236" s="34">
        <v>27</v>
      </c>
      <c r="J236" s="34">
        <v>27</v>
      </c>
      <c r="K236" s="34">
        <v>35</v>
      </c>
      <c r="L236" s="220">
        <f t="shared" si="6"/>
        <v>102</v>
      </c>
    </row>
    <row r="237" spans="1:12" x14ac:dyDescent="0.35">
      <c r="A237" s="287"/>
      <c r="B237" s="287"/>
      <c r="C237" s="34" t="s">
        <v>1623</v>
      </c>
      <c r="D237" s="32" t="s">
        <v>1674</v>
      </c>
      <c r="E237" s="32" t="s">
        <v>1696</v>
      </c>
      <c r="F237" s="32" t="s">
        <v>179</v>
      </c>
      <c r="G237" s="33" t="s">
        <v>909</v>
      </c>
      <c r="H237" s="34">
        <v>6</v>
      </c>
      <c r="I237" s="34">
        <v>14</v>
      </c>
      <c r="J237" s="34">
        <v>15</v>
      </c>
      <c r="K237" s="34">
        <v>25</v>
      </c>
      <c r="L237" s="220">
        <f t="shared" si="6"/>
        <v>60</v>
      </c>
    </row>
    <row r="238" spans="1:12" x14ac:dyDescent="0.35">
      <c r="A238" s="287"/>
      <c r="B238" s="287"/>
      <c r="C238" s="34" t="s">
        <v>1623</v>
      </c>
      <c r="D238" s="32" t="s">
        <v>1674</v>
      </c>
      <c r="E238" s="32" t="s">
        <v>1696</v>
      </c>
      <c r="F238" s="32" t="s">
        <v>179</v>
      </c>
      <c r="G238" s="33" t="s">
        <v>910</v>
      </c>
      <c r="H238" s="34">
        <v>9</v>
      </c>
      <c r="I238" s="34">
        <v>11</v>
      </c>
      <c r="J238" s="34">
        <v>23</v>
      </c>
      <c r="K238" s="34">
        <v>27</v>
      </c>
      <c r="L238" s="220">
        <f t="shared" si="6"/>
        <v>70</v>
      </c>
    </row>
    <row r="239" spans="1:12" x14ac:dyDescent="0.35">
      <c r="A239" s="287"/>
      <c r="B239" s="287"/>
      <c r="C239" s="34" t="s">
        <v>1623</v>
      </c>
      <c r="D239" s="32" t="s">
        <v>1674</v>
      </c>
      <c r="E239" s="32" t="s">
        <v>1696</v>
      </c>
      <c r="F239" s="32" t="s">
        <v>179</v>
      </c>
      <c r="G239" s="33" t="s">
        <v>911</v>
      </c>
      <c r="H239" s="34">
        <v>5</v>
      </c>
      <c r="I239" s="34">
        <v>2</v>
      </c>
      <c r="J239" s="34">
        <v>17</v>
      </c>
      <c r="K239" s="34">
        <v>8</v>
      </c>
      <c r="L239" s="220">
        <f t="shared" si="6"/>
        <v>32</v>
      </c>
    </row>
    <row r="240" spans="1:12" x14ac:dyDescent="0.35">
      <c r="A240" s="287"/>
      <c r="B240" s="287"/>
      <c r="C240" s="34" t="s">
        <v>1623</v>
      </c>
      <c r="D240" s="32" t="s">
        <v>1674</v>
      </c>
      <c r="E240" s="32" t="s">
        <v>1696</v>
      </c>
      <c r="F240" s="32" t="s">
        <v>179</v>
      </c>
      <c r="G240" s="33" t="s">
        <v>912</v>
      </c>
      <c r="H240" s="34">
        <v>16</v>
      </c>
      <c r="I240" s="34">
        <v>14</v>
      </c>
      <c r="J240" s="34">
        <v>24</v>
      </c>
      <c r="K240" s="34">
        <v>26</v>
      </c>
      <c r="L240" s="220">
        <f t="shared" si="6"/>
        <v>80</v>
      </c>
    </row>
    <row r="241" spans="1:12" x14ac:dyDescent="0.35">
      <c r="A241" s="287"/>
      <c r="B241" s="287"/>
      <c r="C241" s="34" t="s">
        <v>1623</v>
      </c>
      <c r="D241" s="32" t="s">
        <v>1674</v>
      </c>
      <c r="E241" s="32" t="s">
        <v>1696</v>
      </c>
      <c r="F241" s="32" t="s">
        <v>1696</v>
      </c>
      <c r="G241" s="33" t="s">
        <v>710</v>
      </c>
      <c r="H241" s="34">
        <v>14</v>
      </c>
      <c r="I241" s="34">
        <v>7</v>
      </c>
      <c r="J241" s="34">
        <v>56</v>
      </c>
      <c r="K241" s="34">
        <v>42</v>
      </c>
      <c r="L241" s="220">
        <f t="shared" si="6"/>
        <v>119</v>
      </c>
    </row>
    <row r="242" spans="1:12" x14ac:dyDescent="0.35">
      <c r="A242" s="287"/>
      <c r="B242" s="287"/>
      <c r="C242" s="34" t="s">
        <v>1623</v>
      </c>
      <c r="D242" s="32" t="s">
        <v>1674</v>
      </c>
      <c r="E242" s="32" t="s">
        <v>1696</v>
      </c>
      <c r="F242" s="32" t="s">
        <v>1701</v>
      </c>
      <c r="G242" s="33" t="s">
        <v>913</v>
      </c>
      <c r="H242" s="34">
        <v>14</v>
      </c>
      <c r="I242" s="34">
        <v>12</v>
      </c>
      <c r="J242" s="34">
        <v>28</v>
      </c>
      <c r="K242" s="34">
        <v>38</v>
      </c>
      <c r="L242" s="220">
        <f t="shared" si="6"/>
        <v>92</v>
      </c>
    </row>
    <row r="243" spans="1:12" x14ac:dyDescent="0.35">
      <c r="A243" s="287"/>
      <c r="B243" s="287"/>
      <c r="C243" s="34" t="s">
        <v>1623</v>
      </c>
      <c r="D243" s="32" t="s">
        <v>1674</v>
      </c>
      <c r="E243" s="32" t="s">
        <v>1696</v>
      </c>
      <c r="F243" s="32" t="s">
        <v>1695</v>
      </c>
      <c r="G243" s="33" t="s">
        <v>914</v>
      </c>
      <c r="H243" s="34">
        <v>14</v>
      </c>
      <c r="I243" s="34">
        <v>16</v>
      </c>
      <c r="J243" s="34">
        <v>29</v>
      </c>
      <c r="K243" s="34">
        <v>51</v>
      </c>
      <c r="L243" s="220">
        <f t="shared" si="6"/>
        <v>110</v>
      </c>
    </row>
    <row r="244" spans="1:12" x14ac:dyDescent="0.35">
      <c r="A244" s="287"/>
      <c r="B244" s="287"/>
      <c r="C244" s="34" t="s">
        <v>1623</v>
      </c>
      <c r="D244" s="32" t="s">
        <v>1674</v>
      </c>
      <c r="E244" s="32" t="s">
        <v>1696</v>
      </c>
      <c r="F244" s="32" t="s">
        <v>1695</v>
      </c>
      <c r="G244" s="33" t="s">
        <v>915</v>
      </c>
      <c r="H244" s="34">
        <v>14</v>
      </c>
      <c r="I244" s="34">
        <v>21</v>
      </c>
      <c r="J244" s="34">
        <v>32</v>
      </c>
      <c r="K244" s="34">
        <v>41</v>
      </c>
      <c r="L244" s="220">
        <f t="shared" si="6"/>
        <v>108</v>
      </c>
    </row>
    <row r="245" spans="1:12" x14ac:dyDescent="0.35">
      <c r="A245" s="287"/>
      <c r="B245" s="287"/>
      <c r="C245" s="34" t="s">
        <v>1623</v>
      </c>
      <c r="D245" s="32" t="s">
        <v>1674</v>
      </c>
      <c r="E245" s="32" t="s">
        <v>1696</v>
      </c>
      <c r="F245" s="32" t="s">
        <v>1695</v>
      </c>
      <c r="G245" s="33" t="s">
        <v>895</v>
      </c>
      <c r="H245" s="34">
        <v>17</v>
      </c>
      <c r="I245" s="34">
        <v>13</v>
      </c>
      <c r="J245" s="34">
        <v>21</v>
      </c>
      <c r="K245" s="34">
        <v>29</v>
      </c>
      <c r="L245" s="220">
        <f t="shared" si="6"/>
        <v>80</v>
      </c>
    </row>
    <row r="246" spans="1:12" x14ac:dyDescent="0.35">
      <c r="A246" s="287"/>
      <c r="B246" s="287"/>
      <c r="C246" s="34" t="s">
        <v>1623</v>
      </c>
      <c r="D246" s="32" t="s">
        <v>1674</v>
      </c>
      <c r="E246" s="32" t="s">
        <v>1696</v>
      </c>
      <c r="F246" s="32" t="s">
        <v>1695</v>
      </c>
      <c r="G246" s="33" t="s">
        <v>916</v>
      </c>
      <c r="H246" s="34">
        <v>20</v>
      </c>
      <c r="I246" s="34">
        <v>20</v>
      </c>
      <c r="J246" s="34">
        <v>46</v>
      </c>
      <c r="K246" s="34">
        <v>38</v>
      </c>
      <c r="L246" s="220">
        <f t="shared" si="6"/>
        <v>124</v>
      </c>
    </row>
    <row r="247" spans="1:12" x14ac:dyDescent="0.35">
      <c r="A247" s="287"/>
      <c r="B247" s="287"/>
      <c r="C247" s="34" t="s">
        <v>1623</v>
      </c>
      <c r="D247" s="32" t="s">
        <v>1674</v>
      </c>
      <c r="E247" s="32" t="s">
        <v>1696</v>
      </c>
      <c r="F247" s="32" t="s">
        <v>1701</v>
      </c>
      <c r="G247" s="33" t="s">
        <v>917</v>
      </c>
      <c r="H247" s="34">
        <v>7</v>
      </c>
      <c r="I247" s="34">
        <v>5</v>
      </c>
      <c r="J247" s="34">
        <v>11</v>
      </c>
      <c r="K247" s="34">
        <v>15</v>
      </c>
      <c r="L247" s="220">
        <f t="shared" si="6"/>
        <v>38</v>
      </c>
    </row>
    <row r="248" spans="1:12" x14ac:dyDescent="0.35">
      <c r="A248" s="287"/>
      <c r="B248" s="287"/>
      <c r="C248" s="34" t="s">
        <v>1623</v>
      </c>
      <c r="D248" s="32" t="s">
        <v>1674</v>
      </c>
      <c r="E248" s="32" t="s">
        <v>1696</v>
      </c>
      <c r="F248" s="32" t="s">
        <v>1695</v>
      </c>
      <c r="G248" s="33" t="s">
        <v>918</v>
      </c>
      <c r="H248" s="34">
        <v>9</v>
      </c>
      <c r="I248" s="34">
        <v>9</v>
      </c>
      <c r="J248" s="34">
        <v>32</v>
      </c>
      <c r="K248" s="34">
        <v>28</v>
      </c>
      <c r="L248" s="220">
        <f t="shared" si="6"/>
        <v>78</v>
      </c>
    </row>
    <row r="249" spans="1:12" x14ac:dyDescent="0.35">
      <c r="A249" s="287"/>
      <c r="B249" s="287"/>
      <c r="C249" s="34" t="s">
        <v>1623</v>
      </c>
      <c r="D249" s="32" t="s">
        <v>1674</v>
      </c>
      <c r="E249" s="32" t="s">
        <v>1696</v>
      </c>
      <c r="F249" s="32" t="s">
        <v>1701</v>
      </c>
      <c r="G249" s="33" t="s">
        <v>919</v>
      </c>
      <c r="H249" s="34">
        <v>8</v>
      </c>
      <c r="I249" s="34">
        <v>4</v>
      </c>
      <c r="J249" s="34">
        <v>28</v>
      </c>
      <c r="K249" s="34">
        <v>34</v>
      </c>
      <c r="L249" s="220">
        <f t="shared" si="6"/>
        <v>74</v>
      </c>
    </row>
    <row r="250" spans="1:12" x14ac:dyDescent="0.35">
      <c r="A250" s="287"/>
      <c r="B250" s="287"/>
      <c r="C250" s="34" t="s">
        <v>1623</v>
      </c>
      <c r="D250" s="32" t="s">
        <v>1674</v>
      </c>
      <c r="E250" s="32" t="s">
        <v>1696</v>
      </c>
      <c r="F250" s="32" t="s">
        <v>1695</v>
      </c>
      <c r="G250" s="33" t="s">
        <v>783</v>
      </c>
      <c r="H250" s="34">
        <v>8</v>
      </c>
      <c r="I250" s="34">
        <v>12</v>
      </c>
      <c r="J250" s="34">
        <v>28</v>
      </c>
      <c r="K250" s="34">
        <v>22</v>
      </c>
      <c r="L250" s="220">
        <f t="shared" si="6"/>
        <v>70</v>
      </c>
    </row>
    <row r="251" spans="1:12" x14ac:dyDescent="0.35">
      <c r="A251" s="287"/>
      <c r="B251" s="287"/>
      <c r="C251" s="34" t="s">
        <v>1623</v>
      </c>
      <c r="D251" s="32" t="s">
        <v>1674</v>
      </c>
      <c r="E251" s="32" t="s">
        <v>1696</v>
      </c>
      <c r="F251" s="32" t="s">
        <v>1695</v>
      </c>
      <c r="G251" s="33" t="s">
        <v>920</v>
      </c>
      <c r="H251" s="34">
        <v>15</v>
      </c>
      <c r="I251" s="34">
        <v>27</v>
      </c>
      <c r="J251" s="34">
        <v>30</v>
      </c>
      <c r="K251" s="34">
        <v>30</v>
      </c>
      <c r="L251" s="220">
        <f t="shared" si="6"/>
        <v>102</v>
      </c>
    </row>
    <row r="252" spans="1:12" x14ac:dyDescent="0.35">
      <c r="A252" s="287"/>
      <c r="B252" s="287"/>
      <c r="C252" s="34" t="s">
        <v>1623</v>
      </c>
      <c r="D252" s="32" t="s">
        <v>1674</v>
      </c>
      <c r="E252" s="32" t="s">
        <v>1696</v>
      </c>
      <c r="F252" s="32" t="s">
        <v>1696</v>
      </c>
      <c r="G252" s="33" t="s">
        <v>921</v>
      </c>
      <c r="H252" s="34">
        <v>13</v>
      </c>
      <c r="I252" s="34">
        <v>10</v>
      </c>
      <c r="J252" s="34">
        <v>23</v>
      </c>
      <c r="K252" s="34">
        <v>27</v>
      </c>
      <c r="L252" s="220">
        <f t="shared" si="6"/>
        <v>73</v>
      </c>
    </row>
    <row r="253" spans="1:12" x14ac:dyDescent="0.35">
      <c r="A253" s="287"/>
      <c r="B253" s="287"/>
      <c r="C253" s="34" t="s">
        <v>1623</v>
      </c>
      <c r="D253" s="32" t="s">
        <v>1674</v>
      </c>
      <c r="E253" s="32" t="s">
        <v>1696</v>
      </c>
      <c r="F253" s="32" t="s">
        <v>179</v>
      </c>
      <c r="G253" s="33" t="s">
        <v>911</v>
      </c>
      <c r="H253" s="34">
        <v>8</v>
      </c>
      <c r="I253" s="34">
        <v>9</v>
      </c>
      <c r="J253" s="34">
        <v>32</v>
      </c>
      <c r="K253" s="34">
        <v>20</v>
      </c>
      <c r="L253" s="220">
        <f t="shared" si="6"/>
        <v>69</v>
      </c>
    </row>
    <row r="254" spans="1:12" x14ac:dyDescent="0.35">
      <c r="A254" s="287"/>
      <c r="B254" s="287"/>
      <c r="C254" s="34" t="s">
        <v>1623</v>
      </c>
      <c r="D254" s="32" t="s">
        <v>1674</v>
      </c>
      <c r="E254" s="32" t="s">
        <v>1696</v>
      </c>
      <c r="F254" s="32" t="s">
        <v>1696</v>
      </c>
      <c r="G254" s="33" t="s">
        <v>710</v>
      </c>
      <c r="H254" s="34">
        <v>7</v>
      </c>
      <c r="I254" s="34">
        <v>8</v>
      </c>
      <c r="J254" s="34">
        <v>25</v>
      </c>
      <c r="K254" s="34">
        <v>21</v>
      </c>
      <c r="L254" s="220">
        <f t="shared" si="6"/>
        <v>61</v>
      </c>
    </row>
    <row r="255" spans="1:12" x14ac:dyDescent="0.35">
      <c r="A255" s="287"/>
      <c r="B255" s="287"/>
      <c r="C255" s="34" t="s">
        <v>1623</v>
      </c>
      <c r="D255" s="32" t="s">
        <v>1674</v>
      </c>
      <c r="E255" s="32" t="s">
        <v>1696</v>
      </c>
      <c r="F255" s="32" t="s">
        <v>1701</v>
      </c>
      <c r="G255" s="33" t="s">
        <v>922</v>
      </c>
      <c r="H255" s="34">
        <v>10</v>
      </c>
      <c r="I255" s="34">
        <v>10</v>
      </c>
      <c r="J255" s="34">
        <v>10</v>
      </c>
      <c r="K255" s="34">
        <v>20</v>
      </c>
      <c r="L255" s="220">
        <f t="shared" si="6"/>
        <v>50</v>
      </c>
    </row>
    <row r="256" spans="1:12" x14ac:dyDescent="0.35">
      <c r="A256" s="287"/>
      <c r="B256" s="287"/>
      <c r="C256" s="34" t="s">
        <v>1623</v>
      </c>
      <c r="D256" s="32" t="s">
        <v>1674</v>
      </c>
      <c r="E256" s="32" t="s">
        <v>1696</v>
      </c>
      <c r="F256" s="32" t="s">
        <v>1695</v>
      </c>
      <c r="G256" s="33" t="s">
        <v>923</v>
      </c>
      <c r="H256" s="34">
        <v>20</v>
      </c>
      <c r="I256" s="34">
        <v>30</v>
      </c>
      <c r="J256" s="34">
        <v>21</v>
      </c>
      <c r="K256" s="34">
        <v>24</v>
      </c>
      <c r="L256" s="220">
        <f t="shared" si="6"/>
        <v>95</v>
      </c>
    </row>
    <row r="257" spans="1:12" x14ac:dyDescent="0.35">
      <c r="A257" s="54"/>
      <c r="B257" s="54"/>
      <c r="C257" s="54"/>
      <c r="D257" s="54"/>
      <c r="E257" s="52"/>
      <c r="F257" s="52"/>
      <c r="G257" s="52" t="s">
        <v>2</v>
      </c>
      <c r="H257" s="53">
        <f t="shared" ref="H257:K257" si="8">SUM(H211:H256)</f>
        <v>652</v>
      </c>
      <c r="I257" s="53">
        <f t="shared" si="8"/>
        <v>742</v>
      </c>
      <c r="J257" s="53">
        <f t="shared" si="8"/>
        <v>1393</v>
      </c>
      <c r="K257" s="53">
        <f t="shared" si="8"/>
        <v>1562</v>
      </c>
      <c r="L257" s="225">
        <f t="shared" si="6"/>
        <v>4349</v>
      </c>
    </row>
    <row r="258" spans="1:12" x14ac:dyDescent="0.35">
      <c r="A258" s="287">
        <v>6</v>
      </c>
      <c r="B258" s="287" t="s">
        <v>1879</v>
      </c>
      <c r="C258" s="34" t="s">
        <v>1623</v>
      </c>
      <c r="D258" s="32" t="s">
        <v>1674</v>
      </c>
      <c r="E258" s="32" t="s">
        <v>1693</v>
      </c>
      <c r="F258" s="32" t="s">
        <v>1702</v>
      </c>
      <c r="G258" s="33" t="s">
        <v>925</v>
      </c>
      <c r="H258" s="34">
        <v>3</v>
      </c>
      <c r="I258" s="34">
        <v>10</v>
      </c>
      <c r="J258" s="34">
        <v>22</v>
      </c>
      <c r="K258" s="34">
        <v>33</v>
      </c>
      <c r="L258" s="220">
        <f t="shared" si="6"/>
        <v>68</v>
      </c>
    </row>
    <row r="259" spans="1:12" x14ac:dyDescent="0.35">
      <c r="A259" s="287"/>
      <c r="B259" s="287"/>
      <c r="C259" s="34" t="s">
        <v>1623</v>
      </c>
      <c r="D259" s="32" t="s">
        <v>1674</v>
      </c>
      <c r="E259" s="32" t="s">
        <v>1693</v>
      </c>
      <c r="F259" s="32" t="s">
        <v>1702</v>
      </c>
      <c r="G259" s="33" t="s">
        <v>926</v>
      </c>
      <c r="H259" s="34">
        <v>4</v>
      </c>
      <c r="I259" s="34">
        <v>8</v>
      </c>
      <c r="J259" s="34">
        <v>15</v>
      </c>
      <c r="K259" s="34">
        <v>23</v>
      </c>
      <c r="L259" s="220">
        <f t="shared" si="6"/>
        <v>50</v>
      </c>
    </row>
    <row r="260" spans="1:12" x14ac:dyDescent="0.35">
      <c r="A260" s="287"/>
      <c r="B260" s="287"/>
      <c r="C260" s="34" t="s">
        <v>1623</v>
      </c>
      <c r="D260" s="32" t="s">
        <v>1674</v>
      </c>
      <c r="E260" s="32" t="s">
        <v>1693</v>
      </c>
      <c r="F260" s="32" t="s">
        <v>1693</v>
      </c>
      <c r="G260" s="33" t="s">
        <v>927</v>
      </c>
      <c r="H260" s="34">
        <v>4</v>
      </c>
      <c r="I260" s="34">
        <v>6</v>
      </c>
      <c r="J260" s="34">
        <v>28</v>
      </c>
      <c r="K260" s="34">
        <v>35</v>
      </c>
      <c r="L260" s="220">
        <f t="shared" si="6"/>
        <v>73</v>
      </c>
    </row>
    <row r="261" spans="1:12" x14ac:dyDescent="0.35">
      <c r="A261" s="287"/>
      <c r="B261" s="287"/>
      <c r="C261" s="34" t="s">
        <v>1623</v>
      </c>
      <c r="D261" s="32" t="s">
        <v>1674</v>
      </c>
      <c r="E261" s="32" t="s">
        <v>1693</v>
      </c>
      <c r="F261" s="32" t="s">
        <v>1693</v>
      </c>
      <c r="G261" s="33" t="s">
        <v>928</v>
      </c>
      <c r="H261" s="34">
        <v>36</v>
      </c>
      <c r="I261" s="34">
        <v>35</v>
      </c>
      <c r="J261" s="34">
        <v>36</v>
      </c>
      <c r="K261" s="34">
        <v>40</v>
      </c>
      <c r="L261" s="220">
        <f t="shared" si="6"/>
        <v>147</v>
      </c>
    </row>
    <row r="262" spans="1:12" x14ac:dyDescent="0.35">
      <c r="A262" s="287"/>
      <c r="B262" s="287"/>
      <c r="C262" s="34" t="s">
        <v>1623</v>
      </c>
      <c r="D262" s="32" t="s">
        <v>1674</v>
      </c>
      <c r="E262" s="32" t="s">
        <v>1693</v>
      </c>
      <c r="F262" s="32" t="s">
        <v>189</v>
      </c>
      <c r="G262" s="33" t="s">
        <v>929</v>
      </c>
      <c r="H262" s="34">
        <v>9</v>
      </c>
      <c r="I262" s="34">
        <v>9</v>
      </c>
      <c r="J262" s="34">
        <v>39</v>
      </c>
      <c r="K262" s="34">
        <v>30</v>
      </c>
      <c r="L262" s="220">
        <f t="shared" ref="L262:L325" si="9">H262+I262+J262+K262</f>
        <v>87</v>
      </c>
    </row>
    <row r="263" spans="1:12" x14ac:dyDescent="0.35">
      <c r="A263" s="287"/>
      <c r="B263" s="287"/>
      <c r="C263" s="34" t="s">
        <v>1623</v>
      </c>
      <c r="D263" s="32" t="s">
        <v>1674</v>
      </c>
      <c r="E263" s="32" t="s">
        <v>1693</v>
      </c>
      <c r="F263" s="32" t="s">
        <v>1693</v>
      </c>
      <c r="G263" s="33" t="s">
        <v>930</v>
      </c>
      <c r="H263" s="34">
        <v>22</v>
      </c>
      <c r="I263" s="34">
        <v>20</v>
      </c>
      <c r="J263" s="34">
        <v>25</v>
      </c>
      <c r="K263" s="34">
        <v>30</v>
      </c>
      <c r="L263" s="220">
        <f t="shared" si="9"/>
        <v>97</v>
      </c>
    </row>
    <row r="264" spans="1:12" x14ac:dyDescent="0.35">
      <c r="A264" s="287"/>
      <c r="B264" s="287"/>
      <c r="C264" s="34" t="s">
        <v>1623</v>
      </c>
      <c r="D264" s="32" t="s">
        <v>1674</v>
      </c>
      <c r="E264" s="32" t="s">
        <v>1693</v>
      </c>
      <c r="F264" s="32" t="s">
        <v>1702</v>
      </c>
      <c r="G264" s="33" t="s">
        <v>931</v>
      </c>
      <c r="H264" s="34">
        <v>10</v>
      </c>
      <c r="I264" s="34">
        <v>20</v>
      </c>
      <c r="J264" s="34">
        <v>26</v>
      </c>
      <c r="K264" s="34">
        <v>27</v>
      </c>
      <c r="L264" s="220">
        <f t="shared" si="9"/>
        <v>83</v>
      </c>
    </row>
    <row r="265" spans="1:12" x14ac:dyDescent="0.35">
      <c r="A265" s="287"/>
      <c r="B265" s="287"/>
      <c r="C265" s="34" t="s">
        <v>1623</v>
      </c>
      <c r="D265" s="32" t="s">
        <v>1674</v>
      </c>
      <c r="E265" s="32" t="s">
        <v>1693</v>
      </c>
      <c r="F265" s="32" t="s">
        <v>1702</v>
      </c>
      <c r="G265" s="33" t="s">
        <v>873</v>
      </c>
      <c r="H265" s="34">
        <v>29</v>
      </c>
      <c r="I265" s="34">
        <v>29</v>
      </c>
      <c r="J265" s="34">
        <v>25</v>
      </c>
      <c r="K265" s="34">
        <v>30</v>
      </c>
      <c r="L265" s="220">
        <f t="shared" si="9"/>
        <v>113</v>
      </c>
    </row>
    <row r="266" spans="1:12" x14ac:dyDescent="0.35">
      <c r="A266" s="287"/>
      <c r="B266" s="287"/>
      <c r="C266" s="34" t="s">
        <v>1623</v>
      </c>
      <c r="D266" s="32" t="s">
        <v>1674</v>
      </c>
      <c r="E266" s="32" t="s">
        <v>1693</v>
      </c>
      <c r="F266" s="32" t="s">
        <v>1702</v>
      </c>
      <c r="G266" s="33" t="s">
        <v>932</v>
      </c>
      <c r="H266" s="34">
        <v>10</v>
      </c>
      <c r="I266" s="34">
        <v>18</v>
      </c>
      <c r="J266" s="34">
        <v>38</v>
      </c>
      <c r="K266" s="34">
        <v>45</v>
      </c>
      <c r="L266" s="220">
        <f t="shared" si="9"/>
        <v>111</v>
      </c>
    </row>
    <row r="267" spans="1:12" x14ac:dyDescent="0.35">
      <c r="A267" s="287"/>
      <c r="B267" s="287"/>
      <c r="C267" s="34" t="s">
        <v>1623</v>
      </c>
      <c r="D267" s="32" t="s">
        <v>1674</v>
      </c>
      <c r="E267" s="32" t="s">
        <v>1693</v>
      </c>
      <c r="F267" s="32" t="s">
        <v>1702</v>
      </c>
      <c r="G267" s="33" t="s">
        <v>933</v>
      </c>
      <c r="H267" s="34">
        <v>17</v>
      </c>
      <c r="I267" s="34">
        <v>20</v>
      </c>
      <c r="J267" s="34">
        <v>30</v>
      </c>
      <c r="K267" s="34">
        <v>30</v>
      </c>
      <c r="L267" s="220">
        <f t="shared" si="9"/>
        <v>97</v>
      </c>
    </row>
    <row r="268" spans="1:12" x14ac:dyDescent="0.35">
      <c r="A268" s="287"/>
      <c r="B268" s="287"/>
      <c r="C268" s="34" t="s">
        <v>1623</v>
      </c>
      <c r="D268" s="32" t="s">
        <v>1674</v>
      </c>
      <c r="E268" s="32" t="s">
        <v>1693</v>
      </c>
      <c r="F268" s="32" t="s">
        <v>1702</v>
      </c>
      <c r="G268" s="33" t="s">
        <v>934</v>
      </c>
      <c r="H268" s="34">
        <v>5</v>
      </c>
      <c r="I268" s="34">
        <v>10</v>
      </c>
      <c r="J268" s="34">
        <v>29</v>
      </c>
      <c r="K268" s="34">
        <v>30</v>
      </c>
      <c r="L268" s="220">
        <f t="shared" si="9"/>
        <v>74</v>
      </c>
    </row>
    <row r="269" spans="1:12" x14ac:dyDescent="0.35">
      <c r="A269" s="287"/>
      <c r="B269" s="287"/>
      <c r="C269" s="34" t="s">
        <v>1623</v>
      </c>
      <c r="D269" s="32" t="s">
        <v>1674</v>
      </c>
      <c r="E269" s="32" t="s">
        <v>1693</v>
      </c>
      <c r="F269" s="32" t="s">
        <v>1702</v>
      </c>
      <c r="G269" s="33" t="s">
        <v>935</v>
      </c>
      <c r="H269" s="34">
        <v>12</v>
      </c>
      <c r="I269" s="34">
        <v>18</v>
      </c>
      <c r="J269" s="34">
        <v>26</v>
      </c>
      <c r="K269" s="34">
        <v>34</v>
      </c>
      <c r="L269" s="220">
        <f t="shared" si="9"/>
        <v>90</v>
      </c>
    </row>
    <row r="270" spans="1:12" x14ac:dyDescent="0.35">
      <c r="A270" s="287"/>
      <c r="B270" s="287"/>
      <c r="C270" s="34" t="s">
        <v>1623</v>
      </c>
      <c r="D270" s="32" t="s">
        <v>1674</v>
      </c>
      <c r="E270" s="32" t="s">
        <v>1693</v>
      </c>
      <c r="F270" s="32" t="s">
        <v>1693</v>
      </c>
      <c r="G270" s="33" t="s">
        <v>719</v>
      </c>
      <c r="H270" s="34">
        <v>6</v>
      </c>
      <c r="I270" s="34">
        <v>6</v>
      </c>
      <c r="J270" s="34">
        <v>39</v>
      </c>
      <c r="K270" s="34">
        <v>41</v>
      </c>
      <c r="L270" s="220">
        <f t="shared" si="9"/>
        <v>92</v>
      </c>
    </row>
    <row r="271" spans="1:12" x14ac:dyDescent="0.35">
      <c r="A271" s="287"/>
      <c r="B271" s="287"/>
      <c r="C271" s="34" t="s">
        <v>1623</v>
      </c>
      <c r="D271" s="32" t="s">
        <v>1674</v>
      </c>
      <c r="E271" s="32" t="s">
        <v>1693</v>
      </c>
      <c r="F271" s="32" t="s">
        <v>1693</v>
      </c>
      <c r="G271" s="33" t="s">
        <v>936</v>
      </c>
      <c r="H271" s="34">
        <v>5</v>
      </c>
      <c r="I271" s="34">
        <v>17</v>
      </c>
      <c r="J271" s="34">
        <v>25</v>
      </c>
      <c r="K271" s="34">
        <v>25</v>
      </c>
      <c r="L271" s="220">
        <f t="shared" si="9"/>
        <v>72</v>
      </c>
    </row>
    <row r="272" spans="1:12" x14ac:dyDescent="0.35">
      <c r="A272" s="287"/>
      <c r="B272" s="287"/>
      <c r="C272" s="34" t="s">
        <v>1623</v>
      </c>
      <c r="D272" s="32" t="s">
        <v>1674</v>
      </c>
      <c r="E272" s="32" t="s">
        <v>1693</v>
      </c>
      <c r="F272" s="32" t="s">
        <v>1693</v>
      </c>
      <c r="G272" s="33" t="s">
        <v>937</v>
      </c>
      <c r="H272" s="34">
        <v>4</v>
      </c>
      <c r="I272" s="34">
        <v>6</v>
      </c>
      <c r="J272" s="34">
        <v>21</v>
      </c>
      <c r="K272" s="34">
        <v>23</v>
      </c>
      <c r="L272" s="220">
        <f t="shared" si="9"/>
        <v>54</v>
      </c>
    </row>
    <row r="273" spans="1:12" x14ac:dyDescent="0.35">
      <c r="A273" s="287"/>
      <c r="B273" s="287"/>
      <c r="C273" s="34" t="s">
        <v>1623</v>
      </c>
      <c r="D273" s="32" t="s">
        <v>1674</v>
      </c>
      <c r="E273" s="32" t="s">
        <v>1693</v>
      </c>
      <c r="F273" s="32" t="s">
        <v>1702</v>
      </c>
      <c r="G273" s="33" t="s">
        <v>924</v>
      </c>
      <c r="H273" s="34">
        <v>10</v>
      </c>
      <c r="I273" s="34">
        <v>17</v>
      </c>
      <c r="J273" s="34">
        <v>24</v>
      </c>
      <c r="K273" s="34">
        <v>25</v>
      </c>
      <c r="L273" s="220">
        <f t="shared" si="9"/>
        <v>76</v>
      </c>
    </row>
    <row r="274" spans="1:12" x14ac:dyDescent="0.35">
      <c r="A274" s="287"/>
      <c r="B274" s="287"/>
      <c r="C274" s="34" t="s">
        <v>1623</v>
      </c>
      <c r="D274" s="32" t="s">
        <v>1674</v>
      </c>
      <c r="E274" s="32" t="s">
        <v>1693</v>
      </c>
      <c r="F274" s="32" t="s">
        <v>1702</v>
      </c>
      <c r="G274" s="33" t="s">
        <v>938</v>
      </c>
      <c r="H274" s="34">
        <v>9</v>
      </c>
      <c r="I274" s="34">
        <v>20</v>
      </c>
      <c r="J274" s="34">
        <v>38</v>
      </c>
      <c r="K274" s="34">
        <v>42</v>
      </c>
      <c r="L274" s="220">
        <f t="shared" si="9"/>
        <v>109</v>
      </c>
    </row>
    <row r="275" spans="1:12" x14ac:dyDescent="0.35">
      <c r="A275" s="287"/>
      <c r="B275" s="287"/>
      <c r="C275" s="34" t="s">
        <v>1623</v>
      </c>
      <c r="D275" s="32" t="s">
        <v>1674</v>
      </c>
      <c r="E275" s="32" t="s">
        <v>1693</v>
      </c>
      <c r="F275" s="32" t="s">
        <v>1702</v>
      </c>
      <c r="G275" s="33" t="s">
        <v>939</v>
      </c>
      <c r="H275" s="34">
        <v>10</v>
      </c>
      <c r="I275" s="34">
        <v>11</v>
      </c>
      <c r="J275" s="34">
        <v>25</v>
      </c>
      <c r="K275" s="34">
        <v>25</v>
      </c>
      <c r="L275" s="220">
        <f t="shared" si="9"/>
        <v>71</v>
      </c>
    </row>
    <row r="276" spans="1:12" x14ac:dyDescent="0.35">
      <c r="A276" s="287"/>
      <c r="B276" s="287"/>
      <c r="C276" s="34" t="s">
        <v>1623</v>
      </c>
      <c r="D276" s="32" t="s">
        <v>1674</v>
      </c>
      <c r="E276" s="32" t="s">
        <v>1693</v>
      </c>
      <c r="F276" s="32" t="s">
        <v>1702</v>
      </c>
      <c r="G276" s="33" t="s">
        <v>940</v>
      </c>
      <c r="H276" s="34">
        <v>5</v>
      </c>
      <c r="I276" s="34">
        <v>10</v>
      </c>
      <c r="J276" s="34">
        <v>29</v>
      </c>
      <c r="K276" s="34">
        <v>31</v>
      </c>
      <c r="L276" s="220">
        <f t="shared" si="9"/>
        <v>75</v>
      </c>
    </row>
    <row r="277" spans="1:12" x14ac:dyDescent="0.35">
      <c r="A277" s="287"/>
      <c r="B277" s="287"/>
      <c r="C277" s="34" t="s">
        <v>1623</v>
      </c>
      <c r="D277" s="32" t="s">
        <v>1674</v>
      </c>
      <c r="E277" s="32" t="s">
        <v>1693</v>
      </c>
      <c r="F277" s="32" t="s">
        <v>1702</v>
      </c>
      <c r="G277" s="33" t="s">
        <v>941</v>
      </c>
      <c r="H277" s="34">
        <v>10</v>
      </c>
      <c r="I277" s="34">
        <v>16</v>
      </c>
      <c r="J277" s="34">
        <v>35</v>
      </c>
      <c r="K277" s="34">
        <v>35</v>
      </c>
      <c r="L277" s="220">
        <f t="shared" si="9"/>
        <v>96</v>
      </c>
    </row>
    <row r="278" spans="1:12" x14ac:dyDescent="0.35">
      <c r="A278" s="287"/>
      <c r="B278" s="287"/>
      <c r="C278" s="34" t="s">
        <v>1623</v>
      </c>
      <c r="D278" s="32" t="s">
        <v>1674</v>
      </c>
      <c r="E278" s="32" t="s">
        <v>1693</v>
      </c>
      <c r="F278" s="32" t="s">
        <v>1702</v>
      </c>
      <c r="G278" s="33" t="s">
        <v>774</v>
      </c>
      <c r="H278" s="34">
        <v>4</v>
      </c>
      <c r="I278" s="34">
        <v>10</v>
      </c>
      <c r="J278" s="34">
        <v>30</v>
      </c>
      <c r="K278" s="34">
        <v>32</v>
      </c>
      <c r="L278" s="220">
        <f t="shared" si="9"/>
        <v>76</v>
      </c>
    </row>
    <row r="279" spans="1:12" x14ac:dyDescent="0.35">
      <c r="A279" s="287"/>
      <c r="B279" s="287"/>
      <c r="C279" s="34" t="s">
        <v>1623</v>
      </c>
      <c r="D279" s="32" t="s">
        <v>1674</v>
      </c>
      <c r="E279" s="32" t="s">
        <v>1693</v>
      </c>
      <c r="F279" s="32" t="s">
        <v>1702</v>
      </c>
      <c r="G279" s="33" t="s">
        <v>942</v>
      </c>
      <c r="H279" s="34">
        <v>6</v>
      </c>
      <c r="I279" s="34">
        <v>6</v>
      </c>
      <c r="J279" s="34">
        <v>24</v>
      </c>
      <c r="K279" s="34">
        <v>25</v>
      </c>
      <c r="L279" s="220">
        <f t="shared" si="9"/>
        <v>61</v>
      </c>
    </row>
    <row r="280" spans="1:12" x14ac:dyDescent="0.35">
      <c r="A280" s="287"/>
      <c r="B280" s="287"/>
      <c r="C280" s="34" t="s">
        <v>1623</v>
      </c>
      <c r="D280" s="32" t="s">
        <v>1674</v>
      </c>
      <c r="E280" s="32" t="s">
        <v>1693</v>
      </c>
      <c r="F280" s="32" t="s">
        <v>1702</v>
      </c>
      <c r="G280" s="33" t="s">
        <v>943</v>
      </c>
      <c r="H280" s="34">
        <v>7</v>
      </c>
      <c r="I280" s="34">
        <v>10</v>
      </c>
      <c r="J280" s="34">
        <v>30</v>
      </c>
      <c r="K280" s="34">
        <v>30</v>
      </c>
      <c r="L280" s="220">
        <f t="shared" si="9"/>
        <v>77</v>
      </c>
    </row>
    <row r="281" spans="1:12" x14ac:dyDescent="0.35">
      <c r="A281" s="287"/>
      <c r="B281" s="287"/>
      <c r="C281" s="34" t="s">
        <v>1623</v>
      </c>
      <c r="D281" s="32" t="s">
        <v>1674</v>
      </c>
      <c r="E281" s="32" t="s">
        <v>1693</v>
      </c>
      <c r="F281" s="32" t="s">
        <v>1702</v>
      </c>
      <c r="G281" s="33" t="s">
        <v>944</v>
      </c>
      <c r="H281" s="34">
        <v>4</v>
      </c>
      <c r="I281" s="34">
        <v>9</v>
      </c>
      <c r="J281" s="34">
        <v>38</v>
      </c>
      <c r="K281" s="34">
        <v>40</v>
      </c>
      <c r="L281" s="220">
        <f t="shared" si="9"/>
        <v>91</v>
      </c>
    </row>
    <row r="282" spans="1:12" x14ac:dyDescent="0.35">
      <c r="A282" s="287"/>
      <c r="B282" s="287"/>
      <c r="C282" s="34" t="s">
        <v>1623</v>
      </c>
      <c r="D282" s="32" t="s">
        <v>1674</v>
      </c>
      <c r="E282" s="32" t="s">
        <v>1693</v>
      </c>
      <c r="F282" s="32" t="s">
        <v>1702</v>
      </c>
      <c r="G282" s="33" t="s">
        <v>858</v>
      </c>
      <c r="H282" s="34">
        <v>10</v>
      </c>
      <c r="I282" s="34">
        <v>20</v>
      </c>
      <c r="J282" s="34">
        <v>40</v>
      </c>
      <c r="K282" s="34">
        <v>43</v>
      </c>
      <c r="L282" s="220">
        <f t="shared" si="9"/>
        <v>113</v>
      </c>
    </row>
    <row r="283" spans="1:12" x14ac:dyDescent="0.35">
      <c r="A283" s="287"/>
      <c r="B283" s="287"/>
      <c r="C283" s="34" t="s">
        <v>1623</v>
      </c>
      <c r="D283" s="32" t="s">
        <v>1674</v>
      </c>
      <c r="E283" s="32" t="s">
        <v>1693</v>
      </c>
      <c r="F283" s="32" t="s">
        <v>1702</v>
      </c>
      <c r="G283" s="33" t="s">
        <v>710</v>
      </c>
      <c r="H283" s="34">
        <v>10</v>
      </c>
      <c r="I283" s="34">
        <v>14</v>
      </c>
      <c r="J283" s="34">
        <v>8</v>
      </c>
      <c r="K283" s="34">
        <v>21</v>
      </c>
      <c r="L283" s="220">
        <f t="shared" si="9"/>
        <v>53</v>
      </c>
    </row>
    <row r="284" spans="1:12" x14ac:dyDescent="0.35">
      <c r="A284" s="52"/>
      <c r="B284" s="52"/>
      <c r="C284" s="52"/>
      <c r="D284" s="52"/>
      <c r="E284" s="52"/>
      <c r="F284" s="52"/>
      <c r="G284" s="52" t="s">
        <v>2</v>
      </c>
      <c r="H284" s="53">
        <f t="shared" ref="H284:K284" si="10">SUM(H258:H283)</f>
        <v>261</v>
      </c>
      <c r="I284" s="53">
        <f t="shared" si="10"/>
        <v>375</v>
      </c>
      <c r="J284" s="53">
        <f t="shared" si="10"/>
        <v>745</v>
      </c>
      <c r="K284" s="53">
        <f t="shared" si="10"/>
        <v>825</v>
      </c>
      <c r="L284" s="225">
        <f t="shared" si="9"/>
        <v>2206</v>
      </c>
    </row>
    <row r="285" spans="1:12" x14ac:dyDescent="0.35">
      <c r="A285" s="287">
        <v>7</v>
      </c>
      <c r="B285" s="287" t="s">
        <v>1880</v>
      </c>
      <c r="C285" s="34" t="s">
        <v>1623</v>
      </c>
      <c r="D285" s="32" t="s">
        <v>1674</v>
      </c>
      <c r="E285" s="32" t="s">
        <v>1703</v>
      </c>
      <c r="F285" s="32" t="s">
        <v>1704</v>
      </c>
      <c r="G285" s="33" t="s">
        <v>945</v>
      </c>
      <c r="H285" s="34">
        <v>7</v>
      </c>
      <c r="I285" s="34">
        <v>10</v>
      </c>
      <c r="J285" s="34">
        <v>30</v>
      </c>
      <c r="K285" s="34">
        <v>40</v>
      </c>
      <c r="L285" s="220">
        <f t="shared" si="9"/>
        <v>87</v>
      </c>
    </row>
    <row r="286" spans="1:12" x14ac:dyDescent="0.35">
      <c r="A286" s="287"/>
      <c r="B286" s="287"/>
      <c r="C286" s="34" t="s">
        <v>1623</v>
      </c>
      <c r="D286" s="32" t="s">
        <v>1674</v>
      </c>
      <c r="E286" s="32" t="s">
        <v>1703</v>
      </c>
      <c r="F286" s="32" t="s">
        <v>1704</v>
      </c>
      <c r="G286" s="33" t="s">
        <v>946</v>
      </c>
      <c r="H286" s="34">
        <v>8</v>
      </c>
      <c r="I286" s="34">
        <v>9</v>
      </c>
      <c r="J286" s="34">
        <v>13</v>
      </c>
      <c r="K286" s="34">
        <v>12</v>
      </c>
      <c r="L286" s="220">
        <f t="shared" si="9"/>
        <v>42</v>
      </c>
    </row>
    <row r="287" spans="1:12" x14ac:dyDescent="0.35">
      <c r="A287" s="287"/>
      <c r="B287" s="287"/>
      <c r="C287" s="34" t="s">
        <v>1623</v>
      </c>
      <c r="D287" s="32" t="s">
        <v>1674</v>
      </c>
      <c r="E287" s="32" t="s">
        <v>1703</v>
      </c>
      <c r="F287" s="32" t="s">
        <v>1704</v>
      </c>
      <c r="G287" s="33" t="s">
        <v>947</v>
      </c>
      <c r="H287" s="34">
        <v>6</v>
      </c>
      <c r="I287" s="34">
        <v>10</v>
      </c>
      <c r="J287" s="34">
        <v>48</v>
      </c>
      <c r="K287" s="34">
        <v>50</v>
      </c>
      <c r="L287" s="220">
        <f t="shared" si="9"/>
        <v>114</v>
      </c>
    </row>
    <row r="288" spans="1:12" x14ac:dyDescent="0.35">
      <c r="A288" s="287"/>
      <c r="B288" s="287"/>
      <c r="C288" s="34" t="s">
        <v>1623</v>
      </c>
      <c r="D288" s="32" t="s">
        <v>1674</v>
      </c>
      <c r="E288" s="32" t="s">
        <v>1703</v>
      </c>
      <c r="F288" s="32" t="s">
        <v>1705</v>
      </c>
      <c r="G288" s="33" t="s">
        <v>948</v>
      </c>
      <c r="H288" s="34">
        <v>14</v>
      </c>
      <c r="I288" s="34">
        <v>16</v>
      </c>
      <c r="J288" s="34">
        <v>61</v>
      </c>
      <c r="K288" s="34">
        <v>48</v>
      </c>
      <c r="L288" s="220">
        <f t="shared" si="9"/>
        <v>139</v>
      </c>
    </row>
    <row r="289" spans="1:12" x14ac:dyDescent="0.35">
      <c r="A289" s="287"/>
      <c r="B289" s="287"/>
      <c r="C289" s="34" t="s">
        <v>1623</v>
      </c>
      <c r="D289" s="32" t="s">
        <v>1674</v>
      </c>
      <c r="E289" s="32" t="s">
        <v>1703</v>
      </c>
      <c r="F289" s="32" t="s">
        <v>1704</v>
      </c>
      <c r="G289" s="33" t="s">
        <v>949</v>
      </c>
      <c r="H289" s="34">
        <v>10</v>
      </c>
      <c r="I289" s="34">
        <v>12</v>
      </c>
      <c r="J289" s="34">
        <v>55</v>
      </c>
      <c r="K289" s="34">
        <v>70</v>
      </c>
      <c r="L289" s="220">
        <f t="shared" si="9"/>
        <v>147</v>
      </c>
    </row>
    <row r="290" spans="1:12" x14ac:dyDescent="0.35">
      <c r="A290" s="287"/>
      <c r="B290" s="287"/>
      <c r="C290" s="34" t="s">
        <v>1623</v>
      </c>
      <c r="D290" s="32" t="s">
        <v>1674</v>
      </c>
      <c r="E290" s="32" t="s">
        <v>1703</v>
      </c>
      <c r="F290" s="32" t="s">
        <v>1703</v>
      </c>
      <c r="G290" s="33" t="s">
        <v>950</v>
      </c>
      <c r="H290" s="34">
        <v>7</v>
      </c>
      <c r="I290" s="34">
        <v>9</v>
      </c>
      <c r="J290" s="34">
        <v>40</v>
      </c>
      <c r="K290" s="34">
        <v>35</v>
      </c>
      <c r="L290" s="220">
        <f t="shared" si="9"/>
        <v>91</v>
      </c>
    </row>
    <row r="291" spans="1:12" x14ac:dyDescent="0.35">
      <c r="A291" s="287"/>
      <c r="B291" s="287"/>
      <c r="C291" s="34" t="s">
        <v>1623</v>
      </c>
      <c r="D291" s="32" t="s">
        <v>1674</v>
      </c>
      <c r="E291" s="32" t="s">
        <v>1703</v>
      </c>
      <c r="F291" s="32" t="s">
        <v>1703</v>
      </c>
      <c r="G291" s="33" t="s">
        <v>951</v>
      </c>
      <c r="H291" s="34">
        <v>18</v>
      </c>
      <c r="I291" s="34">
        <v>12</v>
      </c>
      <c r="J291" s="34">
        <v>41</v>
      </c>
      <c r="K291" s="34">
        <v>39</v>
      </c>
      <c r="L291" s="220">
        <f t="shared" si="9"/>
        <v>110</v>
      </c>
    </row>
    <row r="292" spans="1:12" x14ac:dyDescent="0.35">
      <c r="A292" s="287"/>
      <c r="B292" s="287"/>
      <c r="C292" s="34" t="s">
        <v>1623</v>
      </c>
      <c r="D292" s="32" t="s">
        <v>1674</v>
      </c>
      <c r="E292" s="32" t="s">
        <v>1703</v>
      </c>
      <c r="F292" s="32" t="s">
        <v>1704</v>
      </c>
      <c r="G292" s="33" t="s">
        <v>952</v>
      </c>
      <c r="H292" s="34">
        <v>13</v>
      </c>
      <c r="I292" s="34">
        <v>13</v>
      </c>
      <c r="J292" s="34">
        <v>45</v>
      </c>
      <c r="K292" s="34">
        <v>55</v>
      </c>
      <c r="L292" s="220">
        <f t="shared" si="9"/>
        <v>126</v>
      </c>
    </row>
    <row r="293" spans="1:12" x14ac:dyDescent="0.35">
      <c r="A293" s="287"/>
      <c r="B293" s="287"/>
      <c r="C293" s="34" t="s">
        <v>1623</v>
      </c>
      <c r="D293" s="32" t="s">
        <v>1674</v>
      </c>
      <c r="E293" s="32" t="s">
        <v>1703</v>
      </c>
      <c r="F293" s="32" t="s">
        <v>1705</v>
      </c>
      <c r="G293" s="33" t="s">
        <v>953</v>
      </c>
      <c r="H293" s="34">
        <v>9</v>
      </c>
      <c r="I293" s="34">
        <v>21</v>
      </c>
      <c r="J293" s="34">
        <v>32</v>
      </c>
      <c r="K293" s="34">
        <v>35</v>
      </c>
      <c r="L293" s="220">
        <f t="shared" si="9"/>
        <v>97</v>
      </c>
    </row>
    <row r="294" spans="1:12" x14ac:dyDescent="0.35">
      <c r="A294" s="287"/>
      <c r="B294" s="287"/>
      <c r="C294" s="34" t="s">
        <v>1623</v>
      </c>
      <c r="D294" s="32" t="s">
        <v>1674</v>
      </c>
      <c r="E294" s="32" t="s">
        <v>1703</v>
      </c>
      <c r="F294" s="32" t="s">
        <v>1705</v>
      </c>
      <c r="G294" s="33" t="s">
        <v>954</v>
      </c>
      <c r="H294" s="34">
        <v>4</v>
      </c>
      <c r="I294" s="34">
        <v>6</v>
      </c>
      <c r="J294" s="34">
        <v>35</v>
      </c>
      <c r="K294" s="34">
        <v>30</v>
      </c>
      <c r="L294" s="220">
        <f t="shared" si="9"/>
        <v>75</v>
      </c>
    </row>
    <row r="295" spans="1:12" x14ac:dyDescent="0.35">
      <c r="A295" s="287"/>
      <c r="B295" s="287"/>
      <c r="C295" s="34" t="s">
        <v>1623</v>
      </c>
      <c r="D295" s="32" t="s">
        <v>1674</v>
      </c>
      <c r="E295" s="32" t="s">
        <v>1703</v>
      </c>
      <c r="F295" s="32" t="s">
        <v>1705</v>
      </c>
      <c r="G295" s="33" t="s">
        <v>955</v>
      </c>
      <c r="H295" s="34">
        <v>1</v>
      </c>
      <c r="I295" s="34">
        <v>5</v>
      </c>
      <c r="J295" s="34">
        <v>13</v>
      </c>
      <c r="K295" s="34">
        <v>14</v>
      </c>
      <c r="L295" s="220">
        <f t="shared" si="9"/>
        <v>33</v>
      </c>
    </row>
    <row r="296" spans="1:12" x14ac:dyDescent="0.35">
      <c r="A296" s="287"/>
      <c r="B296" s="287"/>
      <c r="C296" s="34" t="s">
        <v>1623</v>
      </c>
      <c r="D296" s="32" t="s">
        <v>1674</v>
      </c>
      <c r="E296" s="32" t="s">
        <v>1703</v>
      </c>
      <c r="F296" s="32" t="s">
        <v>1705</v>
      </c>
      <c r="G296" s="33" t="s">
        <v>956</v>
      </c>
      <c r="H296" s="34">
        <v>11</v>
      </c>
      <c r="I296" s="34">
        <v>9</v>
      </c>
      <c r="J296" s="34">
        <v>42</v>
      </c>
      <c r="K296" s="34">
        <v>43</v>
      </c>
      <c r="L296" s="220">
        <f t="shared" si="9"/>
        <v>105</v>
      </c>
    </row>
    <row r="297" spans="1:12" x14ac:dyDescent="0.35">
      <c r="A297" s="287"/>
      <c r="B297" s="287"/>
      <c r="C297" s="34" t="s">
        <v>1623</v>
      </c>
      <c r="D297" s="32" t="s">
        <v>1674</v>
      </c>
      <c r="E297" s="32" t="s">
        <v>1703</v>
      </c>
      <c r="F297" s="32" t="s">
        <v>1703</v>
      </c>
      <c r="G297" s="33" t="s">
        <v>957</v>
      </c>
      <c r="H297" s="34">
        <v>3</v>
      </c>
      <c r="I297" s="34">
        <v>2</v>
      </c>
      <c r="J297" s="34">
        <v>25</v>
      </c>
      <c r="K297" s="34">
        <v>24</v>
      </c>
      <c r="L297" s="220">
        <f t="shared" si="9"/>
        <v>54</v>
      </c>
    </row>
    <row r="298" spans="1:12" x14ac:dyDescent="0.35">
      <c r="A298" s="287"/>
      <c r="B298" s="287"/>
      <c r="C298" s="34" t="s">
        <v>1623</v>
      </c>
      <c r="D298" s="32" t="s">
        <v>1674</v>
      </c>
      <c r="E298" s="32" t="s">
        <v>1703</v>
      </c>
      <c r="F298" s="32" t="s">
        <v>1705</v>
      </c>
      <c r="G298" s="33" t="s">
        <v>865</v>
      </c>
      <c r="H298" s="34">
        <v>5</v>
      </c>
      <c r="I298" s="34">
        <v>2</v>
      </c>
      <c r="J298" s="34">
        <v>25</v>
      </c>
      <c r="K298" s="34">
        <v>24</v>
      </c>
      <c r="L298" s="220">
        <f t="shared" si="9"/>
        <v>56</v>
      </c>
    </row>
    <row r="299" spans="1:12" x14ac:dyDescent="0.35">
      <c r="A299" s="287"/>
      <c r="B299" s="287"/>
      <c r="C299" s="34" t="s">
        <v>1623</v>
      </c>
      <c r="D299" s="32" t="s">
        <v>1674</v>
      </c>
      <c r="E299" s="32" t="s">
        <v>1703</v>
      </c>
      <c r="F299" s="32" t="s">
        <v>1705</v>
      </c>
      <c r="G299" s="33" t="s">
        <v>958</v>
      </c>
      <c r="H299" s="34">
        <v>11</v>
      </c>
      <c r="I299" s="34">
        <v>12</v>
      </c>
      <c r="J299" s="34">
        <v>42</v>
      </c>
      <c r="K299" s="34">
        <v>44</v>
      </c>
      <c r="L299" s="220">
        <f t="shared" si="9"/>
        <v>109</v>
      </c>
    </row>
    <row r="300" spans="1:12" x14ac:dyDescent="0.35">
      <c r="A300" s="287"/>
      <c r="B300" s="287"/>
      <c r="C300" s="34" t="s">
        <v>1623</v>
      </c>
      <c r="D300" s="32" t="s">
        <v>1674</v>
      </c>
      <c r="E300" s="32" t="s">
        <v>1703</v>
      </c>
      <c r="F300" s="32" t="s">
        <v>1703</v>
      </c>
      <c r="G300" s="33" t="s">
        <v>438</v>
      </c>
      <c r="H300" s="34">
        <v>13</v>
      </c>
      <c r="I300" s="34">
        <v>10</v>
      </c>
      <c r="J300" s="34">
        <v>50</v>
      </c>
      <c r="K300" s="34">
        <v>38</v>
      </c>
      <c r="L300" s="220">
        <f t="shared" si="9"/>
        <v>111</v>
      </c>
    </row>
    <row r="301" spans="1:12" x14ac:dyDescent="0.35">
      <c r="A301" s="287"/>
      <c r="B301" s="287"/>
      <c r="C301" s="34" t="s">
        <v>1623</v>
      </c>
      <c r="D301" s="32" t="s">
        <v>1674</v>
      </c>
      <c r="E301" s="32" t="s">
        <v>1703</v>
      </c>
      <c r="F301" s="32" t="s">
        <v>1703</v>
      </c>
      <c r="G301" s="33" t="s">
        <v>959</v>
      </c>
      <c r="H301" s="34">
        <v>33</v>
      </c>
      <c r="I301" s="34">
        <v>15</v>
      </c>
      <c r="J301" s="34">
        <v>105</v>
      </c>
      <c r="K301" s="34">
        <v>111</v>
      </c>
      <c r="L301" s="220">
        <f t="shared" si="9"/>
        <v>264</v>
      </c>
    </row>
    <row r="302" spans="1:12" x14ac:dyDescent="0.35">
      <c r="A302" s="287"/>
      <c r="B302" s="287"/>
      <c r="C302" s="34" t="s">
        <v>1623</v>
      </c>
      <c r="D302" s="32" t="s">
        <v>1674</v>
      </c>
      <c r="E302" s="32" t="s">
        <v>1703</v>
      </c>
      <c r="F302" s="32" t="s">
        <v>1703</v>
      </c>
      <c r="G302" s="33" t="s">
        <v>960</v>
      </c>
      <c r="H302" s="34">
        <v>8</v>
      </c>
      <c r="I302" s="34">
        <v>11</v>
      </c>
      <c r="J302" s="34">
        <v>24</v>
      </c>
      <c r="K302" s="34">
        <v>31</v>
      </c>
      <c r="L302" s="220">
        <f t="shared" si="9"/>
        <v>74</v>
      </c>
    </row>
    <row r="303" spans="1:12" x14ac:dyDescent="0.35">
      <c r="A303" s="287"/>
      <c r="B303" s="287"/>
      <c r="C303" s="34" t="s">
        <v>1623</v>
      </c>
      <c r="D303" s="32" t="s">
        <v>1674</v>
      </c>
      <c r="E303" s="32" t="s">
        <v>1703</v>
      </c>
      <c r="F303" s="32" t="s">
        <v>1703</v>
      </c>
      <c r="G303" s="33" t="s">
        <v>961</v>
      </c>
      <c r="H303" s="34">
        <v>10</v>
      </c>
      <c r="I303" s="34">
        <v>11</v>
      </c>
      <c r="J303" s="34">
        <v>32</v>
      </c>
      <c r="K303" s="34">
        <v>38</v>
      </c>
      <c r="L303" s="220">
        <f t="shared" si="9"/>
        <v>91</v>
      </c>
    </row>
    <row r="304" spans="1:12" x14ac:dyDescent="0.35">
      <c r="A304" s="287"/>
      <c r="B304" s="287"/>
      <c r="C304" s="34" t="s">
        <v>1623</v>
      </c>
      <c r="D304" s="32" t="s">
        <v>1674</v>
      </c>
      <c r="E304" s="32" t="s">
        <v>1703</v>
      </c>
      <c r="F304" s="32" t="s">
        <v>1703</v>
      </c>
      <c r="G304" s="33" t="s">
        <v>962</v>
      </c>
      <c r="H304" s="34">
        <v>12</v>
      </c>
      <c r="I304" s="34">
        <v>14</v>
      </c>
      <c r="J304" s="34">
        <v>59</v>
      </c>
      <c r="K304" s="34">
        <v>77</v>
      </c>
      <c r="L304" s="220">
        <f t="shared" si="9"/>
        <v>162</v>
      </c>
    </row>
    <row r="305" spans="1:12" x14ac:dyDescent="0.35">
      <c r="A305" s="287"/>
      <c r="B305" s="287"/>
      <c r="C305" s="34" t="s">
        <v>1623</v>
      </c>
      <c r="D305" s="32" t="s">
        <v>1674</v>
      </c>
      <c r="E305" s="32" t="s">
        <v>1703</v>
      </c>
      <c r="F305" s="32" t="s">
        <v>1704</v>
      </c>
      <c r="G305" s="33" t="s">
        <v>963</v>
      </c>
      <c r="H305" s="34">
        <v>11</v>
      </c>
      <c r="I305" s="34">
        <v>6</v>
      </c>
      <c r="J305" s="34">
        <v>40</v>
      </c>
      <c r="K305" s="34">
        <v>86</v>
      </c>
      <c r="L305" s="220">
        <f t="shared" si="9"/>
        <v>143</v>
      </c>
    </row>
    <row r="306" spans="1:12" x14ac:dyDescent="0.35">
      <c r="A306" s="287"/>
      <c r="B306" s="287"/>
      <c r="C306" s="34" t="s">
        <v>1623</v>
      </c>
      <c r="D306" s="32" t="s">
        <v>1674</v>
      </c>
      <c r="E306" s="32" t="s">
        <v>1703</v>
      </c>
      <c r="F306" s="32" t="s">
        <v>1705</v>
      </c>
      <c r="G306" s="33" t="s">
        <v>964</v>
      </c>
      <c r="H306" s="34">
        <v>12</v>
      </c>
      <c r="I306" s="34">
        <v>19</v>
      </c>
      <c r="J306" s="34">
        <v>26</v>
      </c>
      <c r="K306" s="34">
        <v>91</v>
      </c>
      <c r="L306" s="220">
        <f t="shared" si="9"/>
        <v>148</v>
      </c>
    </row>
    <row r="307" spans="1:12" x14ac:dyDescent="0.35">
      <c r="A307" s="287"/>
      <c r="B307" s="287"/>
      <c r="C307" s="34" t="s">
        <v>1623</v>
      </c>
      <c r="D307" s="32" t="s">
        <v>1674</v>
      </c>
      <c r="E307" s="32" t="s">
        <v>1703</v>
      </c>
      <c r="F307" s="32" t="s">
        <v>1703</v>
      </c>
      <c r="G307" s="33" t="s">
        <v>965</v>
      </c>
      <c r="H307" s="34">
        <v>5</v>
      </c>
      <c r="I307" s="34">
        <v>5</v>
      </c>
      <c r="J307" s="34">
        <v>26</v>
      </c>
      <c r="K307" s="34">
        <v>59</v>
      </c>
      <c r="L307" s="220">
        <f t="shared" si="9"/>
        <v>95</v>
      </c>
    </row>
    <row r="308" spans="1:12" x14ac:dyDescent="0.35">
      <c r="A308" s="287"/>
      <c r="B308" s="287"/>
      <c r="C308" s="34" t="s">
        <v>1623</v>
      </c>
      <c r="D308" s="32" t="s">
        <v>1674</v>
      </c>
      <c r="E308" s="32" t="s">
        <v>1703</v>
      </c>
      <c r="F308" s="32" t="s">
        <v>1705</v>
      </c>
      <c r="G308" s="33" t="s">
        <v>966</v>
      </c>
      <c r="H308" s="34">
        <v>17</v>
      </c>
      <c r="I308" s="34">
        <v>8</v>
      </c>
      <c r="J308" s="34">
        <v>48</v>
      </c>
      <c r="K308" s="34">
        <v>124</v>
      </c>
      <c r="L308" s="220">
        <f t="shared" si="9"/>
        <v>197</v>
      </c>
    </row>
    <row r="309" spans="1:12" x14ac:dyDescent="0.35">
      <c r="A309" s="287"/>
      <c r="B309" s="287"/>
      <c r="C309" s="34" t="s">
        <v>1623</v>
      </c>
      <c r="D309" s="32" t="s">
        <v>1674</v>
      </c>
      <c r="E309" s="32" t="s">
        <v>1703</v>
      </c>
      <c r="F309" s="32" t="s">
        <v>1704</v>
      </c>
      <c r="G309" s="33" t="s">
        <v>967</v>
      </c>
      <c r="H309" s="34">
        <v>15</v>
      </c>
      <c r="I309" s="34">
        <v>15</v>
      </c>
      <c r="J309" s="34">
        <v>25</v>
      </c>
      <c r="K309" s="34">
        <v>80</v>
      </c>
      <c r="L309" s="220">
        <f t="shared" si="9"/>
        <v>135</v>
      </c>
    </row>
    <row r="310" spans="1:12" x14ac:dyDescent="0.35">
      <c r="A310" s="287"/>
      <c r="B310" s="287"/>
      <c r="C310" s="34" t="s">
        <v>1623</v>
      </c>
      <c r="D310" s="32" t="s">
        <v>1674</v>
      </c>
      <c r="E310" s="32" t="s">
        <v>1703</v>
      </c>
      <c r="F310" s="32" t="s">
        <v>1704</v>
      </c>
      <c r="G310" s="33" t="s">
        <v>968</v>
      </c>
      <c r="H310" s="34">
        <v>17</v>
      </c>
      <c r="I310" s="34">
        <v>25</v>
      </c>
      <c r="J310" s="34">
        <v>30</v>
      </c>
      <c r="K310" s="34">
        <v>105</v>
      </c>
      <c r="L310" s="220">
        <f t="shared" si="9"/>
        <v>177</v>
      </c>
    </row>
    <row r="311" spans="1:12" x14ac:dyDescent="0.35">
      <c r="A311" s="52"/>
      <c r="B311" s="52"/>
      <c r="C311" s="52"/>
      <c r="D311" s="52"/>
      <c r="E311" s="52"/>
      <c r="F311" s="52"/>
      <c r="G311" s="52" t="s">
        <v>2</v>
      </c>
      <c r="H311" s="53">
        <f t="shared" ref="H311:K311" si="11">SUM(H285:H310)</f>
        <v>280</v>
      </c>
      <c r="I311" s="53">
        <f t="shared" si="11"/>
        <v>287</v>
      </c>
      <c r="J311" s="53">
        <f t="shared" si="11"/>
        <v>1012</v>
      </c>
      <c r="K311" s="53">
        <f t="shared" si="11"/>
        <v>1403</v>
      </c>
      <c r="L311" s="225">
        <f t="shared" si="9"/>
        <v>2982</v>
      </c>
    </row>
    <row r="312" spans="1:12" x14ac:dyDescent="0.35">
      <c r="A312" s="287">
        <v>8</v>
      </c>
      <c r="B312" s="287" t="s">
        <v>1881</v>
      </c>
      <c r="C312" s="34" t="s">
        <v>1623</v>
      </c>
      <c r="D312" s="32" t="s">
        <v>1674</v>
      </c>
      <c r="E312" s="32" t="s">
        <v>1706</v>
      </c>
      <c r="F312" s="32" t="s">
        <v>1708</v>
      </c>
      <c r="G312" s="33" t="s">
        <v>970</v>
      </c>
      <c r="H312" s="34">
        <v>11</v>
      </c>
      <c r="I312" s="34">
        <v>9</v>
      </c>
      <c r="J312" s="34">
        <v>30</v>
      </c>
      <c r="K312" s="34">
        <v>40</v>
      </c>
      <c r="L312" s="220">
        <f t="shared" si="9"/>
        <v>90</v>
      </c>
    </row>
    <row r="313" spans="1:12" x14ac:dyDescent="0.35">
      <c r="A313" s="287"/>
      <c r="B313" s="287"/>
      <c r="C313" s="34" t="s">
        <v>1623</v>
      </c>
      <c r="D313" s="32" t="s">
        <v>1674</v>
      </c>
      <c r="E313" s="32" t="s">
        <v>1706</v>
      </c>
      <c r="F313" s="32" t="s">
        <v>1707</v>
      </c>
      <c r="G313" s="33" t="s">
        <v>971</v>
      </c>
      <c r="H313" s="34">
        <v>10</v>
      </c>
      <c r="I313" s="34">
        <v>9</v>
      </c>
      <c r="J313" s="34">
        <v>20</v>
      </c>
      <c r="K313" s="34">
        <v>30</v>
      </c>
      <c r="L313" s="220">
        <f t="shared" si="9"/>
        <v>69</v>
      </c>
    </row>
    <row r="314" spans="1:12" x14ac:dyDescent="0.35">
      <c r="A314" s="287"/>
      <c r="B314" s="287"/>
      <c r="C314" s="34" t="s">
        <v>1623</v>
      </c>
      <c r="D314" s="32" t="s">
        <v>1674</v>
      </c>
      <c r="E314" s="32" t="s">
        <v>1706</v>
      </c>
      <c r="F314" s="32" t="s">
        <v>1707</v>
      </c>
      <c r="G314" s="33" t="s">
        <v>972</v>
      </c>
      <c r="H314" s="34">
        <v>18</v>
      </c>
      <c r="I314" s="34">
        <v>22</v>
      </c>
      <c r="J314" s="34">
        <v>32</v>
      </c>
      <c r="K314" s="34">
        <v>39</v>
      </c>
      <c r="L314" s="220">
        <f t="shared" si="9"/>
        <v>111</v>
      </c>
    </row>
    <row r="315" spans="1:12" x14ac:dyDescent="0.35">
      <c r="A315" s="287"/>
      <c r="B315" s="287"/>
      <c r="C315" s="34" t="s">
        <v>1623</v>
      </c>
      <c r="D315" s="32" t="s">
        <v>1674</v>
      </c>
      <c r="E315" s="32" t="s">
        <v>1706</v>
      </c>
      <c r="F315" s="32" t="s">
        <v>1707</v>
      </c>
      <c r="G315" s="33" t="s">
        <v>973</v>
      </c>
      <c r="H315" s="34">
        <v>9</v>
      </c>
      <c r="I315" s="34">
        <v>7</v>
      </c>
      <c r="J315" s="34">
        <v>10</v>
      </c>
      <c r="K315" s="34">
        <v>13</v>
      </c>
      <c r="L315" s="220">
        <f t="shared" si="9"/>
        <v>39</v>
      </c>
    </row>
    <row r="316" spans="1:12" x14ac:dyDescent="0.35">
      <c r="A316" s="287"/>
      <c r="B316" s="287"/>
      <c r="C316" s="34" t="s">
        <v>1623</v>
      </c>
      <c r="D316" s="32" t="s">
        <v>1674</v>
      </c>
      <c r="E316" s="32" t="s">
        <v>1706</v>
      </c>
      <c r="F316" s="32" t="s">
        <v>1707</v>
      </c>
      <c r="G316" s="33" t="s">
        <v>974</v>
      </c>
      <c r="H316" s="34">
        <v>10</v>
      </c>
      <c r="I316" s="34">
        <v>7</v>
      </c>
      <c r="J316" s="34">
        <v>28</v>
      </c>
      <c r="K316" s="34">
        <v>30</v>
      </c>
      <c r="L316" s="220">
        <f t="shared" si="9"/>
        <v>75</v>
      </c>
    </row>
    <row r="317" spans="1:12" x14ac:dyDescent="0.35">
      <c r="A317" s="287"/>
      <c r="B317" s="287"/>
      <c r="C317" s="34" t="s">
        <v>1623</v>
      </c>
      <c r="D317" s="32" t="s">
        <v>1674</v>
      </c>
      <c r="E317" s="32" t="s">
        <v>1706</v>
      </c>
      <c r="F317" s="32" t="s">
        <v>1707</v>
      </c>
      <c r="G317" s="33" t="s">
        <v>975</v>
      </c>
      <c r="H317" s="34">
        <v>15</v>
      </c>
      <c r="I317" s="34">
        <v>18</v>
      </c>
      <c r="J317" s="34">
        <v>39</v>
      </c>
      <c r="K317" s="34">
        <v>22</v>
      </c>
      <c r="L317" s="220">
        <f t="shared" si="9"/>
        <v>94</v>
      </c>
    </row>
    <row r="318" spans="1:12" x14ac:dyDescent="0.35">
      <c r="A318" s="287"/>
      <c r="B318" s="287"/>
      <c r="C318" s="34" t="s">
        <v>1623</v>
      </c>
      <c r="D318" s="32" t="s">
        <v>1674</v>
      </c>
      <c r="E318" s="32" t="s">
        <v>1706</v>
      </c>
      <c r="F318" s="32" t="s">
        <v>1706</v>
      </c>
      <c r="G318" s="33" t="s">
        <v>976</v>
      </c>
      <c r="H318" s="34">
        <v>23</v>
      </c>
      <c r="I318" s="34">
        <v>32</v>
      </c>
      <c r="J318" s="34">
        <v>68</v>
      </c>
      <c r="K318" s="34">
        <v>89</v>
      </c>
      <c r="L318" s="220">
        <f t="shared" si="9"/>
        <v>212</v>
      </c>
    </row>
    <row r="319" spans="1:12" x14ac:dyDescent="0.35">
      <c r="A319" s="287"/>
      <c r="B319" s="287"/>
      <c r="C319" s="34" t="s">
        <v>1623</v>
      </c>
      <c r="D319" s="32" t="s">
        <v>1674</v>
      </c>
      <c r="E319" s="32" t="s">
        <v>1706</v>
      </c>
      <c r="F319" s="32" t="s">
        <v>1707</v>
      </c>
      <c r="G319" s="33" t="s">
        <v>977</v>
      </c>
      <c r="H319" s="34">
        <v>6</v>
      </c>
      <c r="I319" s="34">
        <v>6</v>
      </c>
      <c r="J319" s="34">
        <v>26</v>
      </c>
      <c r="K319" s="34">
        <v>34</v>
      </c>
      <c r="L319" s="220">
        <f t="shared" si="9"/>
        <v>72</v>
      </c>
    </row>
    <row r="320" spans="1:12" x14ac:dyDescent="0.35">
      <c r="A320" s="287"/>
      <c r="B320" s="287"/>
      <c r="C320" s="34" t="s">
        <v>1623</v>
      </c>
      <c r="D320" s="32" t="s">
        <v>1674</v>
      </c>
      <c r="E320" s="32" t="s">
        <v>1706</v>
      </c>
      <c r="F320" s="32" t="s">
        <v>1707</v>
      </c>
      <c r="G320" s="33" t="s">
        <v>978</v>
      </c>
      <c r="H320" s="34">
        <v>27</v>
      </c>
      <c r="I320" s="34">
        <v>25</v>
      </c>
      <c r="J320" s="34">
        <v>45</v>
      </c>
      <c r="K320" s="34">
        <v>23</v>
      </c>
      <c r="L320" s="220">
        <f t="shared" si="9"/>
        <v>120</v>
      </c>
    </row>
    <row r="321" spans="1:12" x14ac:dyDescent="0.35">
      <c r="A321" s="287"/>
      <c r="B321" s="287"/>
      <c r="C321" s="34" t="s">
        <v>1623</v>
      </c>
      <c r="D321" s="32" t="s">
        <v>1674</v>
      </c>
      <c r="E321" s="32" t="s">
        <v>1706</v>
      </c>
      <c r="F321" s="32"/>
      <c r="G321" s="33" t="s">
        <v>979</v>
      </c>
      <c r="H321" s="34">
        <v>25</v>
      </c>
      <c r="I321" s="34">
        <v>30</v>
      </c>
      <c r="J321" s="34">
        <v>32</v>
      </c>
      <c r="K321" s="34">
        <v>38</v>
      </c>
      <c r="L321" s="220">
        <f t="shared" si="9"/>
        <v>125</v>
      </c>
    </row>
    <row r="322" spans="1:12" x14ac:dyDescent="0.35">
      <c r="A322" s="287"/>
      <c r="B322" s="287"/>
      <c r="C322" s="34" t="s">
        <v>1623</v>
      </c>
      <c r="D322" s="32" t="s">
        <v>1674</v>
      </c>
      <c r="E322" s="32" t="s">
        <v>1706</v>
      </c>
      <c r="F322" s="32" t="s">
        <v>1706</v>
      </c>
      <c r="G322" s="33" t="s">
        <v>980</v>
      </c>
      <c r="H322" s="34">
        <v>2</v>
      </c>
      <c r="I322" s="34">
        <v>5</v>
      </c>
      <c r="J322" s="34">
        <v>5</v>
      </c>
      <c r="K322" s="34">
        <v>20</v>
      </c>
      <c r="L322" s="220">
        <f t="shared" si="9"/>
        <v>32</v>
      </c>
    </row>
    <row r="323" spans="1:12" x14ac:dyDescent="0.35">
      <c r="A323" s="287"/>
      <c r="B323" s="287"/>
      <c r="C323" s="34" t="s">
        <v>1623</v>
      </c>
      <c r="D323" s="32" t="s">
        <v>1674</v>
      </c>
      <c r="E323" s="32" t="s">
        <v>1706</v>
      </c>
      <c r="F323" s="32" t="s">
        <v>1706</v>
      </c>
      <c r="G323" s="33" t="s">
        <v>981</v>
      </c>
      <c r="H323" s="34">
        <v>14</v>
      </c>
      <c r="I323" s="34">
        <v>20</v>
      </c>
      <c r="J323" s="34">
        <v>40</v>
      </c>
      <c r="K323" s="34">
        <v>32</v>
      </c>
      <c r="L323" s="220">
        <f t="shared" si="9"/>
        <v>106</v>
      </c>
    </row>
    <row r="324" spans="1:12" x14ac:dyDescent="0.35">
      <c r="A324" s="287"/>
      <c r="B324" s="287"/>
      <c r="C324" s="34" t="s">
        <v>1623</v>
      </c>
      <c r="D324" s="32" t="s">
        <v>1674</v>
      </c>
      <c r="E324" s="32" t="s">
        <v>1706</v>
      </c>
      <c r="F324" s="32" t="s">
        <v>1708</v>
      </c>
      <c r="G324" s="33" t="s">
        <v>982</v>
      </c>
      <c r="H324" s="34">
        <v>29</v>
      </c>
      <c r="I324" s="34">
        <v>20</v>
      </c>
      <c r="J324" s="34">
        <v>46</v>
      </c>
      <c r="K324" s="34">
        <v>26</v>
      </c>
      <c r="L324" s="220">
        <f t="shared" si="9"/>
        <v>121</v>
      </c>
    </row>
    <row r="325" spans="1:12" x14ac:dyDescent="0.35">
      <c r="A325" s="287"/>
      <c r="B325" s="287"/>
      <c r="C325" s="34" t="s">
        <v>1623</v>
      </c>
      <c r="D325" s="32" t="s">
        <v>1674</v>
      </c>
      <c r="E325" s="32" t="s">
        <v>1706</v>
      </c>
      <c r="F325" s="32" t="s">
        <v>1708</v>
      </c>
      <c r="G325" s="33" t="s">
        <v>983</v>
      </c>
      <c r="H325" s="34">
        <v>7</v>
      </c>
      <c r="I325" s="34">
        <v>18</v>
      </c>
      <c r="J325" s="34">
        <v>20</v>
      </c>
      <c r="K325" s="34">
        <v>17</v>
      </c>
      <c r="L325" s="220">
        <f t="shared" si="9"/>
        <v>62</v>
      </c>
    </row>
    <row r="326" spans="1:12" x14ac:dyDescent="0.35">
      <c r="A326" s="287"/>
      <c r="B326" s="287"/>
      <c r="C326" s="34" t="s">
        <v>1623</v>
      </c>
      <c r="D326" s="32" t="s">
        <v>1674</v>
      </c>
      <c r="E326" s="32" t="s">
        <v>1706</v>
      </c>
      <c r="F326" s="32" t="s">
        <v>1706</v>
      </c>
      <c r="G326" s="33" t="s">
        <v>984</v>
      </c>
      <c r="H326" s="34">
        <v>21</v>
      </c>
      <c r="I326" s="34">
        <v>28</v>
      </c>
      <c r="J326" s="34">
        <v>31</v>
      </c>
      <c r="K326" s="34">
        <v>27</v>
      </c>
      <c r="L326" s="220">
        <f t="shared" ref="L326:L389" si="12">H326+I326+J326+K326</f>
        <v>107</v>
      </c>
    </row>
    <row r="327" spans="1:12" x14ac:dyDescent="0.35">
      <c r="A327" s="287"/>
      <c r="B327" s="287"/>
      <c r="C327" s="34" t="s">
        <v>1623</v>
      </c>
      <c r="D327" s="32" t="s">
        <v>1674</v>
      </c>
      <c r="E327" s="32" t="s">
        <v>1706</v>
      </c>
      <c r="F327" s="32" t="s">
        <v>1706</v>
      </c>
      <c r="G327" s="33" t="s">
        <v>826</v>
      </c>
      <c r="H327" s="34">
        <v>10</v>
      </c>
      <c r="I327" s="34">
        <v>12</v>
      </c>
      <c r="J327" s="34">
        <v>42</v>
      </c>
      <c r="K327" s="34">
        <v>38</v>
      </c>
      <c r="L327" s="220">
        <f t="shared" si="12"/>
        <v>102</v>
      </c>
    </row>
    <row r="328" spans="1:12" x14ac:dyDescent="0.35">
      <c r="A328" s="287"/>
      <c r="B328" s="287"/>
      <c r="C328" s="34" t="s">
        <v>1623</v>
      </c>
      <c r="D328" s="32" t="s">
        <v>1674</v>
      </c>
      <c r="E328" s="32" t="s">
        <v>1706</v>
      </c>
      <c r="F328" s="32" t="s">
        <v>1706</v>
      </c>
      <c r="G328" s="33" t="s">
        <v>985</v>
      </c>
      <c r="H328" s="34">
        <v>9</v>
      </c>
      <c r="I328" s="34">
        <v>12</v>
      </c>
      <c r="J328" s="34">
        <v>58</v>
      </c>
      <c r="K328" s="34">
        <v>47</v>
      </c>
      <c r="L328" s="220">
        <f t="shared" si="12"/>
        <v>126</v>
      </c>
    </row>
    <row r="329" spans="1:12" x14ac:dyDescent="0.35">
      <c r="A329" s="287"/>
      <c r="B329" s="287"/>
      <c r="C329" s="34" t="s">
        <v>1623</v>
      </c>
      <c r="D329" s="32" t="s">
        <v>1674</v>
      </c>
      <c r="E329" s="32" t="s">
        <v>1706</v>
      </c>
      <c r="F329" s="32" t="s">
        <v>1706</v>
      </c>
      <c r="G329" s="33" t="s">
        <v>986</v>
      </c>
      <c r="H329" s="34">
        <v>22</v>
      </c>
      <c r="I329" s="34">
        <v>15</v>
      </c>
      <c r="J329" s="34">
        <v>39</v>
      </c>
      <c r="K329" s="34">
        <v>48</v>
      </c>
      <c r="L329" s="220">
        <f t="shared" si="12"/>
        <v>124</v>
      </c>
    </row>
    <row r="330" spans="1:12" x14ac:dyDescent="0.35">
      <c r="A330" s="287"/>
      <c r="B330" s="287"/>
      <c r="C330" s="34" t="s">
        <v>1623</v>
      </c>
      <c r="D330" s="32" t="s">
        <v>1674</v>
      </c>
      <c r="E330" s="32" t="s">
        <v>1706</v>
      </c>
      <c r="F330" s="32" t="s">
        <v>1708</v>
      </c>
      <c r="G330" s="33" t="s">
        <v>987</v>
      </c>
      <c r="H330" s="34">
        <v>14</v>
      </c>
      <c r="I330" s="34">
        <v>21</v>
      </c>
      <c r="J330" s="34">
        <v>29</v>
      </c>
      <c r="K330" s="34">
        <v>31</v>
      </c>
      <c r="L330" s="220">
        <f t="shared" si="12"/>
        <v>95</v>
      </c>
    </row>
    <row r="331" spans="1:12" x14ac:dyDescent="0.35">
      <c r="A331" s="287"/>
      <c r="B331" s="287"/>
      <c r="C331" s="34" t="s">
        <v>1623</v>
      </c>
      <c r="D331" s="32" t="s">
        <v>1674</v>
      </c>
      <c r="E331" s="32" t="s">
        <v>1706</v>
      </c>
      <c r="F331" s="32" t="s">
        <v>1706</v>
      </c>
      <c r="G331" s="33" t="s">
        <v>430</v>
      </c>
      <c r="H331" s="34">
        <v>24</v>
      </c>
      <c r="I331" s="34">
        <v>19</v>
      </c>
      <c r="J331" s="34">
        <v>46</v>
      </c>
      <c r="K331" s="34">
        <v>29</v>
      </c>
      <c r="L331" s="220">
        <f t="shared" si="12"/>
        <v>118</v>
      </c>
    </row>
    <row r="332" spans="1:12" x14ac:dyDescent="0.35">
      <c r="A332" s="287"/>
      <c r="B332" s="287"/>
      <c r="C332" s="34" t="s">
        <v>1623</v>
      </c>
      <c r="D332" s="32" t="s">
        <v>1674</v>
      </c>
      <c r="E332" s="32" t="s">
        <v>1706</v>
      </c>
      <c r="F332" s="32" t="s">
        <v>1706</v>
      </c>
      <c r="G332" s="33" t="s">
        <v>988</v>
      </c>
      <c r="H332" s="34">
        <v>18</v>
      </c>
      <c r="I332" s="34">
        <v>21</v>
      </c>
      <c r="J332" s="34">
        <v>20</v>
      </c>
      <c r="K332" s="34">
        <v>30</v>
      </c>
      <c r="L332" s="220">
        <f t="shared" si="12"/>
        <v>89</v>
      </c>
    </row>
    <row r="333" spans="1:12" x14ac:dyDescent="0.35">
      <c r="A333" s="287"/>
      <c r="B333" s="287"/>
      <c r="C333" s="34" t="s">
        <v>1623</v>
      </c>
      <c r="D333" s="32" t="s">
        <v>1674</v>
      </c>
      <c r="E333" s="32" t="s">
        <v>1706</v>
      </c>
      <c r="F333" s="32" t="s">
        <v>1706</v>
      </c>
      <c r="G333" s="33" t="s">
        <v>969</v>
      </c>
      <c r="H333" s="34">
        <v>20</v>
      </c>
      <c r="I333" s="34">
        <v>30</v>
      </c>
      <c r="J333" s="34">
        <v>33</v>
      </c>
      <c r="K333" s="34">
        <v>39</v>
      </c>
      <c r="L333" s="220">
        <f t="shared" si="12"/>
        <v>122</v>
      </c>
    </row>
    <row r="334" spans="1:12" x14ac:dyDescent="0.35">
      <c r="A334" s="287"/>
      <c r="B334" s="287"/>
      <c r="C334" s="34" t="s">
        <v>1623</v>
      </c>
      <c r="D334" s="32" t="s">
        <v>1674</v>
      </c>
      <c r="E334" s="32" t="s">
        <v>1706</v>
      </c>
      <c r="F334" s="32" t="s">
        <v>1707</v>
      </c>
      <c r="G334" s="33" t="s">
        <v>989</v>
      </c>
      <c r="H334" s="34">
        <v>19</v>
      </c>
      <c r="I334" s="34">
        <v>18</v>
      </c>
      <c r="J334" s="34">
        <v>17</v>
      </c>
      <c r="K334" s="34">
        <v>18</v>
      </c>
      <c r="L334" s="220">
        <f t="shared" si="12"/>
        <v>72</v>
      </c>
    </row>
    <row r="335" spans="1:12" x14ac:dyDescent="0.35">
      <c r="A335" s="287"/>
      <c r="B335" s="287"/>
      <c r="C335" s="34" t="s">
        <v>1623</v>
      </c>
      <c r="D335" s="32" t="s">
        <v>1674</v>
      </c>
      <c r="E335" s="32" t="s">
        <v>1706</v>
      </c>
      <c r="F335" s="32" t="s">
        <v>1707</v>
      </c>
      <c r="G335" s="33" t="s">
        <v>990</v>
      </c>
      <c r="H335" s="34">
        <v>26</v>
      </c>
      <c r="I335" s="34">
        <v>12</v>
      </c>
      <c r="J335" s="34">
        <v>38</v>
      </c>
      <c r="K335" s="34">
        <v>42</v>
      </c>
      <c r="L335" s="220">
        <f t="shared" si="12"/>
        <v>118</v>
      </c>
    </row>
    <row r="336" spans="1:12" x14ac:dyDescent="0.35">
      <c r="A336" s="287"/>
      <c r="B336" s="287"/>
      <c r="C336" s="34" t="s">
        <v>1623</v>
      </c>
      <c r="D336" s="32" t="s">
        <v>1674</v>
      </c>
      <c r="E336" s="32" t="s">
        <v>1706</v>
      </c>
      <c r="F336" s="32" t="s">
        <v>1707</v>
      </c>
      <c r="G336" s="33" t="s">
        <v>991</v>
      </c>
      <c r="H336" s="34">
        <v>15</v>
      </c>
      <c r="I336" s="34">
        <v>13</v>
      </c>
      <c r="J336" s="34">
        <v>32</v>
      </c>
      <c r="K336" s="34">
        <v>34</v>
      </c>
      <c r="L336" s="220">
        <f t="shared" si="12"/>
        <v>94</v>
      </c>
    </row>
    <row r="337" spans="1:12" x14ac:dyDescent="0.35">
      <c r="A337" s="287"/>
      <c r="B337" s="287"/>
      <c r="C337" s="34" t="s">
        <v>1623</v>
      </c>
      <c r="D337" s="32" t="s">
        <v>1674</v>
      </c>
      <c r="E337" s="32" t="s">
        <v>1706</v>
      </c>
      <c r="F337" s="32" t="s">
        <v>1707</v>
      </c>
      <c r="G337" s="33" t="s">
        <v>992</v>
      </c>
      <c r="H337" s="34">
        <v>17</v>
      </c>
      <c r="I337" s="34">
        <v>13</v>
      </c>
      <c r="J337" s="34">
        <v>33</v>
      </c>
      <c r="K337" s="34">
        <v>27</v>
      </c>
      <c r="L337" s="220">
        <f t="shared" si="12"/>
        <v>90</v>
      </c>
    </row>
    <row r="338" spans="1:12" x14ac:dyDescent="0.35">
      <c r="A338" s="287"/>
      <c r="B338" s="287"/>
      <c r="C338" s="34" t="s">
        <v>1623</v>
      </c>
      <c r="D338" s="32" t="s">
        <v>1674</v>
      </c>
      <c r="E338" s="32" t="s">
        <v>1706</v>
      </c>
      <c r="F338" s="32" t="s">
        <v>1707</v>
      </c>
      <c r="G338" s="33" t="s">
        <v>973</v>
      </c>
      <c r="H338" s="34">
        <v>9</v>
      </c>
      <c r="I338" s="34">
        <v>7</v>
      </c>
      <c r="J338" s="34">
        <v>10</v>
      </c>
      <c r="K338" s="34">
        <v>13</v>
      </c>
      <c r="L338" s="220">
        <f t="shared" si="12"/>
        <v>39</v>
      </c>
    </row>
    <row r="339" spans="1:12" x14ac:dyDescent="0.35">
      <c r="A339" s="52"/>
      <c r="B339" s="52"/>
      <c r="C339" s="52"/>
      <c r="D339" s="52"/>
      <c r="E339" s="52"/>
      <c r="F339" s="52"/>
      <c r="G339" s="52" t="s">
        <v>2</v>
      </c>
      <c r="H339" s="53">
        <f t="shared" ref="H339:K339" si="13">SUM(H312:H338)</f>
        <v>430</v>
      </c>
      <c r="I339" s="53">
        <f t="shared" si="13"/>
        <v>449</v>
      </c>
      <c r="J339" s="53">
        <f t="shared" si="13"/>
        <v>869</v>
      </c>
      <c r="K339" s="53">
        <f t="shared" si="13"/>
        <v>876</v>
      </c>
      <c r="L339" s="225">
        <f t="shared" si="12"/>
        <v>2624</v>
      </c>
    </row>
    <row r="340" spans="1:12" x14ac:dyDescent="0.35">
      <c r="A340" s="287">
        <v>9</v>
      </c>
      <c r="B340" s="287" t="s">
        <v>1882</v>
      </c>
      <c r="C340" s="34" t="s">
        <v>1623</v>
      </c>
      <c r="D340" s="32" t="s">
        <v>1674</v>
      </c>
      <c r="E340" s="32" t="s">
        <v>1709</v>
      </c>
      <c r="F340" s="32" t="s">
        <v>1709</v>
      </c>
      <c r="G340" s="33" t="s">
        <v>993</v>
      </c>
      <c r="H340" s="34">
        <v>5</v>
      </c>
      <c r="I340" s="34">
        <v>4</v>
      </c>
      <c r="J340" s="34">
        <v>11</v>
      </c>
      <c r="K340" s="34">
        <v>11</v>
      </c>
      <c r="L340" s="220">
        <f t="shared" si="12"/>
        <v>31</v>
      </c>
    </row>
    <row r="341" spans="1:12" x14ac:dyDescent="0.35">
      <c r="A341" s="287"/>
      <c r="B341" s="287"/>
      <c r="C341" s="34" t="s">
        <v>1623</v>
      </c>
      <c r="D341" s="32" t="s">
        <v>1674</v>
      </c>
      <c r="E341" s="32" t="s">
        <v>1709</v>
      </c>
      <c r="F341" s="32" t="s">
        <v>1709</v>
      </c>
      <c r="G341" s="33" t="s">
        <v>994</v>
      </c>
      <c r="H341" s="34">
        <v>11</v>
      </c>
      <c r="I341" s="34">
        <v>12</v>
      </c>
      <c r="J341" s="34">
        <v>26</v>
      </c>
      <c r="K341" s="34">
        <v>26</v>
      </c>
      <c r="L341" s="220">
        <f t="shared" si="12"/>
        <v>75</v>
      </c>
    </row>
    <row r="342" spans="1:12" x14ac:dyDescent="0.35">
      <c r="A342" s="287"/>
      <c r="B342" s="287"/>
      <c r="C342" s="34" t="s">
        <v>1623</v>
      </c>
      <c r="D342" s="32" t="s">
        <v>1674</v>
      </c>
      <c r="E342" s="32" t="s">
        <v>1709</v>
      </c>
      <c r="F342" s="32" t="s">
        <v>1709</v>
      </c>
      <c r="G342" s="33" t="s">
        <v>995</v>
      </c>
      <c r="H342" s="34">
        <v>4</v>
      </c>
      <c r="I342" s="34">
        <v>7</v>
      </c>
      <c r="J342" s="34">
        <v>14</v>
      </c>
      <c r="K342" s="34">
        <v>16</v>
      </c>
      <c r="L342" s="220">
        <f t="shared" si="12"/>
        <v>41</v>
      </c>
    </row>
    <row r="343" spans="1:12" x14ac:dyDescent="0.35">
      <c r="A343" s="287"/>
      <c r="B343" s="287"/>
      <c r="C343" s="34" t="s">
        <v>1623</v>
      </c>
      <c r="D343" s="32" t="s">
        <v>1674</v>
      </c>
      <c r="E343" s="32" t="s">
        <v>1709</v>
      </c>
      <c r="F343" s="32" t="s">
        <v>1709</v>
      </c>
      <c r="G343" s="33" t="s">
        <v>996</v>
      </c>
      <c r="H343" s="34">
        <v>3</v>
      </c>
      <c r="I343" s="34">
        <v>5</v>
      </c>
      <c r="J343" s="34">
        <v>11</v>
      </c>
      <c r="K343" s="34">
        <v>13</v>
      </c>
      <c r="L343" s="220">
        <f t="shared" si="12"/>
        <v>32</v>
      </c>
    </row>
    <row r="344" spans="1:12" x14ac:dyDescent="0.35">
      <c r="A344" s="287"/>
      <c r="B344" s="287"/>
      <c r="C344" s="34" t="s">
        <v>1623</v>
      </c>
      <c r="D344" s="32" t="s">
        <v>1674</v>
      </c>
      <c r="E344" s="32" t="s">
        <v>1709</v>
      </c>
      <c r="F344" s="32" t="s">
        <v>1709</v>
      </c>
      <c r="G344" s="33" t="s">
        <v>997</v>
      </c>
      <c r="H344" s="34">
        <v>12</v>
      </c>
      <c r="I344" s="34">
        <v>14</v>
      </c>
      <c r="J344" s="34">
        <v>23</v>
      </c>
      <c r="K344" s="34">
        <v>54</v>
      </c>
      <c r="L344" s="220">
        <f t="shared" si="12"/>
        <v>103</v>
      </c>
    </row>
    <row r="345" spans="1:12" x14ac:dyDescent="0.35">
      <c r="A345" s="287"/>
      <c r="B345" s="287"/>
      <c r="C345" s="34" t="s">
        <v>1623</v>
      </c>
      <c r="D345" s="32" t="s">
        <v>1674</v>
      </c>
      <c r="E345" s="32" t="s">
        <v>1709</v>
      </c>
      <c r="F345" s="32" t="s">
        <v>1709</v>
      </c>
      <c r="G345" s="33" t="s">
        <v>998</v>
      </c>
      <c r="H345" s="34">
        <v>17</v>
      </c>
      <c r="I345" s="34">
        <v>21</v>
      </c>
      <c r="J345" s="34">
        <v>42</v>
      </c>
      <c r="K345" s="34">
        <v>47</v>
      </c>
      <c r="L345" s="220">
        <f t="shared" si="12"/>
        <v>127</v>
      </c>
    </row>
    <row r="346" spans="1:12" x14ac:dyDescent="0.35">
      <c r="A346" s="287"/>
      <c r="B346" s="287"/>
      <c r="C346" s="34" t="s">
        <v>1623</v>
      </c>
      <c r="D346" s="32" t="s">
        <v>1674</v>
      </c>
      <c r="E346" s="32" t="s">
        <v>1709</v>
      </c>
      <c r="F346" s="32" t="s">
        <v>1709</v>
      </c>
      <c r="G346" s="33" t="s">
        <v>999</v>
      </c>
      <c r="H346" s="34">
        <v>15</v>
      </c>
      <c r="I346" s="34">
        <v>18</v>
      </c>
      <c r="J346" s="34">
        <v>19</v>
      </c>
      <c r="K346" s="34">
        <v>29</v>
      </c>
      <c r="L346" s="220">
        <f t="shared" si="12"/>
        <v>81</v>
      </c>
    </row>
    <row r="347" spans="1:12" x14ac:dyDescent="0.35">
      <c r="A347" s="287"/>
      <c r="B347" s="287"/>
      <c r="C347" s="34" t="s">
        <v>1623</v>
      </c>
      <c r="D347" s="32" t="s">
        <v>1674</v>
      </c>
      <c r="E347" s="32" t="s">
        <v>1709</v>
      </c>
      <c r="F347" s="32" t="s">
        <v>1709</v>
      </c>
      <c r="G347" s="33" t="s">
        <v>1000</v>
      </c>
      <c r="H347" s="34">
        <v>7</v>
      </c>
      <c r="I347" s="34">
        <v>3</v>
      </c>
      <c r="J347" s="34">
        <v>9</v>
      </c>
      <c r="K347" s="34">
        <v>11</v>
      </c>
      <c r="L347" s="220">
        <f t="shared" si="12"/>
        <v>30</v>
      </c>
    </row>
    <row r="348" spans="1:12" x14ac:dyDescent="0.35">
      <c r="A348" s="287"/>
      <c r="B348" s="287"/>
      <c r="C348" s="34" t="s">
        <v>1623</v>
      </c>
      <c r="D348" s="32" t="s">
        <v>1674</v>
      </c>
      <c r="E348" s="32" t="s">
        <v>1709</v>
      </c>
      <c r="F348" s="32" t="s">
        <v>1709</v>
      </c>
      <c r="G348" s="33" t="s">
        <v>1001</v>
      </c>
      <c r="H348" s="34">
        <v>20</v>
      </c>
      <c r="I348" s="34">
        <v>30</v>
      </c>
      <c r="J348" s="34">
        <v>43</v>
      </c>
      <c r="K348" s="34">
        <v>57</v>
      </c>
      <c r="L348" s="220">
        <f t="shared" si="12"/>
        <v>150</v>
      </c>
    </row>
    <row r="349" spans="1:12" x14ac:dyDescent="0.35">
      <c r="A349" s="287"/>
      <c r="B349" s="287"/>
      <c r="C349" s="34" t="s">
        <v>1623</v>
      </c>
      <c r="D349" s="32" t="s">
        <v>1674</v>
      </c>
      <c r="E349" s="32" t="s">
        <v>1709</v>
      </c>
      <c r="F349" s="32" t="s">
        <v>1709</v>
      </c>
      <c r="G349" s="33" t="s">
        <v>1002</v>
      </c>
      <c r="H349" s="34">
        <v>14</v>
      </c>
      <c r="I349" s="34">
        <v>13</v>
      </c>
      <c r="J349" s="34">
        <v>23</v>
      </c>
      <c r="K349" s="34">
        <v>22</v>
      </c>
      <c r="L349" s="220">
        <f t="shared" si="12"/>
        <v>72</v>
      </c>
    </row>
    <row r="350" spans="1:12" x14ac:dyDescent="0.35">
      <c r="A350" s="287"/>
      <c r="B350" s="287"/>
      <c r="C350" s="34" t="s">
        <v>1623</v>
      </c>
      <c r="D350" s="32" t="s">
        <v>1674</v>
      </c>
      <c r="E350" s="32" t="s">
        <v>1709</v>
      </c>
      <c r="F350" s="32" t="s">
        <v>1709</v>
      </c>
      <c r="G350" s="33" t="s">
        <v>1003</v>
      </c>
      <c r="H350" s="34">
        <v>7</v>
      </c>
      <c r="I350" s="34">
        <v>5</v>
      </c>
      <c r="J350" s="34">
        <v>16</v>
      </c>
      <c r="K350" s="34">
        <v>11</v>
      </c>
      <c r="L350" s="220">
        <f t="shared" si="12"/>
        <v>39</v>
      </c>
    </row>
    <row r="351" spans="1:12" x14ac:dyDescent="0.35">
      <c r="A351" s="287"/>
      <c r="B351" s="287"/>
      <c r="C351" s="34" t="s">
        <v>1623</v>
      </c>
      <c r="D351" s="32" t="s">
        <v>1674</v>
      </c>
      <c r="E351" s="32" t="s">
        <v>1709</v>
      </c>
      <c r="F351" s="32" t="s">
        <v>1709</v>
      </c>
      <c r="G351" s="33" t="s">
        <v>1004</v>
      </c>
      <c r="H351" s="34">
        <v>14</v>
      </c>
      <c r="I351" s="34">
        <v>24</v>
      </c>
      <c r="J351" s="34">
        <v>21</v>
      </c>
      <c r="K351" s="34">
        <v>31</v>
      </c>
      <c r="L351" s="220">
        <f t="shared" si="12"/>
        <v>90</v>
      </c>
    </row>
    <row r="352" spans="1:12" x14ac:dyDescent="0.35">
      <c r="A352" s="287"/>
      <c r="B352" s="287"/>
      <c r="C352" s="34" t="s">
        <v>1623</v>
      </c>
      <c r="D352" s="32" t="s">
        <v>1674</v>
      </c>
      <c r="E352" s="32" t="s">
        <v>1709</v>
      </c>
      <c r="F352" s="32" t="s">
        <v>1709</v>
      </c>
      <c r="G352" s="33" t="s">
        <v>1005</v>
      </c>
      <c r="H352" s="34">
        <v>17</v>
      </c>
      <c r="I352" s="34">
        <v>13</v>
      </c>
      <c r="J352" s="34">
        <v>31</v>
      </c>
      <c r="K352" s="34">
        <v>21</v>
      </c>
      <c r="L352" s="220">
        <f t="shared" si="12"/>
        <v>82</v>
      </c>
    </row>
    <row r="353" spans="1:12" x14ac:dyDescent="0.35">
      <c r="A353" s="287"/>
      <c r="B353" s="287"/>
      <c r="C353" s="34" t="s">
        <v>1623</v>
      </c>
      <c r="D353" s="32" t="s">
        <v>1674</v>
      </c>
      <c r="E353" s="32" t="s">
        <v>1709</v>
      </c>
      <c r="F353" s="32" t="s">
        <v>1709</v>
      </c>
      <c r="G353" s="33" t="s">
        <v>1006</v>
      </c>
      <c r="H353" s="34">
        <v>3</v>
      </c>
      <c r="I353" s="34">
        <v>5</v>
      </c>
      <c r="J353" s="34">
        <v>14</v>
      </c>
      <c r="K353" s="34">
        <v>15</v>
      </c>
      <c r="L353" s="220">
        <f t="shared" si="12"/>
        <v>37</v>
      </c>
    </row>
    <row r="354" spans="1:12" x14ac:dyDescent="0.35">
      <c r="A354" s="287"/>
      <c r="B354" s="287"/>
      <c r="C354" s="34" t="s">
        <v>1623</v>
      </c>
      <c r="D354" s="32" t="s">
        <v>1674</v>
      </c>
      <c r="E354" s="32" t="s">
        <v>1709</v>
      </c>
      <c r="F354" s="32" t="s">
        <v>1710</v>
      </c>
      <c r="G354" s="33" t="s">
        <v>1007</v>
      </c>
      <c r="H354" s="34">
        <v>12</v>
      </c>
      <c r="I354" s="34">
        <v>11</v>
      </c>
      <c r="J354" s="34">
        <v>11</v>
      </c>
      <c r="K354" s="34">
        <v>20</v>
      </c>
      <c r="L354" s="220">
        <f t="shared" si="12"/>
        <v>54</v>
      </c>
    </row>
    <row r="355" spans="1:12" x14ac:dyDescent="0.35">
      <c r="A355" s="287"/>
      <c r="B355" s="287"/>
      <c r="C355" s="34" t="s">
        <v>1623</v>
      </c>
      <c r="D355" s="32" t="s">
        <v>1674</v>
      </c>
      <c r="E355" s="32" t="s">
        <v>1709</v>
      </c>
      <c r="F355" s="32" t="s">
        <v>1710</v>
      </c>
      <c r="G355" s="33" t="s">
        <v>1008</v>
      </c>
      <c r="H355" s="34">
        <v>14</v>
      </c>
      <c r="I355" s="34">
        <v>24</v>
      </c>
      <c r="J355" s="34">
        <v>27</v>
      </c>
      <c r="K355" s="34">
        <v>40</v>
      </c>
      <c r="L355" s="220">
        <f t="shared" si="12"/>
        <v>105</v>
      </c>
    </row>
    <row r="356" spans="1:12" x14ac:dyDescent="0.35">
      <c r="A356" s="287"/>
      <c r="B356" s="287"/>
      <c r="C356" s="34" t="s">
        <v>1623</v>
      </c>
      <c r="D356" s="32" t="s">
        <v>1674</v>
      </c>
      <c r="E356" s="32" t="s">
        <v>1709</v>
      </c>
      <c r="F356" s="32" t="s">
        <v>1710</v>
      </c>
      <c r="G356" s="33" t="s">
        <v>931</v>
      </c>
      <c r="H356" s="34">
        <v>11</v>
      </c>
      <c r="I356" s="34">
        <v>6</v>
      </c>
      <c r="J356" s="34">
        <v>22</v>
      </c>
      <c r="K356" s="34">
        <v>20</v>
      </c>
      <c r="L356" s="220">
        <f t="shared" si="12"/>
        <v>59</v>
      </c>
    </row>
    <row r="357" spans="1:12" x14ac:dyDescent="0.35">
      <c r="A357" s="287"/>
      <c r="B357" s="287"/>
      <c r="C357" s="34" t="s">
        <v>1623</v>
      </c>
      <c r="D357" s="32" t="s">
        <v>1674</v>
      </c>
      <c r="E357" s="32" t="s">
        <v>1709</v>
      </c>
      <c r="F357" s="32" t="s">
        <v>1710</v>
      </c>
      <c r="G357" s="33" t="s">
        <v>1009</v>
      </c>
      <c r="H357" s="34">
        <v>13</v>
      </c>
      <c r="I357" s="34">
        <v>15</v>
      </c>
      <c r="J357" s="34">
        <v>13</v>
      </c>
      <c r="K357" s="34">
        <v>16</v>
      </c>
      <c r="L357" s="220">
        <f t="shared" si="12"/>
        <v>57</v>
      </c>
    </row>
    <row r="358" spans="1:12" x14ac:dyDescent="0.35">
      <c r="A358" s="287"/>
      <c r="B358" s="287"/>
      <c r="C358" s="34" t="s">
        <v>1623</v>
      </c>
      <c r="D358" s="32" t="s">
        <v>1674</v>
      </c>
      <c r="E358" s="32" t="s">
        <v>1709</v>
      </c>
      <c r="F358" s="32" t="s">
        <v>1710</v>
      </c>
      <c r="G358" s="33" t="s">
        <v>1010</v>
      </c>
      <c r="H358" s="34">
        <v>12</v>
      </c>
      <c r="I358" s="34">
        <v>13</v>
      </c>
      <c r="J358" s="34">
        <v>20</v>
      </c>
      <c r="K358" s="34">
        <v>22</v>
      </c>
      <c r="L358" s="220">
        <f t="shared" si="12"/>
        <v>67</v>
      </c>
    </row>
    <row r="359" spans="1:12" x14ac:dyDescent="0.35">
      <c r="A359" s="287"/>
      <c r="B359" s="287"/>
      <c r="C359" s="34" t="s">
        <v>1623</v>
      </c>
      <c r="D359" s="32" t="s">
        <v>1674</v>
      </c>
      <c r="E359" s="32" t="s">
        <v>1709</v>
      </c>
      <c r="F359" s="32" t="s">
        <v>1710</v>
      </c>
      <c r="G359" s="33" t="s">
        <v>1011</v>
      </c>
      <c r="H359" s="34">
        <v>4</v>
      </c>
      <c r="I359" s="34">
        <v>6</v>
      </c>
      <c r="J359" s="34">
        <v>10</v>
      </c>
      <c r="K359" s="34">
        <v>12</v>
      </c>
      <c r="L359" s="220">
        <f t="shared" si="12"/>
        <v>32</v>
      </c>
    </row>
    <row r="360" spans="1:12" x14ac:dyDescent="0.35">
      <c r="A360" s="287"/>
      <c r="B360" s="287"/>
      <c r="C360" s="34" t="s">
        <v>1623</v>
      </c>
      <c r="D360" s="32" t="s">
        <v>1674</v>
      </c>
      <c r="E360" s="32" t="s">
        <v>1709</v>
      </c>
      <c r="F360" s="32" t="s">
        <v>143</v>
      </c>
      <c r="G360" s="33" t="s">
        <v>1012</v>
      </c>
      <c r="H360" s="34">
        <v>10</v>
      </c>
      <c r="I360" s="34">
        <v>12</v>
      </c>
      <c r="J360" s="34">
        <v>32</v>
      </c>
      <c r="K360" s="34">
        <v>54</v>
      </c>
      <c r="L360" s="220">
        <f t="shared" si="12"/>
        <v>108</v>
      </c>
    </row>
    <row r="361" spans="1:12" x14ac:dyDescent="0.35">
      <c r="A361" s="287"/>
      <c r="B361" s="287"/>
      <c r="C361" s="34" t="s">
        <v>1623</v>
      </c>
      <c r="D361" s="32" t="s">
        <v>1674</v>
      </c>
      <c r="E361" s="32" t="s">
        <v>1709</v>
      </c>
      <c r="F361" s="32" t="s">
        <v>143</v>
      </c>
      <c r="G361" s="33" t="s">
        <v>1013</v>
      </c>
      <c r="H361" s="34">
        <v>9</v>
      </c>
      <c r="I361" s="34">
        <v>13</v>
      </c>
      <c r="J361" s="34">
        <v>47</v>
      </c>
      <c r="K361" s="34">
        <v>49</v>
      </c>
      <c r="L361" s="220">
        <f t="shared" si="12"/>
        <v>118</v>
      </c>
    </row>
    <row r="362" spans="1:12" x14ac:dyDescent="0.35">
      <c r="A362" s="287"/>
      <c r="B362" s="287"/>
      <c r="C362" s="34" t="s">
        <v>1623</v>
      </c>
      <c r="D362" s="32" t="s">
        <v>1674</v>
      </c>
      <c r="E362" s="32" t="s">
        <v>1709</v>
      </c>
      <c r="F362" s="32" t="s">
        <v>143</v>
      </c>
      <c r="G362" s="33" t="s">
        <v>1014</v>
      </c>
      <c r="H362" s="34">
        <v>25</v>
      </c>
      <c r="I362" s="34">
        <v>28</v>
      </c>
      <c r="J362" s="34">
        <v>40</v>
      </c>
      <c r="K362" s="34">
        <v>48</v>
      </c>
      <c r="L362" s="220">
        <f t="shared" si="12"/>
        <v>141</v>
      </c>
    </row>
    <row r="363" spans="1:12" x14ac:dyDescent="0.35">
      <c r="A363" s="287"/>
      <c r="B363" s="287"/>
      <c r="C363" s="34" t="s">
        <v>1623</v>
      </c>
      <c r="D363" s="32" t="s">
        <v>1674</v>
      </c>
      <c r="E363" s="32" t="s">
        <v>1709</v>
      </c>
      <c r="F363" s="32" t="s">
        <v>143</v>
      </c>
      <c r="G363" s="33" t="s">
        <v>1015</v>
      </c>
      <c r="H363" s="34">
        <v>26</v>
      </c>
      <c r="I363" s="34">
        <v>42</v>
      </c>
      <c r="J363" s="34">
        <v>60</v>
      </c>
      <c r="K363" s="34">
        <v>71</v>
      </c>
      <c r="L363" s="220">
        <f t="shared" si="12"/>
        <v>199</v>
      </c>
    </row>
    <row r="364" spans="1:12" x14ac:dyDescent="0.35">
      <c r="A364" s="287"/>
      <c r="B364" s="287"/>
      <c r="C364" s="34" t="s">
        <v>1623</v>
      </c>
      <c r="D364" s="32" t="s">
        <v>1674</v>
      </c>
      <c r="E364" s="32" t="s">
        <v>1709</v>
      </c>
      <c r="F364" s="32" t="s">
        <v>143</v>
      </c>
      <c r="G364" s="33" t="s">
        <v>1016</v>
      </c>
      <c r="H364" s="34">
        <v>13</v>
      </c>
      <c r="I364" s="34">
        <v>15</v>
      </c>
      <c r="J364" s="34">
        <v>45</v>
      </c>
      <c r="K364" s="34">
        <v>81</v>
      </c>
      <c r="L364" s="220">
        <f t="shared" si="12"/>
        <v>154</v>
      </c>
    </row>
    <row r="365" spans="1:12" x14ac:dyDescent="0.35">
      <c r="A365" s="287"/>
      <c r="B365" s="287"/>
      <c r="C365" s="34" t="s">
        <v>1623</v>
      </c>
      <c r="D365" s="32" t="s">
        <v>1674</v>
      </c>
      <c r="E365" s="32" t="s">
        <v>1709</v>
      </c>
      <c r="F365" s="32" t="s">
        <v>143</v>
      </c>
      <c r="G365" s="33" t="s">
        <v>1017</v>
      </c>
      <c r="H365" s="34">
        <v>30</v>
      </c>
      <c r="I365" s="34">
        <v>32</v>
      </c>
      <c r="J365" s="34">
        <v>35</v>
      </c>
      <c r="K365" s="34">
        <v>38</v>
      </c>
      <c r="L365" s="220">
        <f t="shared" si="12"/>
        <v>135</v>
      </c>
    </row>
    <row r="366" spans="1:12" x14ac:dyDescent="0.35">
      <c r="A366" s="287"/>
      <c r="B366" s="287"/>
      <c r="C366" s="34" t="s">
        <v>1623</v>
      </c>
      <c r="D366" s="32" t="s">
        <v>1674</v>
      </c>
      <c r="E366" s="32" t="s">
        <v>1709</v>
      </c>
      <c r="F366" s="32" t="s">
        <v>143</v>
      </c>
      <c r="G366" s="33" t="s">
        <v>1018</v>
      </c>
      <c r="H366" s="34">
        <v>6</v>
      </c>
      <c r="I366" s="34">
        <v>9</v>
      </c>
      <c r="J366" s="34">
        <v>20</v>
      </c>
      <c r="K366" s="34">
        <v>22</v>
      </c>
      <c r="L366" s="220">
        <f t="shared" si="12"/>
        <v>57</v>
      </c>
    </row>
    <row r="367" spans="1:12" x14ac:dyDescent="0.35">
      <c r="A367" s="287"/>
      <c r="B367" s="287"/>
      <c r="C367" s="34" t="s">
        <v>1623</v>
      </c>
      <c r="D367" s="32" t="s">
        <v>1674</v>
      </c>
      <c r="E367" s="32" t="s">
        <v>1709</v>
      </c>
      <c r="F367" s="32" t="s">
        <v>143</v>
      </c>
      <c r="G367" s="33" t="s">
        <v>1019</v>
      </c>
      <c r="H367" s="34">
        <v>21</v>
      </c>
      <c r="I367" s="34">
        <v>36</v>
      </c>
      <c r="J367" s="34">
        <v>43</v>
      </c>
      <c r="K367" s="34">
        <v>59</v>
      </c>
      <c r="L367" s="220">
        <f t="shared" si="12"/>
        <v>159</v>
      </c>
    </row>
    <row r="368" spans="1:12" x14ac:dyDescent="0.35">
      <c r="A368" s="287"/>
      <c r="B368" s="287"/>
      <c r="C368" s="34" t="s">
        <v>1623</v>
      </c>
      <c r="D368" s="32" t="s">
        <v>1674</v>
      </c>
      <c r="E368" s="32" t="s">
        <v>1709</v>
      </c>
      <c r="F368" s="32" t="s">
        <v>143</v>
      </c>
      <c r="G368" s="33" t="s">
        <v>1020</v>
      </c>
      <c r="H368" s="34">
        <v>45</v>
      </c>
      <c r="I368" s="34">
        <v>55</v>
      </c>
      <c r="J368" s="34">
        <v>87</v>
      </c>
      <c r="K368" s="34">
        <v>100</v>
      </c>
      <c r="L368" s="220">
        <f t="shared" si="12"/>
        <v>287</v>
      </c>
    </row>
    <row r="369" spans="1:12" x14ac:dyDescent="0.35">
      <c r="A369" s="287"/>
      <c r="B369" s="287"/>
      <c r="C369" s="34" t="s">
        <v>1623</v>
      </c>
      <c r="D369" s="32" t="s">
        <v>1674</v>
      </c>
      <c r="E369" s="32" t="s">
        <v>1709</v>
      </c>
      <c r="F369" s="32" t="s">
        <v>143</v>
      </c>
      <c r="G369" s="33" t="s">
        <v>1021</v>
      </c>
      <c r="H369" s="34">
        <v>8</v>
      </c>
      <c r="I369" s="34">
        <v>9</v>
      </c>
      <c r="J369" s="34">
        <v>19</v>
      </c>
      <c r="K369" s="34">
        <v>19</v>
      </c>
      <c r="L369" s="220">
        <f t="shared" si="12"/>
        <v>55</v>
      </c>
    </row>
    <row r="370" spans="1:12" x14ac:dyDescent="0.35">
      <c r="A370" s="287"/>
      <c r="B370" s="287"/>
      <c r="C370" s="34" t="s">
        <v>1623</v>
      </c>
      <c r="D370" s="32" t="s">
        <v>1674</v>
      </c>
      <c r="E370" s="32" t="s">
        <v>1709</v>
      </c>
      <c r="F370" s="32" t="s">
        <v>143</v>
      </c>
      <c r="G370" s="33" t="s">
        <v>1022</v>
      </c>
      <c r="H370" s="34">
        <v>25</v>
      </c>
      <c r="I370" s="34">
        <v>20</v>
      </c>
      <c r="J370" s="34">
        <v>58</v>
      </c>
      <c r="K370" s="34">
        <v>67</v>
      </c>
      <c r="L370" s="220">
        <f t="shared" si="12"/>
        <v>170</v>
      </c>
    </row>
    <row r="371" spans="1:12" x14ac:dyDescent="0.35">
      <c r="A371" s="287"/>
      <c r="B371" s="287"/>
      <c r="C371" s="34" t="s">
        <v>1623</v>
      </c>
      <c r="D371" s="32" t="s">
        <v>1674</v>
      </c>
      <c r="E371" s="32" t="s">
        <v>1709</v>
      </c>
      <c r="F371" s="32" t="s">
        <v>143</v>
      </c>
      <c r="G371" s="33" t="s">
        <v>1023</v>
      </c>
      <c r="H371" s="34">
        <v>17</v>
      </c>
      <c r="I371" s="34">
        <v>23</v>
      </c>
      <c r="J371" s="34">
        <v>25</v>
      </c>
      <c r="K371" s="34">
        <v>17</v>
      </c>
      <c r="L371" s="220">
        <f t="shared" si="12"/>
        <v>82</v>
      </c>
    </row>
    <row r="372" spans="1:12" x14ac:dyDescent="0.35">
      <c r="A372" s="287"/>
      <c r="B372" s="287"/>
      <c r="C372" s="34" t="s">
        <v>1623</v>
      </c>
      <c r="D372" s="32" t="s">
        <v>1674</v>
      </c>
      <c r="E372" s="32" t="s">
        <v>1709</v>
      </c>
      <c r="F372" s="32" t="s">
        <v>1711</v>
      </c>
      <c r="G372" s="33" t="s">
        <v>1024</v>
      </c>
      <c r="H372" s="34">
        <v>37</v>
      </c>
      <c r="I372" s="34">
        <v>48</v>
      </c>
      <c r="J372" s="34">
        <v>41</v>
      </c>
      <c r="K372" s="34">
        <v>55</v>
      </c>
      <c r="L372" s="220">
        <f t="shared" si="12"/>
        <v>181</v>
      </c>
    </row>
    <row r="373" spans="1:12" x14ac:dyDescent="0.35">
      <c r="A373" s="287"/>
      <c r="B373" s="287"/>
      <c r="C373" s="34" t="s">
        <v>1623</v>
      </c>
      <c r="D373" s="32" t="s">
        <v>1674</v>
      </c>
      <c r="E373" s="32" t="s">
        <v>1709</v>
      </c>
      <c r="F373" s="32" t="s">
        <v>1711</v>
      </c>
      <c r="G373" s="33" t="s">
        <v>1025</v>
      </c>
      <c r="H373" s="34">
        <v>14</v>
      </c>
      <c r="I373" s="34">
        <v>12</v>
      </c>
      <c r="J373" s="34">
        <v>66</v>
      </c>
      <c r="K373" s="34">
        <v>68</v>
      </c>
      <c r="L373" s="220">
        <f t="shared" si="12"/>
        <v>160</v>
      </c>
    </row>
    <row r="374" spans="1:12" x14ac:dyDescent="0.35">
      <c r="A374" s="287"/>
      <c r="B374" s="287"/>
      <c r="C374" s="34" t="s">
        <v>1623</v>
      </c>
      <c r="D374" s="32" t="s">
        <v>1674</v>
      </c>
      <c r="E374" s="32" t="s">
        <v>1709</v>
      </c>
      <c r="F374" s="32" t="s">
        <v>1711</v>
      </c>
      <c r="G374" s="33" t="s">
        <v>1026</v>
      </c>
      <c r="H374" s="34">
        <v>9</v>
      </c>
      <c r="I374" s="34">
        <v>11</v>
      </c>
      <c r="J374" s="34">
        <v>23</v>
      </c>
      <c r="K374" s="34">
        <v>26</v>
      </c>
      <c r="L374" s="220">
        <f t="shared" si="12"/>
        <v>69</v>
      </c>
    </row>
    <row r="375" spans="1:12" x14ac:dyDescent="0.35">
      <c r="A375" s="287"/>
      <c r="B375" s="287"/>
      <c r="C375" s="34" t="s">
        <v>1623</v>
      </c>
      <c r="D375" s="32" t="s">
        <v>1674</v>
      </c>
      <c r="E375" s="32" t="s">
        <v>1709</v>
      </c>
      <c r="F375" s="32" t="s">
        <v>1711</v>
      </c>
      <c r="G375" s="33" t="s">
        <v>1027</v>
      </c>
      <c r="H375" s="34">
        <v>15</v>
      </c>
      <c r="I375" s="34">
        <v>18</v>
      </c>
      <c r="J375" s="34">
        <v>25</v>
      </c>
      <c r="K375" s="34">
        <v>31</v>
      </c>
      <c r="L375" s="220">
        <f t="shared" si="12"/>
        <v>89</v>
      </c>
    </row>
    <row r="376" spans="1:12" x14ac:dyDescent="0.35">
      <c r="A376" s="287"/>
      <c r="B376" s="287"/>
      <c r="C376" s="34" t="s">
        <v>1623</v>
      </c>
      <c r="D376" s="32" t="s">
        <v>1674</v>
      </c>
      <c r="E376" s="32" t="s">
        <v>1709</v>
      </c>
      <c r="F376" s="32" t="s">
        <v>1711</v>
      </c>
      <c r="G376" s="33" t="s">
        <v>1028</v>
      </c>
      <c r="H376" s="34">
        <v>10</v>
      </c>
      <c r="I376" s="34">
        <v>11</v>
      </c>
      <c r="J376" s="34">
        <v>18</v>
      </c>
      <c r="K376" s="34">
        <v>24</v>
      </c>
      <c r="L376" s="220">
        <f t="shared" si="12"/>
        <v>63</v>
      </c>
    </row>
    <row r="377" spans="1:12" x14ac:dyDescent="0.35">
      <c r="A377" s="287"/>
      <c r="B377" s="287"/>
      <c r="C377" s="34" t="s">
        <v>1623</v>
      </c>
      <c r="D377" s="32" t="s">
        <v>1674</v>
      </c>
      <c r="E377" s="32" t="s">
        <v>1709</v>
      </c>
      <c r="F377" s="32" t="s">
        <v>1711</v>
      </c>
      <c r="G377" s="33" t="s">
        <v>1029</v>
      </c>
      <c r="H377" s="34">
        <v>5</v>
      </c>
      <c r="I377" s="34">
        <v>13</v>
      </c>
      <c r="J377" s="34">
        <v>17</v>
      </c>
      <c r="K377" s="34">
        <v>20</v>
      </c>
      <c r="L377" s="220">
        <f t="shared" si="12"/>
        <v>55</v>
      </c>
    </row>
    <row r="378" spans="1:12" x14ac:dyDescent="0.35">
      <c r="A378" s="287"/>
      <c r="B378" s="287"/>
      <c r="C378" s="34" t="s">
        <v>1623</v>
      </c>
      <c r="D378" s="32" t="s">
        <v>1674</v>
      </c>
      <c r="E378" s="32" t="s">
        <v>1709</v>
      </c>
      <c r="F378" s="32" t="s">
        <v>1711</v>
      </c>
      <c r="G378" s="33" t="s">
        <v>1030</v>
      </c>
      <c r="H378" s="34">
        <v>15</v>
      </c>
      <c r="I378" s="34">
        <v>10</v>
      </c>
      <c r="J378" s="34">
        <v>40</v>
      </c>
      <c r="K378" s="34">
        <v>30</v>
      </c>
      <c r="L378" s="220">
        <f t="shared" si="12"/>
        <v>95</v>
      </c>
    </row>
    <row r="379" spans="1:12" x14ac:dyDescent="0.35">
      <c r="A379" s="287"/>
      <c r="B379" s="287"/>
      <c r="C379" s="34" t="s">
        <v>1623</v>
      </c>
      <c r="D379" s="32" t="s">
        <v>1674</v>
      </c>
      <c r="E379" s="32" t="s">
        <v>1709</v>
      </c>
      <c r="F379" s="32" t="s">
        <v>1711</v>
      </c>
      <c r="G379" s="33" t="s">
        <v>710</v>
      </c>
      <c r="H379" s="34">
        <v>38</v>
      </c>
      <c r="I379" s="34">
        <v>40</v>
      </c>
      <c r="J379" s="34">
        <v>30</v>
      </c>
      <c r="K379" s="34">
        <v>34</v>
      </c>
      <c r="L379" s="220">
        <f t="shared" si="12"/>
        <v>142</v>
      </c>
    </row>
    <row r="380" spans="1:12" x14ac:dyDescent="0.35">
      <c r="A380" s="287"/>
      <c r="B380" s="287"/>
      <c r="C380" s="34" t="s">
        <v>1623</v>
      </c>
      <c r="D380" s="32" t="s">
        <v>1674</v>
      </c>
      <c r="E380" s="32" t="s">
        <v>1709</v>
      </c>
      <c r="F380" s="32" t="s">
        <v>1711</v>
      </c>
      <c r="G380" s="33" t="s">
        <v>1031</v>
      </c>
      <c r="H380" s="34">
        <v>7</v>
      </c>
      <c r="I380" s="34">
        <v>8</v>
      </c>
      <c r="J380" s="34">
        <v>10</v>
      </c>
      <c r="K380" s="34">
        <v>14</v>
      </c>
      <c r="L380" s="220">
        <f t="shared" si="12"/>
        <v>39</v>
      </c>
    </row>
    <row r="381" spans="1:12" x14ac:dyDescent="0.35">
      <c r="A381" s="287"/>
      <c r="B381" s="287"/>
      <c r="C381" s="34" t="s">
        <v>1623</v>
      </c>
      <c r="D381" s="32" t="s">
        <v>1674</v>
      </c>
      <c r="E381" s="32" t="s">
        <v>1709</v>
      </c>
      <c r="F381" s="32" t="s">
        <v>1710</v>
      </c>
      <c r="G381" s="33" t="s">
        <v>1032</v>
      </c>
      <c r="H381" s="34">
        <v>8</v>
      </c>
      <c r="I381" s="34">
        <v>9</v>
      </c>
      <c r="J381" s="34">
        <v>10</v>
      </c>
      <c r="K381" s="34">
        <v>12</v>
      </c>
      <c r="L381" s="220">
        <f t="shared" si="12"/>
        <v>39</v>
      </c>
    </row>
    <row r="382" spans="1:12" x14ac:dyDescent="0.35">
      <c r="A382" s="287"/>
      <c r="B382" s="287"/>
      <c r="C382" s="34" t="s">
        <v>1623</v>
      </c>
      <c r="D382" s="32" t="s">
        <v>1674</v>
      </c>
      <c r="E382" s="32" t="s">
        <v>1709</v>
      </c>
      <c r="F382" s="32" t="s">
        <v>1710</v>
      </c>
      <c r="G382" s="33" t="s">
        <v>1033</v>
      </c>
      <c r="H382" s="34">
        <v>6</v>
      </c>
      <c r="I382" s="34">
        <v>8</v>
      </c>
      <c r="J382" s="34">
        <v>13</v>
      </c>
      <c r="K382" s="34">
        <v>10</v>
      </c>
      <c r="L382" s="220">
        <f t="shared" si="12"/>
        <v>37</v>
      </c>
    </row>
    <row r="383" spans="1:12" x14ac:dyDescent="0.35">
      <c r="A383" s="287"/>
      <c r="B383" s="287"/>
      <c r="C383" s="34" t="s">
        <v>1623</v>
      </c>
      <c r="D383" s="32" t="s">
        <v>1674</v>
      </c>
      <c r="E383" s="32" t="s">
        <v>1709</v>
      </c>
      <c r="F383" s="32" t="s">
        <v>1710</v>
      </c>
      <c r="G383" s="33" t="s">
        <v>1034</v>
      </c>
      <c r="H383" s="34">
        <v>12</v>
      </c>
      <c r="I383" s="34">
        <v>14</v>
      </c>
      <c r="J383" s="34">
        <v>9</v>
      </c>
      <c r="K383" s="34">
        <v>14</v>
      </c>
      <c r="L383" s="220">
        <f t="shared" si="12"/>
        <v>49</v>
      </c>
    </row>
    <row r="384" spans="1:12" x14ac:dyDescent="0.35">
      <c r="A384" s="287"/>
      <c r="B384" s="287"/>
      <c r="C384" s="34" t="s">
        <v>1623</v>
      </c>
      <c r="D384" s="32" t="s">
        <v>1674</v>
      </c>
      <c r="E384" s="32" t="s">
        <v>1709</v>
      </c>
      <c r="F384" s="32" t="s">
        <v>1710</v>
      </c>
      <c r="G384" s="33" t="s">
        <v>1035</v>
      </c>
      <c r="H384" s="34">
        <v>7</v>
      </c>
      <c r="I384" s="34">
        <v>8</v>
      </c>
      <c r="J384" s="34">
        <v>10</v>
      </c>
      <c r="K384" s="34">
        <v>12</v>
      </c>
      <c r="L384" s="220">
        <f t="shared" si="12"/>
        <v>37</v>
      </c>
    </row>
    <row r="385" spans="1:12" x14ac:dyDescent="0.35">
      <c r="A385" s="287"/>
      <c r="B385" s="287"/>
      <c r="C385" s="34" t="s">
        <v>1623</v>
      </c>
      <c r="D385" s="32" t="s">
        <v>1674</v>
      </c>
      <c r="E385" s="32" t="s">
        <v>1709</v>
      </c>
      <c r="F385" s="32" t="s">
        <v>1710</v>
      </c>
      <c r="G385" s="33" t="s">
        <v>1036</v>
      </c>
      <c r="H385" s="34">
        <v>3</v>
      </c>
      <c r="I385" s="34">
        <v>1</v>
      </c>
      <c r="J385" s="34">
        <v>8</v>
      </c>
      <c r="K385" s="34">
        <v>12</v>
      </c>
      <c r="L385" s="220">
        <f t="shared" si="12"/>
        <v>24</v>
      </c>
    </row>
    <row r="386" spans="1:12" x14ac:dyDescent="0.35">
      <c r="A386" s="52"/>
      <c r="B386" s="52"/>
      <c r="C386" s="52"/>
      <c r="D386" s="52"/>
      <c r="E386" s="52"/>
      <c r="F386" s="52"/>
      <c r="G386" s="52" t="s">
        <v>2</v>
      </c>
      <c r="H386" s="53">
        <f t="shared" ref="H386:K386" si="14">SUM(H340:H385)</f>
        <v>636</v>
      </c>
      <c r="I386" s="53">
        <f t="shared" si="14"/>
        <v>754</v>
      </c>
      <c r="J386" s="53">
        <f t="shared" si="14"/>
        <v>1237</v>
      </c>
      <c r="K386" s="53">
        <f t="shared" si="14"/>
        <v>1481</v>
      </c>
      <c r="L386" s="225">
        <f t="shared" si="12"/>
        <v>4108</v>
      </c>
    </row>
    <row r="387" spans="1:12" x14ac:dyDescent="0.35">
      <c r="A387" s="287">
        <v>10</v>
      </c>
      <c r="B387" s="287" t="s">
        <v>1883</v>
      </c>
      <c r="C387" s="34" t="s">
        <v>1623</v>
      </c>
      <c r="D387" s="32" t="s">
        <v>1674</v>
      </c>
      <c r="E387" s="32" t="s">
        <v>1712</v>
      </c>
      <c r="F387" s="32" t="s">
        <v>1714</v>
      </c>
      <c r="G387" s="33" t="s">
        <v>1038</v>
      </c>
      <c r="H387" s="34">
        <v>1</v>
      </c>
      <c r="I387" s="34">
        <v>0</v>
      </c>
      <c r="J387" s="34">
        <v>10</v>
      </c>
      <c r="K387" s="34">
        <v>8</v>
      </c>
      <c r="L387" s="220">
        <f t="shared" si="12"/>
        <v>19</v>
      </c>
    </row>
    <row r="388" spans="1:12" x14ac:dyDescent="0.35">
      <c r="A388" s="287"/>
      <c r="B388" s="287"/>
      <c r="C388" s="34" t="s">
        <v>1623</v>
      </c>
      <c r="D388" s="32" t="s">
        <v>1674</v>
      </c>
      <c r="E388" s="32" t="s">
        <v>1712</v>
      </c>
      <c r="F388" s="32" t="s">
        <v>1713</v>
      </c>
      <c r="G388" s="33" t="s">
        <v>1039</v>
      </c>
      <c r="H388" s="34">
        <v>9</v>
      </c>
      <c r="I388" s="34">
        <v>10</v>
      </c>
      <c r="J388" s="34">
        <v>39</v>
      </c>
      <c r="K388" s="34">
        <v>40</v>
      </c>
      <c r="L388" s="220">
        <f t="shared" si="12"/>
        <v>98</v>
      </c>
    </row>
    <row r="389" spans="1:12" x14ac:dyDescent="0.35">
      <c r="A389" s="287"/>
      <c r="B389" s="287"/>
      <c r="C389" s="34" t="s">
        <v>1623</v>
      </c>
      <c r="D389" s="32" t="s">
        <v>1674</v>
      </c>
      <c r="E389" s="32" t="s">
        <v>1717</v>
      </c>
      <c r="F389" s="32" t="s">
        <v>237</v>
      </c>
      <c r="G389" s="33" t="s">
        <v>1040</v>
      </c>
      <c r="H389" s="34">
        <v>4</v>
      </c>
      <c r="I389" s="34">
        <v>7</v>
      </c>
      <c r="J389" s="34">
        <v>24</v>
      </c>
      <c r="K389" s="34">
        <v>26</v>
      </c>
      <c r="L389" s="220">
        <f t="shared" si="12"/>
        <v>61</v>
      </c>
    </row>
    <row r="390" spans="1:12" x14ac:dyDescent="0.35">
      <c r="A390" s="287"/>
      <c r="B390" s="287"/>
      <c r="C390" s="34" t="s">
        <v>1623</v>
      </c>
      <c r="D390" s="32" t="s">
        <v>1674</v>
      </c>
      <c r="E390" s="32" t="s">
        <v>1712</v>
      </c>
      <c r="F390" s="32" t="s">
        <v>1713</v>
      </c>
      <c r="G390" s="33" t="s">
        <v>1041</v>
      </c>
      <c r="H390" s="34">
        <v>32</v>
      </c>
      <c r="I390" s="34">
        <v>26</v>
      </c>
      <c r="J390" s="34">
        <v>31</v>
      </c>
      <c r="K390" s="34">
        <v>34</v>
      </c>
      <c r="L390" s="220">
        <f t="shared" ref="L390:L453" si="15">H390+I390+J390+K390</f>
        <v>123</v>
      </c>
    </row>
    <row r="391" spans="1:12" x14ac:dyDescent="0.35">
      <c r="A391" s="287"/>
      <c r="B391" s="287"/>
      <c r="C391" s="34" t="s">
        <v>1623</v>
      </c>
      <c r="D391" s="32" t="s">
        <v>1674</v>
      </c>
      <c r="E391" s="32" t="s">
        <v>1676</v>
      </c>
      <c r="F391" s="32" t="s">
        <v>237</v>
      </c>
      <c r="G391" s="33" t="s">
        <v>1042</v>
      </c>
      <c r="H391" s="34">
        <v>1</v>
      </c>
      <c r="I391" s="34">
        <v>2</v>
      </c>
      <c r="J391" s="34">
        <v>4</v>
      </c>
      <c r="K391" s="34">
        <v>10</v>
      </c>
      <c r="L391" s="220">
        <f t="shared" si="15"/>
        <v>17</v>
      </c>
    </row>
    <row r="392" spans="1:12" x14ac:dyDescent="0.35">
      <c r="A392" s="287"/>
      <c r="B392" s="287"/>
      <c r="C392" s="34" t="s">
        <v>1623</v>
      </c>
      <c r="D392" s="32" t="s">
        <v>1674</v>
      </c>
      <c r="E392" s="32" t="s">
        <v>1712</v>
      </c>
      <c r="F392" s="32" t="s">
        <v>1716</v>
      </c>
      <c r="G392" s="33" t="s">
        <v>1043</v>
      </c>
      <c r="H392" s="34">
        <v>4</v>
      </c>
      <c r="I392" s="34">
        <v>2</v>
      </c>
      <c r="J392" s="34">
        <v>24</v>
      </c>
      <c r="K392" s="34">
        <v>22</v>
      </c>
      <c r="L392" s="220">
        <f t="shared" si="15"/>
        <v>52</v>
      </c>
    </row>
    <row r="393" spans="1:12" x14ac:dyDescent="0.35">
      <c r="A393" s="287"/>
      <c r="B393" s="287"/>
      <c r="C393" s="34" t="s">
        <v>1623</v>
      </c>
      <c r="D393" s="32" t="s">
        <v>1674</v>
      </c>
      <c r="E393" s="32" t="s">
        <v>1718</v>
      </c>
      <c r="F393" s="32" t="s">
        <v>1719</v>
      </c>
      <c r="G393" s="33" t="s">
        <v>1044</v>
      </c>
      <c r="H393" s="34">
        <v>3</v>
      </c>
      <c r="I393" s="34">
        <v>2</v>
      </c>
      <c r="J393" s="34">
        <v>4</v>
      </c>
      <c r="K393" s="34">
        <v>6</v>
      </c>
      <c r="L393" s="220">
        <f t="shared" si="15"/>
        <v>15</v>
      </c>
    </row>
    <row r="394" spans="1:12" x14ac:dyDescent="0.35">
      <c r="A394" s="287"/>
      <c r="B394" s="287"/>
      <c r="C394" s="34" t="s">
        <v>1623</v>
      </c>
      <c r="D394" s="32" t="s">
        <v>1674</v>
      </c>
      <c r="E394" s="32" t="s">
        <v>1712</v>
      </c>
      <c r="F394" s="32" t="s">
        <v>1714</v>
      </c>
      <c r="G394" s="33" t="s">
        <v>1045</v>
      </c>
      <c r="H394" s="34">
        <v>3</v>
      </c>
      <c r="I394" s="34">
        <v>5</v>
      </c>
      <c r="J394" s="34">
        <v>12</v>
      </c>
      <c r="K394" s="34">
        <v>8</v>
      </c>
      <c r="L394" s="220">
        <f t="shared" si="15"/>
        <v>28</v>
      </c>
    </row>
    <row r="395" spans="1:12" x14ac:dyDescent="0.35">
      <c r="A395" s="287"/>
      <c r="B395" s="287"/>
      <c r="C395" s="34" t="s">
        <v>1623</v>
      </c>
      <c r="D395" s="32" t="s">
        <v>1674</v>
      </c>
      <c r="E395" s="32" t="s">
        <v>1676</v>
      </c>
      <c r="F395" s="32" t="s">
        <v>1719</v>
      </c>
      <c r="G395" s="33" t="s">
        <v>1046</v>
      </c>
      <c r="H395" s="34">
        <v>6</v>
      </c>
      <c r="I395" s="34">
        <v>7</v>
      </c>
      <c r="J395" s="34">
        <v>19</v>
      </c>
      <c r="K395" s="34">
        <v>21</v>
      </c>
      <c r="L395" s="220">
        <f t="shared" si="15"/>
        <v>53</v>
      </c>
    </row>
    <row r="396" spans="1:12" x14ac:dyDescent="0.35">
      <c r="A396" s="287"/>
      <c r="B396" s="287"/>
      <c r="C396" s="34" t="s">
        <v>1623</v>
      </c>
      <c r="D396" s="32" t="s">
        <v>1674</v>
      </c>
      <c r="E396" s="32" t="s">
        <v>1676</v>
      </c>
      <c r="F396" s="32" t="s">
        <v>237</v>
      </c>
      <c r="G396" s="33" t="s">
        <v>1047</v>
      </c>
      <c r="H396" s="34">
        <v>7</v>
      </c>
      <c r="I396" s="34">
        <v>8</v>
      </c>
      <c r="J396" s="34">
        <v>20</v>
      </c>
      <c r="K396" s="34">
        <v>10</v>
      </c>
      <c r="L396" s="220">
        <f t="shared" si="15"/>
        <v>45</v>
      </c>
    </row>
    <row r="397" spans="1:12" x14ac:dyDescent="0.35">
      <c r="A397" s="287"/>
      <c r="B397" s="287"/>
      <c r="C397" s="34" t="s">
        <v>1623</v>
      </c>
      <c r="D397" s="32" t="s">
        <v>1674</v>
      </c>
      <c r="E397" s="32" t="s">
        <v>1676</v>
      </c>
      <c r="F397" s="32" t="s">
        <v>1719</v>
      </c>
      <c r="G397" s="33" t="s">
        <v>1048</v>
      </c>
      <c r="H397" s="34">
        <v>13</v>
      </c>
      <c r="I397" s="34">
        <v>17</v>
      </c>
      <c r="J397" s="34">
        <v>14</v>
      </c>
      <c r="K397" s="34">
        <v>26</v>
      </c>
      <c r="L397" s="220">
        <f t="shared" si="15"/>
        <v>70</v>
      </c>
    </row>
    <row r="398" spans="1:12" x14ac:dyDescent="0.35">
      <c r="A398" s="287"/>
      <c r="B398" s="287"/>
      <c r="C398" s="34" t="s">
        <v>1623</v>
      </c>
      <c r="D398" s="32" t="s">
        <v>1674</v>
      </c>
      <c r="E398" s="32" t="s">
        <v>1676</v>
      </c>
      <c r="F398" s="32" t="s">
        <v>1719</v>
      </c>
      <c r="G398" s="33" t="s">
        <v>1049</v>
      </c>
      <c r="H398" s="34">
        <v>4</v>
      </c>
      <c r="I398" s="34">
        <v>5</v>
      </c>
      <c r="J398" s="34">
        <v>11</v>
      </c>
      <c r="K398" s="34">
        <v>9</v>
      </c>
      <c r="L398" s="220">
        <f t="shared" si="15"/>
        <v>29</v>
      </c>
    </row>
    <row r="399" spans="1:12" x14ac:dyDescent="0.35">
      <c r="A399" s="287"/>
      <c r="B399" s="287"/>
      <c r="C399" s="34" t="s">
        <v>1623</v>
      </c>
      <c r="D399" s="32" t="s">
        <v>1674</v>
      </c>
      <c r="E399" s="32" t="s">
        <v>1676</v>
      </c>
      <c r="F399" s="32" t="s">
        <v>237</v>
      </c>
      <c r="G399" s="33" t="s">
        <v>1050</v>
      </c>
      <c r="H399" s="34">
        <v>18</v>
      </c>
      <c r="I399" s="34">
        <v>17</v>
      </c>
      <c r="J399" s="34">
        <v>24</v>
      </c>
      <c r="K399" s="34">
        <v>18</v>
      </c>
      <c r="L399" s="220">
        <f t="shared" si="15"/>
        <v>77</v>
      </c>
    </row>
    <row r="400" spans="1:12" x14ac:dyDescent="0.35">
      <c r="A400" s="287"/>
      <c r="B400" s="287"/>
      <c r="C400" s="34" t="s">
        <v>1623</v>
      </c>
      <c r="D400" s="32" t="s">
        <v>1674</v>
      </c>
      <c r="E400" s="32" t="s">
        <v>1712</v>
      </c>
      <c r="F400" s="32" t="s">
        <v>1714</v>
      </c>
      <c r="G400" s="33" t="s">
        <v>1051</v>
      </c>
      <c r="H400" s="34">
        <v>4</v>
      </c>
      <c r="I400" s="34">
        <v>4</v>
      </c>
      <c r="J400" s="34">
        <v>8</v>
      </c>
      <c r="K400" s="34">
        <v>13</v>
      </c>
      <c r="L400" s="220">
        <f t="shared" si="15"/>
        <v>29</v>
      </c>
    </row>
    <row r="401" spans="1:12" x14ac:dyDescent="0.35">
      <c r="A401" s="287"/>
      <c r="B401" s="287"/>
      <c r="C401" s="34" t="s">
        <v>1623</v>
      </c>
      <c r="D401" s="32" t="s">
        <v>1674</v>
      </c>
      <c r="E401" s="32" t="s">
        <v>1712</v>
      </c>
      <c r="F401" s="32" t="s">
        <v>1715</v>
      </c>
      <c r="G401" s="33" t="s">
        <v>1052</v>
      </c>
      <c r="H401" s="34">
        <v>4</v>
      </c>
      <c r="I401" s="34">
        <v>7</v>
      </c>
      <c r="J401" s="34">
        <v>21</v>
      </c>
      <c r="K401" s="34">
        <v>35</v>
      </c>
      <c r="L401" s="220">
        <f t="shared" si="15"/>
        <v>67</v>
      </c>
    </row>
    <row r="402" spans="1:12" x14ac:dyDescent="0.35">
      <c r="A402" s="287"/>
      <c r="B402" s="287"/>
      <c r="C402" s="34" t="s">
        <v>1623</v>
      </c>
      <c r="D402" s="32" t="s">
        <v>1674</v>
      </c>
      <c r="E402" s="32" t="s">
        <v>1676</v>
      </c>
      <c r="F402" s="32" t="s">
        <v>1719</v>
      </c>
      <c r="G402" s="33" t="s">
        <v>1053</v>
      </c>
      <c r="H402" s="34">
        <v>13</v>
      </c>
      <c r="I402" s="34">
        <v>7</v>
      </c>
      <c r="J402" s="34">
        <v>12</v>
      </c>
      <c r="K402" s="34">
        <v>19</v>
      </c>
      <c r="L402" s="220">
        <f t="shared" si="15"/>
        <v>51</v>
      </c>
    </row>
    <row r="403" spans="1:12" x14ac:dyDescent="0.35">
      <c r="A403" s="287"/>
      <c r="B403" s="287"/>
      <c r="C403" s="34" t="s">
        <v>1623</v>
      </c>
      <c r="D403" s="32" t="s">
        <v>1674</v>
      </c>
      <c r="E403" s="32" t="s">
        <v>1712</v>
      </c>
      <c r="F403" s="32" t="s">
        <v>1715</v>
      </c>
      <c r="G403" s="33" t="s">
        <v>1054</v>
      </c>
      <c r="H403" s="34">
        <v>8</v>
      </c>
      <c r="I403" s="34">
        <v>9</v>
      </c>
      <c r="J403" s="34">
        <v>23</v>
      </c>
      <c r="K403" s="34">
        <v>27</v>
      </c>
      <c r="L403" s="220">
        <f t="shared" si="15"/>
        <v>67</v>
      </c>
    </row>
    <row r="404" spans="1:12" x14ac:dyDescent="0.35">
      <c r="A404" s="287"/>
      <c r="B404" s="287"/>
      <c r="C404" s="34" t="s">
        <v>1623</v>
      </c>
      <c r="D404" s="32" t="s">
        <v>1674</v>
      </c>
      <c r="E404" s="32" t="s">
        <v>1676</v>
      </c>
      <c r="F404" s="32" t="s">
        <v>1719</v>
      </c>
      <c r="G404" s="33" t="s">
        <v>1024</v>
      </c>
      <c r="H404" s="34">
        <v>2</v>
      </c>
      <c r="I404" s="34">
        <v>5</v>
      </c>
      <c r="J404" s="34">
        <v>11</v>
      </c>
      <c r="K404" s="34">
        <v>5</v>
      </c>
      <c r="L404" s="220">
        <f t="shared" si="15"/>
        <v>23</v>
      </c>
    </row>
    <row r="405" spans="1:12" x14ac:dyDescent="0.35">
      <c r="A405" s="287"/>
      <c r="B405" s="287"/>
      <c r="C405" s="34" t="s">
        <v>1623</v>
      </c>
      <c r="D405" s="32" t="s">
        <v>1674</v>
      </c>
      <c r="E405" s="32" t="s">
        <v>1676</v>
      </c>
      <c r="F405" s="32" t="s">
        <v>1719</v>
      </c>
      <c r="G405" s="33" t="s">
        <v>1055</v>
      </c>
      <c r="H405" s="34">
        <v>6</v>
      </c>
      <c r="I405" s="34">
        <v>4</v>
      </c>
      <c r="J405" s="34">
        <v>18</v>
      </c>
      <c r="K405" s="34">
        <v>28</v>
      </c>
      <c r="L405" s="220">
        <f t="shared" si="15"/>
        <v>56</v>
      </c>
    </row>
    <row r="406" spans="1:12" x14ac:dyDescent="0.35">
      <c r="A406" s="287"/>
      <c r="B406" s="287"/>
      <c r="C406" s="34" t="s">
        <v>1623</v>
      </c>
      <c r="D406" s="32" t="s">
        <v>1674</v>
      </c>
      <c r="E406" s="32" t="s">
        <v>1712</v>
      </c>
      <c r="F406" s="32" t="s">
        <v>1716</v>
      </c>
      <c r="G406" s="33" t="s">
        <v>1056</v>
      </c>
      <c r="H406" s="34">
        <v>7</v>
      </c>
      <c r="I406" s="34">
        <v>10</v>
      </c>
      <c r="J406" s="34">
        <v>35</v>
      </c>
      <c r="K406" s="34">
        <v>47</v>
      </c>
      <c r="L406" s="220">
        <f t="shared" si="15"/>
        <v>99</v>
      </c>
    </row>
    <row r="407" spans="1:12" x14ac:dyDescent="0.35">
      <c r="A407" s="287"/>
      <c r="B407" s="287"/>
      <c r="C407" s="34" t="s">
        <v>1623</v>
      </c>
      <c r="D407" s="32" t="s">
        <v>1674</v>
      </c>
      <c r="E407" s="32" t="s">
        <v>1712</v>
      </c>
      <c r="F407" s="32" t="s">
        <v>1716</v>
      </c>
      <c r="G407" s="33" t="s">
        <v>894</v>
      </c>
      <c r="H407" s="34">
        <v>21</v>
      </c>
      <c r="I407" s="34">
        <v>24</v>
      </c>
      <c r="J407" s="34">
        <v>55</v>
      </c>
      <c r="K407" s="34">
        <v>66</v>
      </c>
      <c r="L407" s="220">
        <f t="shared" si="15"/>
        <v>166</v>
      </c>
    </row>
    <row r="408" spans="1:12" x14ac:dyDescent="0.35">
      <c r="A408" s="287"/>
      <c r="B408" s="287"/>
      <c r="C408" s="34" t="s">
        <v>1623</v>
      </c>
      <c r="D408" s="32" t="s">
        <v>1674</v>
      </c>
      <c r="E408" s="32" t="s">
        <v>1676</v>
      </c>
      <c r="F408" s="32" t="s">
        <v>1719</v>
      </c>
      <c r="G408" s="33" t="s">
        <v>1057</v>
      </c>
      <c r="H408" s="34">
        <v>6</v>
      </c>
      <c r="I408" s="34">
        <v>8</v>
      </c>
      <c r="J408" s="34">
        <v>36</v>
      </c>
      <c r="K408" s="34">
        <v>34</v>
      </c>
      <c r="L408" s="220">
        <f t="shared" si="15"/>
        <v>84</v>
      </c>
    </row>
    <row r="409" spans="1:12" x14ac:dyDescent="0.35">
      <c r="A409" s="287"/>
      <c r="B409" s="287"/>
      <c r="C409" s="34" t="s">
        <v>1623</v>
      </c>
      <c r="D409" s="32" t="s">
        <v>1674</v>
      </c>
      <c r="E409" s="32" t="s">
        <v>1676</v>
      </c>
      <c r="F409" s="32" t="s">
        <v>237</v>
      </c>
      <c r="G409" s="33" t="s">
        <v>1058</v>
      </c>
      <c r="H409" s="34">
        <v>22</v>
      </c>
      <c r="I409" s="34">
        <v>17</v>
      </c>
      <c r="J409" s="34">
        <v>31</v>
      </c>
      <c r="K409" s="34">
        <v>23</v>
      </c>
      <c r="L409" s="220">
        <f t="shared" si="15"/>
        <v>93</v>
      </c>
    </row>
    <row r="410" spans="1:12" x14ac:dyDescent="0.35">
      <c r="A410" s="287"/>
      <c r="B410" s="287"/>
      <c r="C410" s="34" t="s">
        <v>1623</v>
      </c>
      <c r="D410" s="32" t="s">
        <v>1674</v>
      </c>
      <c r="E410" s="32" t="s">
        <v>1676</v>
      </c>
      <c r="F410" s="32" t="s">
        <v>1719</v>
      </c>
      <c r="G410" s="33" t="s">
        <v>1059</v>
      </c>
      <c r="H410" s="34">
        <v>3</v>
      </c>
      <c r="I410" s="34">
        <v>7</v>
      </c>
      <c r="J410" s="34">
        <v>49</v>
      </c>
      <c r="K410" s="34">
        <v>31</v>
      </c>
      <c r="L410" s="220">
        <f t="shared" si="15"/>
        <v>90</v>
      </c>
    </row>
    <row r="411" spans="1:12" x14ac:dyDescent="0.35">
      <c r="A411" s="287"/>
      <c r="B411" s="287"/>
      <c r="C411" s="34" t="s">
        <v>1623</v>
      </c>
      <c r="D411" s="32" t="s">
        <v>1674</v>
      </c>
      <c r="E411" s="32" t="s">
        <v>1712</v>
      </c>
      <c r="F411" s="32" t="s">
        <v>1716</v>
      </c>
      <c r="G411" s="33" t="s">
        <v>431</v>
      </c>
      <c r="H411" s="34">
        <v>12</v>
      </c>
      <c r="I411" s="34">
        <v>8</v>
      </c>
      <c r="J411" s="34">
        <v>40</v>
      </c>
      <c r="K411" s="34">
        <v>32</v>
      </c>
      <c r="L411" s="220">
        <f t="shared" si="15"/>
        <v>92</v>
      </c>
    </row>
    <row r="412" spans="1:12" x14ac:dyDescent="0.35">
      <c r="A412" s="287"/>
      <c r="B412" s="287"/>
      <c r="C412" s="34" t="s">
        <v>1623</v>
      </c>
      <c r="D412" s="32" t="s">
        <v>1674</v>
      </c>
      <c r="E412" s="32" t="s">
        <v>1676</v>
      </c>
      <c r="F412" s="32" t="s">
        <v>1719</v>
      </c>
      <c r="G412" s="33" t="s">
        <v>1060</v>
      </c>
      <c r="H412" s="34">
        <v>20</v>
      </c>
      <c r="I412" s="34">
        <v>27</v>
      </c>
      <c r="J412" s="34">
        <v>43</v>
      </c>
      <c r="K412" s="34">
        <v>53</v>
      </c>
      <c r="L412" s="220">
        <f t="shared" si="15"/>
        <v>143</v>
      </c>
    </row>
    <row r="413" spans="1:12" x14ac:dyDescent="0.35">
      <c r="A413" s="287"/>
      <c r="B413" s="287"/>
      <c r="C413" s="34" t="s">
        <v>1623</v>
      </c>
      <c r="D413" s="32" t="s">
        <v>1674</v>
      </c>
      <c r="E413" s="32" t="s">
        <v>1712</v>
      </c>
      <c r="F413" s="32" t="s">
        <v>1715</v>
      </c>
      <c r="G413" s="33" t="s">
        <v>1061</v>
      </c>
      <c r="H413" s="34">
        <v>9</v>
      </c>
      <c r="I413" s="34">
        <v>11</v>
      </c>
      <c r="J413" s="34">
        <v>22</v>
      </c>
      <c r="K413" s="34">
        <v>26</v>
      </c>
      <c r="L413" s="220">
        <f t="shared" si="15"/>
        <v>68</v>
      </c>
    </row>
    <row r="414" spans="1:12" x14ac:dyDescent="0.35">
      <c r="A414" s="287"/>
      <c r="B414" s="287"/>
      <c r="C414" s="34" t="s">
        <v>1623</v>
      </c>
      <c r="D414" s="32" t="s">
        <v>1674</v>
      </c>
      <c r="E414" s="32" t="s">
        <v>1676</v>
      </c>
      <c r="F414" s="32" t="s">
        <v>1720</v>
      </c>
      <c r="G414" s="33" t="s">
        <v>1062</v>
      </c>
      <c r="H414" s="34">
        <v>20</v>
      </c>
      <c r="I414" s="34">
        <v>30</v>
      </c>
      <c r="J414" s="34">
        <v>47</v>
      </c>
      <c r="K414" s="34">
        <v>53</v>
      </c>
      <c r="L414" s="220">
        <f t="shared" si="15"/>
        <v>150</v>
      </c>
    </row>
    <row r="415" spans="1:12" x14ac:dyDescent="0.35">
      <c r="A415" s="287"/>
      <c r="B415" s="287"/>
      <c r="C415" s="34" t="s">
        <v>1623</v>
      </c>
      <c r="D415" s="32" t="s">
        <v>1674</v>
      </c>
      <c r="E415" s="32" t="s">
        <v>1712</v>
      </c>
      <c r="F415" s="32" t="s">
        <v>1714</v>
      </c>
      <c r="G415" s="33" t="s">
        <v>1063</v>
      </c>
      <c r="H415" s="34">
        <v>4</v>
      </c>
      <c r="I415" s="34">
        <v>7</v>
      </c>
      <c r="J415" s="34">
        <v>13</v>
      </c>
      <c r="K415" s="34">
        <v>22</v>
      </c>
      <c r="L415" s="220">
        <f t="shared" si="15"/>
        <v>46</v>
      </c>
    </row>
    <row r="416" spans="1:12" x14ac:dyDescent="0.35">
      <c r="A416" s="287"/>
      <c r="B416" s="287"/>
      <c r="C416" s="34" t="s">
        <v>1623</v>
      </c>
      <c r="D416" s="32" t="s">
        <v>1674</v>
      </c>
      <c r="E416" s="32" t="s">
        <v>1712</v>
      </c>
      <c r="F416" s="32" t="s">
        <v>1713</v>
      </c>
      <c r="G416" s="33" t="s">
        <v>1064</v>
      </c>
      <c r="H416" s="34">
        <v>14</v>
      </c>
      <c r="I416" s="34">
        <v>16</v>
      </c>
      <c r="J416" s="34">
        <v>39</v>
      </c>
      <c r="K416" s="34">
        <v>41</v>
      </c>
      <c r="L416" s="220">
        <f t="shared" si="15"/>
        <v>110</v>
      </c>
    </row>
    <row r="417" spans="1:12" x14ac:dyDescent="0.35">
      <c r="A417" s="287"/>
      <c r="B417" s="287"/>
      <c r="C417" s="34" t="s">
        <v>1623</v>
      </c>
      <c r="D417" s="32" t="s">
        <v>1674</v>
      </c>
      <c r="E417" s="32" t="s">
        <v>1712</v>
      </c>
      <c r="F417" s="32" t="s">
        <v>1713</v>
      </c>
      <c r="G417" s="33" t="s">
        <v>1037</v>
      </c>
      <c r="H417" s="34">
        <v>10</v>
      </c>
      <c r="I417" s="34">
        <v>13</v>
      </c>
      <c r="J417" s="34">
        <v>19</v>
      </c>
      <c r="K417" s="34">
        <v>27</v>
      </c>
      <c r="L417" s="220">
        <f t="shared" si="15"/>
        <v>69</v>
      </c>
    </row>
    <row r="418" spans="1:12" x14ac:dyDescent="0.35">
      <c r="A418" s="52"/>
      <c r="B418" s="52"/>
      <c r="C418" s="52"/>
      <c r="D418" s="52"/>
      <c r="E418" s="52"/>
      <c r="F418" s="52"/>
      <c r="G418" s="52" t="s">
        <v>2</v>
      </c>
      <c r="H418" s="53">
        <f t="shared" ref="H418:K418" si="16">SUM(H387:H417)</f>
        <v>290</v>
      </c>
      <c r="I418" s="53">
        <f t="shared" si="16"/>
        <v>322</v>
      </c>
      <c r="J418" s="53">
        <f t="shared" si="16"/>
        <v>758</v>
      </c>
      <c r="K418" s="53">
        <f t="shared" si="16"/>
        <v>820</v>
      </c>
      <c r="L418" s="225">
        <f t="shared" si="15"/>
        <v>2190</v>
      </c>
    </row>
    <row r="419" spans="1:12" x14ac:dyDescent="0.35">
      <c r="A419" s="287">
        <v>11</v>
      </c>
      <c r="B419" s="287" t="s">
        <v>1874</v>
      </c>
      <c r="C419" s="34" t="s">
        <v>1623</v>
      </c>
      <c r="D419" s="32" t="s">
        <v>1674</v>
      </c>
      <c r="E419" s="32" t="s">
        <v>1676</v>
      </c>
      <c r="F419" s="32" t="s">
        <v>1677</v>
      </c>
      <c r="G419" s="33" t="s">
        <v>1065</v>
      </c>
      <c r="H419" s="34">
        <v>7</v>
      </c>
      <c r="I419" s="34">
        <v>18</v>
      </c>
      <c r="J419" s="34">
        <v>22</v>
      </c>
      <c r="K419" s="34">
        <v>30</v>
      </c>
      <c r="L419" s="220">
        <f t="shared" si="15"/>
        <v>77</v>
      </c>
    </row>
    <row r="420" spans="1:12" x14ac:dyDescent="0.35">
      <c r="A420" s="287"/>
      <c r="B420" s="287"/>
      <c r="C420" s="34" t="s">
        <v>1623</v>
      </c>
      <c r="D420" s="32" t="s">
        <v>1674</v>
      </c>
      <c r="E420" s="32" t="s">
        <v>1676</v>
      </c>
      <c r="F420" s="32" t="s">
        <v>1677</v>
      </c>
      <c r="G420" s="33" t="s">
        <v>1066</v>
      </c>
      <c r="H420" s="34">
        <v>6</v>
      </c>
      <c r="I420" s="34">
        <v>4</v>
      </c>
      <c r="J420" s="34">
        <v>24</v>
      </c>
      <c r="K420" s="34">
        <v>25</v>
      </c>
      <c r="L420" s="220">
        <f t="shared" si="15"/>
        <v>59</v>
      </c>
    </row>
    <row r="421" spans="1:12" x14ac:dyDescent="0.35">
      <c r="A421" s="287"/>
      <c r="B421" s="287"/>
      <c r="C421" s="34" t="s">
        <v>1623</v>
      </c>
      <c r="D421" s="32" t="s">
        <v>1674</v>
      </c>
      <c r="E421" s="32" t="s">
        <v>1676</v>
      </c>
      <c r="F421" s="32" t="s">
        <v>1677</v>
      </c>
      <c r="G421" s="33" t="s">
        <v>1067</v>
      </c>
      <c r="H421" s="34">
        <v>5</v>
      </c>
      <c r="I421" s="34">
        <v>8</v>
      </c>
      <c r="J421" s="34">
        <v>34</v>
      </c>
      <c r="K421" s="34">
        <v>31</v>
      </c>
      <c r="L421" s="220">
        <f t="shared" si="15"/>
        <v>78</v>
      </c>
    </row>
    <row r="422" spans="1:12" x14ac:dyDescent="0.35">
      <c r="A422" s="287"/>
      <c r="B422" s="287"/>
      <c r="C422" s="34" t="s">
        <v>1623</v>
      </c>
      <c r="D422" s="32" t="s">
        <v>1674</v>
      </c>
      <c r="E422" s="32" t="s">
        <v>1676</v>
      </c>
      <c r="F422" s="32" t="s">
        <v>1720</v>
      </c>
      <c r="G422" s="33" t="s">
        <v>1068</v>
      </c>
      <c r="H422" s="34">
        <v>2</v>
      </c>
      <c r="I422" s="34">
        <v>0</v>
      </c>
      <c r="J422" s="34">
        <v>12</v>
      </c>
      <c r="K422" s="34">
        <v>15</v>
      </c>
      <c r="L422" s="220">
        <f t="shared" si="15"/>
        <v>29</v>
      </c>
    </row>
    <row r="423" spans="1:12" x14ac:dyDescent="0.35">
      <c r="A423" s="287"/>
      <c r="B423" s="287"/>
      <c r="C423" s="34" t="s">
        <v>1623</v>
      </c>
      <c r="D423" s="32" t="s">
        <v>1674</v>
      </c>
      <c r="E423" s="32" t="s">
        <v>1676</v>
      </c>
      <c r="F423" s="32" t="s">
        <v>1677</v>
      </c>
      <c r="G423" s="33" t="s">
        <v>1069</v>
      </c>
      <c r="H423" s="34">
        <v>2</v>
      </c>
      <c r="I423" s="34">
        <v>3</v>
      </c>
      <c r="J423" s="34">
        <v>4</v>
      </c>
      <c r="K423" s="34">
        <v>6</v>
      </c>
      <c r="L423" s="220">
        <f t="shared" si="15"/>
        <v>15</v>
      </c>
    </row>
    <row r="424" spans="1:12" x14ac:dyDescent="0.35">
      <c r="A424" s="287"/>
      <c r="B424" s="287"/>
      <c r="C424" s="34" t="s">
        <v>1623</v>
      </c>
      <c r="D424" s="32" t="s">
        <v>1674</v>
      </c>
      <c r="E424" s="32" t="s">
        <v>1676</v>
      </c>
      <c r="F424" s="32" t="s">
        <v>1677</v>
      </c>
      <c r="G424" s="33" t="s">
        <v>1070</v>
      </c>
      <c r="H424" s="34">
        <v>3</v>
      </c>
      <c r="I424" s="34">
        <v>5</v>
      </c>
      <c r="J424" s="34">
        <v>23</v>
      </c>
      <c r="K424" s="34">
        <v>21</v>
      </c>
      <c r="L424" s="220">
        <f t="shared" si="15"/>
        <v>52</v>
      </c>
    </row>
    <row r="425" spans="1:12" x14ac:dyDescent="0.35">
      <c r="A425" s="287"/>
      <c r="B425" s="287"/>
      <c r="C425" s="34" t="s">
        <v>1623</v>
      </c>
      <c r="D425" s="32" t="s">
        <v>1674</v>
      </c>
      <c r="E425" s="32" t="s">
        <v>1676</v>
      </c>
      <c r="F425" s="32" t="s">
        <v>1677</v>
      </c>
      <c r="G425" s="33" t="s">
        <v>1071</v>
      </c>
      <c r="H425" s="34">
        <v>6</v>
      </c>
      <c r="I425" s="34">
        <v>8</v>
      </c>
      <c r="J425" s="34">
        <v>14</v>
      </c>
      <c r="K425" s="34">
        <v>18</v>
      </c>
      <c r="L425" s="220">
        <f t="shared" si="15"/>
        <v>46</v>
      </c>
    </row>
    <row r="426" spans="1:12" x14ac:dyDescent="0.35">
      <c r="A426" s="287"/>
      <c r="B426" s="287"/>
      <c r="C426" s="34" t="s">
        <v>1623</v>
      </c>
      <c r="D426" s="32" t="s">
        <v>1674</v>
      </c>
      <c r="E426" s="32" t="s">
        <v>1676</v>
      </c>
      <c r="F426" s="32" t="s">
        <v>1720</v>
      </c>
      <c r="G426" s="33" t="s">
        <v>1072</v>
      </c>
      <c r="H426" s="34">
        <v>7</v>
      </c>
      <c r="I426" s="34">
        <v>9</v>
      </c>
      <c r="J426" s="34">
        <v>26</v>
      </c>
      <c r="K426" s="34">
        <v>25</v>
      </c>
      <c r="L426" s="220">
        <f t="shared" si="15"/>
        <v>67</v>
      </c>
    </row>
    <row r="427" spans="1:12" x14ac:dyDescent="0.35">
      <c r="A427" s="287"/>
      <c r="B427" s="287"/>
      <c r="C427" s="34" t="s">
        <v>1623</v>
      </c>
      <c r="D427" s="32" t="s">
        <v>1674</v>
      </c>
      <c r="E427" s="32" t="s">
        <v>1676</v>
      </c>
      <c r="F427" s="32" t="s">
        <v>1720</v>
      </c>
      <c r="G427" s="33" t="s">
        <v>1073</v>
      </c>
      <c r="H427" s="34">
        <v>3</v>
      </c>
      <c r="I427" s="34">
        <v>8</v>
      </c>
      <c r="J427" s="34">
        <v>32</v>
      </c>
      <c r="K427" s="34">
        <v>30</v>
      </c>
      <c r="L427" s="220">
        <f t="shared" si="15"/>
        <v>73</v>
      </c>
    </row>
    <row r="428" spans="1:12" x14ac:dyDescent="0.35">
      <c r="A428" s="287"/>
      <c r="B428" s="287"/>
      <c r="C428" s="34" t="s">
        <v>1623</v>
      </c>
      <c r="D428" s="32" t="s">
        <v>1674</v>
      </c>
      <c r="E428" s="32" t="s">
        <v>1676</v>
      </c>
      <c r="F428" s="32" t="s">
        <v>1677</v>
      </c>
      <c r="G428" s="33" t="s">
        <v>1074</v>
      </c>
      <c r="H428" s="34">
        <v>2</v>
      </c>
      <c r="I428" s="34">
        <v>2</v>
      </c>
      <c r="J428" s="34">
        <v>9</v>
      </c>
      <c r="K428" s="34">
        <v>8</v>
      </c>
      <c r="L428" s="220">
        <f t="shared" si="15"/>
        <v>21</v>
      </c>
    </row>
    <row r="429" spans="1:12" x14ac:dyDescent="0.35">
      <c r="A429" s="287"/>
      <c r="B429" s="287"/>
      <c r="C429" s="34" t="s">
        <v>1623</v>
      </c>
      <c r="D429" s="32" t="s">
        <v>1674</v>
      </c>
      <c r="E429" s="32" t="s">
        <v>1676</v>
      </c>
      <c r="F429" s="32" t="s">
        <v>1720</v>
      </c>
      <c r="G429" s="33" t="s">
        <v>1075</v>
      </c>
      <c r="H429" s="34">
        <v>9</v>
      </c>
      <c r="I429" s="34">
        <v>6</v>
      </c>
      <c r="J429" s="34">
        <v>23</v>
      </c>
      <c r="K429" s="34">
        <v>29</v>
      </c>
      <c r="L429" s="220">
        <f t="shared" si="15"/>
        <v>67</v>
      </c>
    </row>
    <row r="430" spans="1:12" x14ac:dyDescent="0.35">
      <c r="A430" s="287"/>
      <c r="B430" s="287"/>
      <c r="C430" s="34" t="s">
        <v>1623</v>
      </c>
      <c r="D430" s="32" t="s">
        <v>1674</v>
      </c>
      <c r="E430" s="32" t="s">
        <v>1676</v>
      </c>
      <c r="F430" s="32" t="s">
        <v>1720</v>
      </c>
      <c r="G430" s="33" t="s">
        <v>1076</v>
      </c>
      <c r="H430" s="34">
        <v>6</v>
      </c>
      <c r="I430" s="34">
        <v>5</v>
      </c>
      <c r="J430" s="34">
        <v>26</v>
      </c>
      <c r="K430" s="34">
        <v>25</v>
      </c>
      <c r="L430" s="220">
        <f t="shared" si="15"/>
        <v>62</v>
      </c>
    </row>
    <row r="431" spans="1:12" x14ac:dyDescent="0.35">
      <c r="A431" s="287"/>
      <c r="B431" s="287"/>
      <c r="C431" s="34" t="s">
        <v>1623</v>
      </c>
      <c r="D431" s="32" t="s">
        <v>1674</v>
      </c>
      <c r="E431" s="32" t="s">
        <v>1676</v>
      </c>
      <c r="F431" s="32" t="s">
        <v>1677</v>
      </c>
      <c r="G431" s="33" t="s">
        <v>1077</v>
      </c>
      <c r="H431" s="34">
        <v>5</v>
      </c>
      <c r="I431" s="34">
        <v>6</v>
      </c>
      <c r="J431" s="34">
        <v>12</v>
      </c>
      <c r="K431" s="34">
        <v>11</v>
      </c>
      <c r="L431" s="220">
        <f t="shared" si="15"/>
        <v>34</v>
      </c>
    </row>
    <row r="432" spans="1:12" x14ac:dyDescent="0.35">
      <c r="A432" s="287"/>
      <c r="B432" s="287"/>
      <c r="C432" s="34" t="s">
        <v>1623</v>
      </c>
      <c r="D432" s="32" t="s">
        <v>1674</v>
      </c>
      <c r="E432" s="32" t="s">
        <v>1676</v>
      </c>
      <c r="F432" s="32" t="s">
        <v>1677</v>
      </c>
      <c r="G432" s="33" t="s">
        <v>1078</v>
      </c>
      <c r="H432" s="34">
        <v>5</v>
      </c>
      <c r="I432" s="34">
        <v>5</v>
      </c>
      <c r="J432" s="34">
        <v>11</v>
      </c>
      <c r="K432" s="34">
        <v>14</v>
      </c>
      <c r="L432" s="220">
        <f t="shared" si="15"/>
        <v>35</v>
      </c>
    </row>
    <row r="433" spans="1:12" x14ac:dyDescent="0.35">
      <c r="A433" s="287"/>
      <c r="B433" s="287"/>
      <c r="C433" s="34" t="s">
        <v>1623</v>
      </c>
      <c r="D433" s="32" t="s">
        <v>1674</v>
      </c>
      <c r="E433" s="32" t="s">
        <v>1676</v>
      </c>
      <c r="F433" s="32" t="s">
        <v>1720</v>
      </c>
      <c r="G433" s="33" t="s">
        <v>1079</v>
      </c>
      <c r="H433" s="34">
        <v>2</v>
      </c>
      <c r="I433" s="34">
        <v>4</v>
      </c>
      <c r="J433" s="34">
        <v>6</v>
      </c>
      <c r="K433" s="34">
        <v>9</v>
      </c>
      <c r="L433" s="220">
        <f t="shared" si="15"/>
        <v>21</v>
      </c>
    </row>
    <row r="434" spans="1:12" x14ac:dyDescent="0.35">
      <c r="A434" s="287"/>
      <c r="B434" s="287"/>
      <c r="C434" s="34" t="s">
        <v>1623</v>
      </c>
      <c r="D434" s="32" t="s">
        <v>1674</v>
      </c>
      <c r="E434" s="32" t="s">
        <v>1676</v>
      </c>
      <c r="F434" s="32" t="s">
        <v>1677</v>
      </c>
      <c r="G434" s="33" t="s">
        <v>862</v>
      </c>
      <c r="H434" s="34">
        <v>6</v>
      </c>
      <c r="I434" s="34">
        <v>2</v>
      </c>
      <c r="J434" s="34">
        <v>16</v>
      </c>
      <c r="K434" s="34">
        <v>10</v>
      </c>
      <c r="L434" s="220">
        <f t="shared" si="15"/>
        <v>34</v>
      </c>
    </row>
    <row r="435" spans="1:12" x14ac:dyDescent="0.35">
      <c r="A435" s="287"/>
      <c r="B435" s="287"/>
      <c r="C435" s="34" t="s">
        <v>1623</v>
      </c>
      <c r="D435" s="32" t="s">
        <v>1674</v>
      </c>
      <c r="E435" s="32" t="s">
        <v>1676</v>
      </c>
      <c r="F435" s="32" t="s">
        <v>1677</v>
      </c>
      <c r="G435" s="33" t="s">
        <v>704</v>
      </c>
      <c r="H435" s="34">
        <v>4</v>
      </c>
      <c r="I435" s="34">
        <v>4</v>
      </c>
      <c r="J435" s="34">
        <v>21</v>
      </c>
      <c r="K435" s="34">
        <v>18</v>
      </c>
      <c r="L435" s="220">
        <f t="shared" si="15"/>
        <v>47</v>
      </c>
    </row>
    <row r="436" spans="1:12" x14ac:dyDescent="0.35">
      <c r="A436" s="287"/>
      <c r="B436" s="287"/>
      <c r="C436" s="34" t="s">
        <v>1623</v>
      </c>
      <c r="D436" s="32" t="s">
        <v>1674</v>
      </c>
      <c r="E436" s="32" t="s">
        <v>1676</v>
      </c>
      <c r="F436" s="32" t="s">
        <v>1677</v>
      </c>
      <c r="G436" s="33" t="s">
        <v>1080</v>
      </c>
      <c r="H436" s="34">
        <v>8</v>
      </c>
      <c r="I436" s="34">
        <v>7</v>
      </c>
      <c r="J436" s="34">
        <v>10</v>
      </c>
      <c r="K436" s="34">
        <v>11</v>
      </c>
      <c r="L436" s="220">
        <f t="shared" si="15"/>
        <v>36</v>
      </c>
    </row>
    <row r="437" spans="1:12" x14ac:dyDescent="0.35">
      <c r="A437" s="287"/>
      <c r="B437" s="287"/>
      <c r="C437" s="34" t="s">
        <v>1623</v>
      </c>
      <c r="D437" s="32" t="s">
        <v>1674</v>
      </c>
      <c r="E437" s="32" t="s">
        <v>1676</v>
      </c>
      <c r="F437" s="32" t="s">
        <v>1677</v>
      </c>
      <c r="G437" s="33" t="s">
        <v>758</v>
      </c>
      <c r="H437" s="34">
        <v>5</v>
      </c>
      <c r="I437" s="34">
        <v>5</v>
      </c>
      <c r="J437" s="34">
        <v>20</v>
      </c>
      <c r="K437" s="34">
        <v>19</v>
      </c>
      <c r="L437" s="220">
        <f t="shared" si="15"/>
        <v>49</v>
      </c>
    </row>
    <row r="438" spans="1:12" x14ac:dyDescent="0.35">
      <c r="A438" s="287"/>
      <c r="B438" s="287"/>
      <c r="C438" s="34" t="s">
        <v>1623</v>
      </c>
      <c r="D438" s="32" t="s">
        <v>1674</v>
      </c>
      <c r="E438" s="32" t="s">
        <v>1676</v>
      </c>
      <c r="F438" s="32" t="s">
        <v>1720</v>
      </c>
      <c r="G438" s="33" t="s">
        <v>1081</v>
      </c>
      <c r="H438" s="34">
        <v>11</v>
      </c>
      <c r="I438" s="34">
        <v>9</v>
      </c>
      <c r="J438" s="34">
        <v>17</v>
      </c>
      <c r="K438" s="34">
        <v>13</v>
      </c>
      <c r="L438" s="220">
        <f t="shared" si="15"/>
        <v>50</v>
      </c>
    </row>
    <row r="439" spans="1:12" x14ac:dyDescent="0.35">
      <c r="A439" s="287"/>
      <c r="B439" s="287"/>
      <c r="C439" s="34" t="s">
        <v>1623</v>
      </c>
      <c r="D439" s="32" t="s">
        <v>1674</v>
      </c>
      <c r="E439" s="32" t="s">
        <v>1676</v>
      </c>
      <c r="F439" s="32" t="s">
        <v>1677</v>
      </c>
      <c r="G439" s="33" t="s">
        <v>1082</v>
      </c>
      <c r="H439" s="34">
        <v>8</v>
      </c>
      <c r="I439" s="34">
        <v>10</v>
      </c>
      <c r="J439" s="34">
        <v>15</v>
      </c>
      <c r="K439" s="34">
        <v>17</v>
      </c>
      <c r="L439" s="220">
        <f t="shared" si="15"/>
        <v>50</v>
      </c>
    </row>
    <row r="440" spans="1:12" x14ac:dyDescent="0.35">
      <c r="A440" s="287"/>
      <c r="B440" s="287"/>
      <c r="C440" s="34" t="s">
        <v>1623</v>
      </c>
      <c r="D440" s="32" t="s">
        <v>1674</v>
      </c>
      <c r="E440" s="32" t="s">
        <v>1676</v>
      </c>
      <c r="F440" s="32" t="s">
        <v>1677</v>
      </c>
      <c r="G440" s="33" t="s">
        <v>1083</v>
      </c>
      <c r="H440" s="34">
        <v>3</v>
      </c>
      <c r="I440" s="34">
        <v>1</v>
      </c>
      <c r="J440" s="34">
        <v>7</v>
      </c>
      <c r="K440" s="34">
        <v>13</v>
      </c>
      <c r="L440" s="220">
        <f t="shared" si="15"/>
        <v>24</v>
      </c>
    </row>
    <row r="441" spans="1:12" x14ac:dyDescent="0.35">
      <c r="A441" s="287"/>
      <c r="B441" s="287"/>
      <c r="C441" s="34" t="s">
        <v>1623</v>
      </c>
      <c r="D441" s="32" t="s">
        <v>1674</v>
      </c>
      <c r="E441" s="32" t="s">
        <v>1676</v>
      </c>
      <c r="F441" s="32" t="s">
        <v>1677</v>
      </c>
      <c r="G441" s="33" t="s">
        <v>797</v>
      </c>
      <c r="H441" s="34">
        <v>2</v>
      </c>
      <c r="I441" s="34">
        <v>4</v>
      </c>
      <c r="J441" s="34">
        <v>6</v>
      </c>
      <c r="K441" s="34">
        <v>9</v>
      </c>
      <c r="L441" s="220">
        <f t="shared" si="15"/>
        <v>21</v>
      </c>
    </row>
    <row r="442" spans="1:12" x14ac:dyDescent="0.35">
      <c r="A442" s="287"/>
      <c r="B442" s="287"/>
      <c r="C442" s="34" t="s">
        <v>1623</v>
      </c>
      <c r="D442" s="32" t="s">
        <v>1674</v>
      </c>
      <c r="E442" s="32" t="s">
        <v>1676</v>
      </c>
      <c r="F442" s="32" t="s">
        <v>1720</v>
      </c>
      <c r="G442" s="33" t="s">
        <v>1084</v>
      </c>
      <c r="H442" s="34">
        <v>7</v>
      </c>
      <c r="I442" s="34">
        <v>12</v>
      </c>
      <c r="J442" s="34">
        <v>12</v>
      </c>
      <c r="K442" s="34">
        <v>13</v>
      </c>
      <c r="L442" s="220">
        <f t="shared" si="15"/>
        <v>44</v>
      </c>
    </row>
    <row r="443" spans="1:12" x14ac:dyDescent="0.35">
      <c r="A443" s="287"/>
      <c r="B443" s="287"/>
      <c r="C443" s="34" t="s">
        <v>1623</v>
      </c>
      <c r="D443" s="32" t="s">
        <v>1674</v>
      </c>
      <c r="E443" s="32" t="s">
        <v>1676</v>
      </c>
      <c r="F443" s="32" t="s">
        <v>1677</v>
      </c>
      <c r="G443" s="33" t="s">
        <v>1085</v>
      </c>
      <c r="H443" s="34">
        <v>7</v>
      </c>
      <c r="I443" s="34">
        <v>8</v>
      </c>
      <c r="J443" s="34">
        <v>9</v>
      </c>
      <c r="K443" s="34">
        <v>14</v>
      </c>
      <c r="L443" s="220">
        <f t="shared" si="15"/>
        <v>38</v>
      </c>
    </row>
    <row r="444" spans="1:12" x14ac:dyDescent="0.35">
      <c r="A444" s="287"/>
      <c r="B444" s="287"/>
      <c r="C444" s="34" t="s">
        <v>1623</v>
      </c>
      <c r="D444" s="32" t="s">
        <v>1674</v>
      </c>
      <c r="E444" s="32" t="s">
        <v>1676</v>
      </c>
      <c r="F444" s="32" t="s">
        <v>1677</v>
      </c>
      <c r="G444" s="33" t="s">
        <v>1086</v>
      </c>
      <c r="H444" s="34">
        <v>5</v>
      </c>
      <c r="I444" s="34">
        <v>6</v>
      </c>
      <c r="J444" s="34">
        <v>5</v>
      </c>
      <c r="K444" s="34">
        <v>6</v>
      </c>
      <c r="L444" s="220">
        <f t="shared" si="15"/>
        <v>22</v>
      </c>
    </row>
    <row r="445" spans="1:12" x14ac:dyDescent="0.35">
      <c r="A445" s="287"/>
      <c r="B445" s="287"/>
      <c r="C445" s="34" t="s">
        <v>1623</v>
      </c>
      <c r="D445" s="32" t="s">
        <v>1674</v>
      </c>
      <c r="E445" s="32" t="s">
        <v>1676</v>
      </c>
      <c r="F445" s="32" t="s">
        <v>1677</v>
      </c>
      <c r="G445" s="33" t="s">
        <v>1087</v>
      </c>
      <c r="H445" s="34">
        <v>4</v>
      </c>
      <c r="I445" s="34">
        <v>6</v>
      </c>
      <c r="J445" s="34">
        <v>16</v>
      </c>
      <c r="K445" s="34">
        <v>13</v>
      </c>
      <c r="L445" s="220">
        <f t="shared" si="15"/>
        <v>39</v>
      </c>
    </row>
    <row r="446" spans="1:12" x14ac:dyDescent="0.35">
      <c r="A446" s="287"/>
      <c r="B446" s="287"/>
      <c r="C446" s="34" t="s">
        <v>1623</v>
      </c>
      <c r="D446" s="32" t="s">
        <v>1674</v>
      </c>
      <c r="E446" s="32" t="s">
        <v>1676</v>
      </c>
      <c r="F446" s="32" t="s">
        <v>1720</v>
      </c>
      <c r="G446" s="33" t="s">
        <v>1088</v>
      </c>
      <c r="H446" s="34">
        <v>10</v>
      </c>
      <c r="I446" s="34">
        <v>11</v>
      </c>
      <c r="J446" s="34">
        <v>25</v>
      </c>
      <c r="K446" s="34">
        <v>18</v>
      </c>
      <c r="L446" s="220">
        <f t="shared" si="15"/>
        <v>64</v>
      </c>
    </row>
    <row r="447" spans="1:12" x14ac:dyDescent="0.35">
      <c r="A447" s="287"/>
      <c r="B447" s="287"/>
      <c r="C447" s="34" t="s">
        <v>1623</v>
      </c>
      <c r="D447" s="32" t="s">
        <v>1674</v>
      </c>
      <c r="E447" s="32" t="s">
        <v>1676</v>
      </c>
      <c r="F447" s="32" t="s">
        <v>1720</v>
      </c>
      <c r="G447" s="33" t="s">
        <v>717</v>
      </c>
      <c r="H447" s="34">
        <v>11</v>
      </c>
      <c r="I447" s="34">
        <v>7</v>
      </c>
      <c r="J447" s="34">
        <v>26</v>
      </c>
      <c r="K447" s="34">
        <v>26</v>
      </c>
      <c r="L447" s="220">
        <f t="shared" si="15"/>
        <v>70</v>
      </c>
    </row>
    <row r="448" spans="1:12" x14ac:dyDescent="0.35">
      <c r="A448" s="52"/>
      <c r="B448" s="52"/>
      <c r="C448" s="52"/>
      <c r="D448" s="52"/>
      <c r="E448" s="52"/>
      <c r="F448" s="52"/>
      <c r="G448" s="52" t="s">
        <v>2</v>
      </c>
      <c r="H448" s="53">
        <f t="shared" ref="H448:K448" si="17">SUM(H419:H447)</f>
        <v>161</v>
      </c>
      <c r="I448" s="53">
        <f t="shared" si="17"/>
        <v>183</v>
      </c>
      <c r="J448" s="53">
        <f t="shared" si="17"/>
        <v>483</v>
      </c>
      <c r="K448" s="53">
        <f t="shared" si="17"/>
        <v>497</v>
      </c>
      <c r="L448" s="225">
        <f t="shared" si="15"/>
        <v>1324</v>
      </c>
    </row>
    <row r="449" spans="1:12" x14ac:dyDescent="0.35">
      <c r="A449" s="287">
        <v>12</v>
      </c>
      <c r="B449" s="287" t="s">
        <v>1884</v>
      </c>
      <c r="C449" s="34" t="s">
        <v>1623</v>
      </c>
      <c r="D449" s="32" t="s">
        <v>1674</v>
      </c>
      <c r="E449" s="32" t="s">
        <v>1676</v>
      </c>
      <c r="F449" s="32" t="s">
        <v>1721</v>
      </c>
      <c r="G449" s="33" t="s">
        <v>1090</v>
      </c>
      <c r="H449" s="34">
        <v>34</v>
      </c>
      <c r="I449" s="34">
        <v>36</v>
      </c>
      <c r="J449" s="34">
        <v>67</v>
      </c>
      <c r="K449" s="34">
        <v>49</v>
      </c>
      <c r="L449" s="220">
        <f t="shared" si="15"/>
        <v>186</v>
      </c>
    </row>
    <row r="450" spans="1:12" x14ac:dyDescent="0.35">
      <c r="A450" s="287"/>
      <c r="B450" s="287"/>
      <c r="C450" s="34" t="s">
        <v>1623</v>
      </c>
      <c r="D450" s="32" t="s">
        <v>1674</v>
      </c>
      <c r="E450" s="32" t="s">
        <v>1676</v>
      </c>
      <c r="F450" s="32" t="s">
        <v>237</v>
      </c>
      <c r="G450" s="33" t="s">
        <v>1091</v>
      </c>
      <c r="H450" s="34">
        <v>50</v>
      </c>
      <c r="I450" s="34">
        <v>50</v>
      </c>
      <c r="J450" s="34">
        <v>65</v>
      </c>
      <c r="K450" s="34">
        <v>85</v>
      </c>
      <c r="L450" s="220">
        <f t="shared" si="15"/>
        <v>250</v>
      </c>
    </row>
    <row r="451" spans="1:12" x14ac:dyDescent="0.35">
      <c r="A451" s="287"/>
      <c r="B451" s="287"/>
      <c r="C451" s="34" t="s">
        <v>1623</v>
      </c>
      <c r="D451" s="32" t="s">
        <v>1674</v>
      </c>
      <c r="E451" s="32" t="s">
        <v>1676</v>
      </c>
      <c r="F451" s="32" t="s">
        <v>1721</v>
      </c>
      <c r="G451" s="33" t="s">
        <v>1089</v>
      </c>
      <c r="H451" s="34">
        <v>24</v>
      </c>
      <c r="I451" s="34">
        <v>16</v>
      </c>
      <c r="J451" s="34">
        <v>70</v>
      </c>
      <c r="K451" s="34">
        <v>70</v>
      </c>
      <c r="L451" s="220">
        <f t="shared" si="15"/>
        <v>180</v>
      </c>
    </row>
    <row r="452" spans="1:12" x14ac:dyDescent="0.35">
      <c r="A452" s="287"/>
      <c r="B452" s="287"/>
      <c r="C452" s="34" t="s">
        <v>1623</v>
      </c>
      <c r="D452" s="32" t="s">
        <v>1674</v>
      </c>
      <c r="E452" s="32" t="s">
        <v>1676</v>
      </c>
      <c r="F452" s="32" t="s">
        <v>1721</v>
      </c>
      <c r="G452" s="33" t="s">
        <v>1092</v>
      </c>
      <c r="H452" s="34">
        <v>12</v>
      </c>
      <c r="I452" s="34">
        <v>15</v>
      </c>
      <c r="J452" s="34">
        <v>55</v>
      </c>
      <c r="K452" s="34">
        <v>45</v>
      </c>
      <c r="L452" s="220">
        <f t="shared" si="15"/>
        <v>127</v>
      </c>
    </row>
    <row r="453" spans="1:12" x14ac:dyDescent="0.35">
      <c r="A453" s="287"/>
      <c r="B453" s="287"/>
      <c r="C453" s="34" t="s">
        <v>1623</v>
      </c>
      <c r="D453" s="32" t="s">
        <v>1674</v>
      </c>
      <c r="E453" s="32" t="s">
        <v>1676</v>
      </c>
      <c r="F453" s="32" t="s">
        <v>1721</v>
      </c>
      <c r="G453" s="33" t="s">
        <v>1093</v>
      </c>
      <c r="H453" s="34">
        <v>27</v>
      </c>
      <c r="I453" s="34">
        <v>23</v>
      </c>
      <c r="J453" s="34">
        <v>47</v>
      </c>
      <c r="K453" s="34">
        <v>53</v>
      </c>
      <c r="L453" s="220">
        <f t="shared" si="15"/>
        <v>150</v>
      </c>
    </row>
    <row r="454" spans="1:12" x14ac:dyDescent="0.35">
      <c r="A454" s="287"/>
      <c r="B454" s="287"/>
      <c r="C454" s="34" t="s">
        <v>1623</v>
      </c>
      <c r="D454" s="32" t="s">
        <v>1674</v>
      </c>
      <c r="E454" s="32" t="s">
        <v>1709</v>
      </c>
      <c r="F454" s="32" t="s">
        <v>1711</v>
      </c>
      <c r="G454" s="33" t="s">
        <v>1027</v>
      </c>
      <c r="H454" s="34">
        <v>43</v>
      </c>
      <c r="I454" s="34">
        <v>57</v>
      </c>
      <c r="J454" s="34">
        <v>67</v>
      </c>
      <c r="K454" s="34">
        <v>83</v>
      </c>
      <c r="L454" s="220">
        <f t="shared" ref="L454:L466" si="18">H454+I454+J454+K454</f>
        <v>250</v>
      </c>
    </row>
    <row r="455" spans="1:12" x14ac:dyDescent="0.35">
      <c r="A455" s="287"/>
      <c r="B455" s="287"/>
      <c r="C455" s="34" t="s">
        <v>1623</v>
      </c>
      <c r="D455" s="32" t="s">
        <v>1674</v>
      </c>
      <c r="E455" s="32" t="s">
        <v>1676</v>
      </c>
      <c r="F455" s="32" t="s">
        <v>1721</v>
      </c>
      <c r="G455" s="33" t="s">
        <v>714</v>
      </c>
      <c r="H455" s="34">
        <v>23</v>
      </c>
      <c r="I455" s="34">
        <v>27</v>
      </c>
      <c r="J455" s="34">
        <v>71</v>
      </c>
      <c r="K455" s="34">
        <v>79</v>
      </c>
      <c r="L455" s="220">
        <f t="shared" si="18"/>
        <v>200</v>
      </c>
    </row>
    <row r="456" spans="1:12" x14ac:dyDescent="0.35">
      <c r="A456" s="287"/>
      <c r="B456" s="287"/>
      <c r="C456" s="34" t="s">
        <v>1623</v>
      </c>
      <c r="D456" s="32" t="s">
        <v>1674</v>
      </c>
      <c r="E456" s="32" t="s">
        <v>1676</v>
      </c>
      <c r="F456" s="32" t="s">
        <v>1721</v>
      </c>
      <c r="G456" s="33" t="s">
        <v>1094</v>
      </c>
      <c r="H456" s="34">
        <v>27</v>
      </c>
      <c r="I456" s="34">
        <v>23</v>
      </c>
      <c r="J456" s="34">
        <v>57</v>
      </c>
      <c r="K456" s="34">
        <v>43</v>
      </c>
      <c r="L456" s="220">
        <f t="shared" si="18"/>
        <v>150</v>
      </c>
    </row>
    <row r="457" spans="1:12" x14ac:dyDescent="0.35">
      <c r="A457" s="287"/>
      <c r="B457" s="287"/>
      <c r="C457" s="34" t="s">
        <v>1623</v>
      </c>
      <c r="D457" s="32" t="s">
        <v>1674</v>
      </c>
      <c r="E457" s="32" t="s">
        <v>1676</v>
      </c>
      <c r="F457" s="32" t="s">
        <v>237</v>
      </c>
      <c r="G457" s="33" t="s">
        <v>1095</v>
      </c>
      <c r="H457" s="34">
        <v>56</v>
      </c>
      <c r="I457" s="34">
        <v>44</v>
      </c>
      <c r="J457" s="34">
        <v>72</v>
      </c>
      <c r="K457" s="34">
        <v>62</v>
      </c>
      <c r="L457" s="220">
        <f t="shared" si="18"/>
        <v>234</v>
      </c>
    </row>
    <row r="458" spans="1:12" x14ac:dyDescent="0.35">
      <c r="A458" s="287"/>
      <c r="B458" s="287"/>
      <c r="C458" s="34" t="s">
        <v>1623</v>
      </c>
      <c r="D458" s="32" t="s">
        <v>1674</v>
      </c>
      <c r="E458" s="32" t="s">
        <v>1676</v>
      </c>
      <c r="F458" s="32" t="s">
        <v>237</v>
      </c>
      <c r="G458" s="33" t="s">
        <v>1096</v>
      </c>
      <c r="H458" s="34">
        <v>10</v>
      </c>
      <c r="I458" s="34">
        <v>11</v>
      </c>
      <c r="J458" s="34">
        <v>45</v>
      </c>
      <c r="K458" s="34">
        <v>55</v>
      </c>
      <c r="L458" s="220">
        <f t="shared" si="18"/>
        <v>121</v>
      </c>
    </row>
    <row r="459" spans="1:12" x14ac:dyDescent="0.35">
      <c r="A459" s="287"/>
      <c r="B459" s="287"/>
      <c r="C459" s="34" t="s">
        <v>1623</v>
      </c>
      <c r="D459" s="32" t="s">
        <v>1674</v>
      </c>
      <c r="E459" s="32" t="s">
        <v>1676</v>
      </c>
      <c r="F459" s="32" t="s">
        <v>237</v>
      </c>
      <c r="G459" s="33" t="s">
        <v>1097</v>
      </c>
      <c r="H459" s="34">
        <v>24</v>
      </c>
      <c r="I459" s="34">
        <v>26</v>
      </c>
      <c r="J459" s="34">
        <v>28</v>
      </c>
      <c r="K459" s="34">
        <v>22</v>
      </c>
      <c r="L459" s="220">
        <f t="shared" si="18"/>
        <v>100</v>
      </c>
    </row>
    <row r="460" spans="1:12" x14ac:dyDescent="0.35">
      <c r="A460" s="287"/>
      <c r="B460" s="287"/>
      <c r="C460" s="34" t="s">
        <v>1623</v>
      </c>
      <c r="D460" s="32" t="s">
        <v>1674</v>
      </c>
      <c r="E460" s="32" t="s">
        <v>1676</v>
      </c>
      <c r="F460" s="32" t="s">
        <v>1675</v>
      </c>
      <c r="G460" s="33" t="s">
        <v>701</v>
      </c>
      <c r="H460" s="34">
        <v>4</v>
      </c>
      <c r="I460" s="34">
        <v>5</v>
      </c>
      <c r="J460" s="34">
        <v>15</v>
      </c>
      <c r="K460" s="34">
        <v>27</v>
      </c>
      <c r="L460" s="220">
        <f t="shared" si="18"/>
        <v>51</v>
      </c>
    </row>
    <row r="461" spans="1:12" x14ac:dyDescent="0.35">
      <c r="A461" s="287"/>
      <c r="B461" s="287"/>
      <c r="C461" s="34" t="s">
        <v>1623</v>
      </c>
      <c r="D461" s="32" t="s">
        <v>1674</v>
      </c>
      <c r="E461" s="32" t="s">
        <v>1676</v>
      </c>
      <c r="F461" s="32" t="s">
        <v>1721</v>
      </c>
      <c r="G461" s="33" t="s">
        <v>1098</v>
      </c>
      <c r="H461" s="34">
        <v>49</v>
      </c>
      <c r="I461" s="34">
        <v>51</v>
      </c>
      <c r="J461" s="34">
        <v>67</v>
      </c>
      <c r="K461" s="34">
        <v>83</v>
      </c>
      <c r="L461" s="220">
        <f t="shared" si="18"/>
        <v>250</v>
      </c>
    </row>
    <row r="462" spans="1:12" x14ac:dyDescent="0.35">
      <c r="A462" s="287"/>
      <c r="B462" s="287"/>
      <c r="C462" s="34" t="s">
        <v>1623</v>
      </c>
      <c r="D462" s="32" t="s">
        <v>1674</v>
      </c>
      <c r="E462" s="32" t="s">
        <v>1676</v>
      </c>
      <c r="F462" s="32" t="s">
        <v>1721</v>
      </c>
      <c r="G462" s="33" t="s">
        <v>1043</v>
      </c>
      <c r="H462" s="34">
        <v>46</v>
      </c>
      <c r="I462" s="34">
        <v>53</v>
      </c>
      <c r="J462" s="34">
        <v>80</v>
      </c>
      <c r="K462" s="34">
        <v>70</v>
      </c>
      <c r="L462" s="220">
        <f t="shared" si="18"/>
        <v>249</v>
      </c>
    </row>
    <row r="463" spans="1:12" x14ac:dyDescent="0.35">
      <c r="A463" s="287"/>
      <c r="B463" s="287"/>
      <c r="C463" s="34" t="s">
        <v>1623</v>
      </c>
      <c r="D463" s="32" t="s">
        <v>1674</v>
      </c>
      <c r="E463" s="32" t="s">
        <v>1676</v>
      </c>
      <c r="F463" s="32" t="s">
        <v>1721</v>
      </c>
      <c r="G463" s="33" t="s">
        <v>1099</v>
      </c>
      <c r="H463" s="34">
        <v>26</v>
      </c>
      <c r="I463" s="34">
        <v>24</v>
      </c>
      <c r="J463" s="34">
        <v>52</v>
      </c>
      <c r="K463" s="34">
        <v>48</v>
      </c>
      <c r="L463" s="220">
        <f t="shared" si="18"/>
        <v>150</v>
      </c>
    </row>
    <row r="464" spans="1:12" x14ac:dyDescent="0.35">
      <c r="A464" s="287"/>
      <c r="B464" s="287"/>
      <c r="C464" s="34" t="s">
        <v>1623</v>
      </c>
      <c r="D464" s="32" t="s">
        <v>1674</v>
      </c>
      <c r="E464" s="32" t="s">
        <v>1676</v>
      </c>
      <c r="F464" s="32" t="s">
        <v>1721</v>
      </c>
      <c r="G464" s="33" t="s">
        <v>1100</v>
      </c>
      <c r="H464" s="34">
        <v>47</v>
      </c>
      <c r="I464" s="34">
        <v>53</v>
      </c>
      <c r="J464" s="34">
        <v>73</v>
      </c>
      <c r="K464" s="34">
        <v>77</v>
      </c>
      <c r="L464" s="220">
        <f t="shared" si="18"/>
        <v>250</v>
      </c>
    </row>
    <row r="465" spans="1:12" x14ac:dyDescent="0.35">
      <c r="A465" s="52"/>
      <c r="B465" s="52"/>
      <c r="C465" s="52"/>
      <c r="D465" s="52"/>
      <c r="E465" s="52"/>
      <c r="F465" s="52"/>
      <c r="G465" s="52" t="s">
        <v>2</v>
      </c>
      <c r="H465" s="53">
        <f t="shared" ref="H465:K465" si="19">SUM(H449:H464)</f>
        <v>502</v>
      </c>
      <c r="I465" s="53">
        <f t="shared" si="19"/>
        <v>514</v>
      </c>
      <c r="J465" s="53">
        <f t="shared" si="19"/>
        <v>931</v>
      </c>
      <c r="K465" s="53">
        <f t="shared" si="19"/>
        <v>951</v>
      </c>
      <c r="L465" s="225">
        <f t="shared" si="18"/>
        <v>2898</v>
      </c>
    </row>
    <row r="466" spans="1:12" s="27" customFormat="1" x14ac:dyDescent="0.35">
      <c r="A466" s="7"/>
      <c r="B466" s="7"/>
      <c r="C466" s="7"/>
      <c r="D466" s="7"/>
      <c r="E466" s="7"/>
      <c r="F466" s="7"/>
      <c r="G466" s="104" t="s">
        <v>2637</v>
      </c>
      <c r="H466" s="104">
        <f>SUM(H40+H63+H162+H210+H257+H284+H311+H339+H386+H418+H448+H465)</f>
        <v>4904</v>
      </c>
      <c r="I466" s="104">
        <f>SUM(I40+I63+I162+I210+I257+I284+I311+I339+I386+I418+I448+I465)</f>
        <v>5501</v>
      </c>
      <c r="J466" s="104">
        <f>SUM(J40+J63+J162+J210+J257+J284+J311+J339+J386+J418+J448+J465)</f>
        <v>11574</v>
      </c>
      <c r="K466" s="104">
        <f>SUM(K40+K63+K162+K210+K257+K284+K311+K339+K386+K418+K448+K465)</f>
        <v>12855</v>
      </c>
      <c r="L466" s="225">
        <f t="shared" si="18"/>
        <v>34834</v>
      </c>
    </row>
  </sheetData>
  <mergeCells count="36">
    <mergeCell ref="L3:L4"/>
    <mergeCell ref="B340:B385"/>
    <mergeCell ref="A340:A385"/>
    <mergeCell ref="B41:B62"/>
    <mergeCell ref="A41:A62"/>
    <mergeCell ref="B64:B161"/>
    <mergeCell ref="A64:A161"/>
    <mergeCell ref="B211:B256"/>
    <mergeCell ref="A211:A256"/>
    <mergeCell ref="B163:B209"/>
    <mergeCell ref="A163:A209"/>
    <mergeCell ref="A312:A338"/>
    <mergeCell ref="B312:B338"/>
    <mergeCell ref="B285:B310"/>
    <mergeCell ref="A285:A310"/>
    <mergeCell ref="B258:B283"/>
    <mergeCell ref="A258:A283"/>
    <mergeCell ref="B449:B464"/>
    <mergeCell ref="A449:A464"/>
    <mergeCell ref="B419:B447"/>
    <mergeCell ref="A419:A447"/>
    <mergeCell ref="B387:B417"/>
    <mergeCell ref="A387:A417"/>
    <mergeCell ref="A1:K1"/>
    <mergeCell ref="A5:A39"/>
    <mergeCell ref="B5:B39"/>
    <mergeCell ref="G2:G4"/>
    <mergeCell ref="F2:F4"/>
    <mergeCell ref="E2:E4"/>
    <mergeCell ref="D2:D4"/>
    <mergeCell ref="C2:C4"/>
    <mergeCell ref="B2:B4"/>
    <mergeCell ref="A2:A4"/>
    <mergeCell ref="H2:K2"/>
    <mergeCell ref="H3:I3"/>
    <mergeCell ref="J3:K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5006-0F74-47D4-9E33-FB86B83B535B}">
  <dimension ref="A1:P132"/>
  <sheetViews>
    <sheetView zoomScale="80" zoomScaleNormal="80" workbookViewId="0">
      <selection activeCell="P4" sqref="P4"/>
    </sheetView>
  </sheetViews>
  <sheetFormatPr defaultColWidth="8.7265625" defaultRowHeight="14.5" x14ac:dyDescent="0.35"/>
  <cols>
    <col min="1" max="1" width="6.1796875" style="3" customWidth="1"/>
    <col min="2" max="2" width="22.81640625" style="3" customWidth="1"/>
    <col min="3" max="3" width="12" style="3" customWidth="1"/>
    <col min="4" max="4" width="16.81640625" style="3" bestFit="1" customWidth="1"/>
    <col min="5" max="5" width="11.81640625" style="3" bestFit="1" customWidth="1"/>
    <col min="6" max="6" width="15.81640625" style="3" bestFit="1" customWidth="1"/>
    <col min="7" max="7" width="19.7265625" style="3" customWidth="1"/>
    <col min="8" max="8" width="16.453125" style="77" hidden="1" customWidth="1"/>
    <col min="9" max="9" width="17.453125" style="77" hidden="1" customWidth="1"/>
    <col min="10" max="10" width="15.26953125" style="3" hidden="1" customWidth="1"/>
    <col min="11" max="11" width="12.1796875" style="3" customWidth="1"/>
    <col min="12" max="12" width="10.54296875" style="3" customWidth="1"/>
    <col min="13" max="13" width="18" style="3" customWidth="1"/>
    <col min="14" max="14" width="18.26953125" style="3" customWidth="1"/>
    <col min="15" max="15" width="10.54296875" style="3" customWidth="1"/>
    <col min="16" max="16384" width="8.7265625" style="3"/>
  </cols>
  <sheetData>
    <row r="1" spans="1:15" ht="34.5" customHeight="1" x14ac:dyDescent="0.35">
      <c r="B1" s="290" t="s">
        <v>0</v>
      </c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5" x14ac:dyDescent="0.35">
      <c r="A2" s="6"/>
      <c r="B2" s="7" t="s">
        <v>1933</v>
      </c>
      <c r="C2" s="7"/>
      <c r="D2" s="7"/>
      <c r="E2" s="7"/>
      <c r="F2" s="7"/>
      <c r="G2" s="237"/>
      <c r="H2" s="238"/>
      <c r="I2" s="238"/>
      <c r="J2" s="238"/>
      <c r="K2" s="238"/>
      <c r="L2" s="238"/>
      <c r="M2" s="238"/>
      <c r="N2" s="238"/>
    </row>
    <row r="3" spans="1:15" ht="24.65" customHeight="1" x14ac:dyDescent="0.35">
      <c r="A3" s="245" t="s">
        <v>1</v>
      </c>
      <c r="B3" s="291" t="s">
        <v>25</v>
      </c>
      <c r="C3" s="261" t="s">
        <v>1622</v>
      </c>
      <c r="D3" s="264" t="s">
        <v>1621</v>
      </c>
      <c r="E3" s="264" t="s">
        <v>1620</v>
      </c>
      <c r="F3" s="264" t="s">
        <v>1619</v>
      </c>
      <c r="G3" s="291" t="s">
        <v>12</v>
      </c>
      <c r="H3" s="256" t="s">
        <v>1934</v>
      </c>
      <c r="I3" s="256"/>
      <c r="J3" s="257"/>
      <c r="K3" s="256" t="s">
        <v>15</v>
      </c>
      <c r="L3" s="256"/>
      <c r="M3" s="257"/>
      <c r="N3" s="257"/>
    </row>
    <row r="4" spans="1:15" ht="22" customHeight="1" x14ac:dyDescent="0.35">
      <c r="A4" s="237"/>
      <c r="B4" s="238"/>
      <c r="C4" s="262"/>
      <c r="D4" s="265"/>
      <c r="E4" s="265"/>
      <c r="F4" s="265"/>
      <c r="G4" s="292"/>
      <c r="H4" s="293" t="s">
        <v>1935</v>
      </c>
      <c r="I4" s="295" t="s">
        <v>1936</v>
      </c>
      <c r="J4" s="296" t="s">
        <v>1937</v>
      </c>
      <c r="K4" s="258" t="s">
        <v>2580</v>
      </c>
      <c r="L4" s="257"/>
      <c r="M4" s="259" t="s">
        <v>14</v>
      </c>
      <c r="N4" s="260"/>
      <c r="O4" s="216" t="s">
        <v>2</v>
      </c>
    </row>
    <row r="5" spans="1:15" ht="15" customHeight="1" x14ac:dyDescent="0.35">
      <c r="A5" s="237"/>
      <c r="B5" s="238"/>
      <c r="C5" s="263"/>
      <c r="D5" s="266"/>
      <c r="E5" s="266"/>
      <c r="F5" s="266"/>
      <c r="G5" s="292"/>
      <c r="H5" s="294"/>
      <c r="I5" s="294"/>
      <c r="J5" s="294"/>
      <c r="K5" s="8" t="s">
        <v>3</v>
      </c>
      <c r="L5" s="8" t="s">
        <v>4</v>
      </c>
      <c r="M5" s="8" t="s">
        <v>3</v>
      </c>
      <c r="N5" s="8" t="s">
        <v>4</v>
      </c>
      <c r="O5" s="216" t="s">
        <v>3296</v>
      </c>
    </row>
    <row r="6" spans="1:15" x14ac:dyDescent="0.35">
      <c r="A6" s="267">
        <v>1</v>
      </c>
      <c r="B6" s="252" t="s">
        <v>16</v>
      </c>
      <c r="C6" s="9" t="s">
        <v>1623</v>
      </c>
      <c r="D6" s="98" t="s">
        <v>1625</v>
      </c>
      <c r="E6" s="98" t="s">
        <v>17</v>
      </c>
      <c r="F6" s="98" t="s">
        <v>17</v>
      </c>
      <c r="G6" s="10" t="s">
        <v>17</v>
      </c>
      <c r="H6" s="11">
        <v>50</v>
      </c>
      <c r="I6" s="78">
        <v>200</v>
      </c>
      <c r="J6" s="79">
        <f>H6+I6</f>
        <v>250</v>
      </c>
      <c r="K6" s="12">
        <v>25</v>
      </c>
      <c r="L6" s="12">
        <v>25</v>
      </c>
      <c r="M6" s="12">
        <v>92</v>
      </c>
      <c r="N6" s="12">
        <v>108</v>
      </c>
      <c r="O6" s="220">
        <f>K6+L6+M6+N6</f>
        <v>250</v>
      </c>
    </row>
    <row r="7" spans="1:15" x14ac:dyDescent="0.35">
      <c r="A7" s="229"/>
      <c r="B7" s="253"/>
      <c r="C7" s="9" t="s">
        <v>1623</v>
      </c>
      <c r="D7" s="98" t="s">
        <v>1625</v>
      </c>
      <c r="E7" s="98" t="s">
        <v>17</v>
      </c>
      <c r="F7" s="98" t="s">
        <v>17</v>
      </c>
      <c r="G7" s="10" t="s">
        <v>6</v>
      </c>
      <c r="H7" s="11">
        <v>100</v>
      </c>
      <c r="I7" s="13">
        <v>400</v>
      </c>
      <c r="J7" s="79">
        <f t="shared" ref="J7:J21" si="0">H7+I7</f>
        <v>500</v>
      </c>
      <c r="K7" s="12">
        <v>42</v>
      </c>
      <c r="L7" s="12">
        <v>58</v>
      </c>
      <c r="M7" s="12">
        <v>195</v>
      </c>
      <c r="N7" s="12">
        <v>205</v>
      </c>
      <c r="O7" s="220">
        <f t="shared" ref="O7:O70" si="1">K7+L7+M7+N7</f>
        <v>500</v>
      </c>
    </row>
    <row r="8" spans="1:15" x14ac:dyDescent="0.35">
      <c r="A8" s="229"/>
      <c r="B8" s="253"/>
      <c r="C8" s="9" t="s">
        <v>1623</v>
      </c>
      <c r="D8" s="98" t="s">
        <v>1625</v>
      </c>
      <c r="E8" s="91" t="s">
        <v>17</v>
      </c>
      <c r="F8" s="91" t="s">
        <v>1626</v>
      </c>
      <c r="G8" s="10" t="s">
        <v>18</v>
      </c>
      <c r="H8" s="11">
        <v>50</v>
      </c>
      <c r="I8" s="13">
        <v>250</v>
      </c>
      <c r="J8" s="79">
        <f t="shared" si="0"/>
        <v>300</v>
      </c>
      <c r="K8" s="12">
        <v>14</v>
      </c>
      <c r="L8" s="12">
        <v>24</v>
      </c>
      <c r="M8" s="12">
        <v>86</v>
      </c>
      <c r="N8" s="12">
        <v>135</v>
      </c>
      <c r="O8" s="220">
        <f t="shared" si="1"/>
        <v>259</v>
      </c>
    </row>
    <row r="9" spans="1:15" x14ac:dyDescent="0.35">
      <c r="A9" s="229"/>
      <c r="B9" s="253"/>
      <c r="C9" s="9" t="s">
        <v>1623</v>
      </c>
      <c r="D9" s="98" t="s">
        <v>1625</v>
      </c>
      <c r="E9" s="91" t="s">
        <v>17</v>
      </c>
      <c r="F9" s="91" t="s">
        <v>20</v>
      </c>
      <c r="G9" s="14" t="s">
        <v>19</v>
      </c>
      <c r="H9" s="11">
        <v>28</v>
      </c>
      <c r="I9" s="13">
        <v>132</v>
      </c>
      <c r="J9" s="79">
        <v>160</v>
      </c>
      <c r="K9" s="12">
        <v>14</v>
      </c>
      <c r="L9" s="12">
        <v>14</v>
      </c>
      <c r="M9" s="12">
        <v>75</v>
      </c>
      <c r="N9" s="12">
        <v>57</v>
      </c>
      <c r="O9" s="220">
        <f t="shared" si="1"/>
        <v>160</v>
      </c>
    </row>
    <row r="10" spans="1:15" x14ac:dyDescent="0.35">
      <c r="A10" s="229"/>
      <c r="B10" s="253"/>
      <c r="C10" s="9" t="s">
        <v>1623</v>
      </c>
      <c r="D10" s="98" t="s">
        <v>1625</v>
      </c>
      <c r="E10" s="91" t="s">
        <v>17</v>
      </c>
      <c r="F10" s="91" t="s">
        <v>20</v>
      </c>
      <c r="G10" s="10" t="s">
        <v>20</v>
      </c>
      <c r="H10" s="11">
        <v>16</v>
      </c>
      <c r="I10" s="13">
        <v>45</v>
      </c>
      <c r="J10" s="79">
        <f t="shared" si="0"/>
        <v>61</v>
      </c>
      <c r="K10" s="12">
        <v>8</v>
      </c>
      <c r="L10" s="12">
        <v>8</v>
      </c>
      <c r="M10" s="12">
        <v>26</v>
      </c>
      <c r="N10" s="12">
        <v>19</v>
      </c>
      <c r="O10" s="220">
        <f t="shared" si="1"/>
        <v>61</v>
      </c>
    </row>
    <row r="11" spans="1:15" x14ac:dyDescent="0.35">
      <c r="A11" s="229"/>
      <c r="B11" s="253"/>
      <c r="C11" s="9" t="s">
        <v>1623</v>
      </c>
      <c r="D11" s="98" t="s">
        <v>1625</v>
      </c>
      <c r="E11" s="91" t="s">
        <v>17</v>
      </c>
      <c r="F11" s="91" t="s">
        <v>1626</v>
      </c>
      <c r="G11" s="14" t="s">
        <v>21</v>
      </c>
      <c r="H11" s="11">
        <v>150</v>
      </c>
      <c r="I11" s="13">
        <v>200</v>
      </c>
      <c r="J11" s="79">
        <f t="shared" si="0"/>
        <v>350</v>
      </c>
      <c r="K11" s="12">
        <v>78</v>
      </c>
      <c r="L11" s="12">
        <v>72</v>
      </c>
      <c r="M11" s="12">
        <v>78</v>
      </c>
      <c r="N11" s="12">
        <v>122</v>
      </c>
      <c r="O11" s="220">
        <f t="shared" si="1"/>
        <v>350</v>
      </c>
    </row>
    <row r="12" spans="1:15" x14ac:dyDescent="0.35">
      <c r="A12" s="229"/>
      <c r="B12" s="253"/>
      <c r="C12" s="9" t="s">
        <v>1623</v>
      </c>
      <c r="D12" s="98" t="s">
        <v>1625</v>
      </c>
      <c r="E12" s="91" t="s">
        <v>17</v>
      </c>
      <c r="F12" s="91" t="s">
        <v>20</v>
      </c>
      <c r="G12" s="10" t="s">
        <v>22</v>
      </c>
      <c r="H12" s="11">
        <v>72</v>
      </c>
      <c r="I12" s="13">
        <v>120</v>
      </c>
      <c r="J12" s="79">
        <f t="shared" si="0"/>
        <v>192</v>
      </c>
      <c r="K12" s="12">
        <v>22</v>
      </c>
      <c r="L12" s="12">
        <v>33</v>
      </c>
      <c r="M12" s="12">
        <v>45</v>
      </c>
      <c r="N12" s="12">
        <v>75</v>
      </c>
      <c r="O12" s="220">
        <f t="shared" si="1"/>
        <v>175</v>
      </c>
    </row>
    <row r="13" spans="1:15" x14ac:dyDescent="0.35">
      <c r="A13" s="229"/>
      <c r="B13" s="253"/>
      <c r="C13" s="9" t="s">
        <v>1623</v>
      </c>
      <c r="D13" s="98" t="s">
        <v>1625</v>
      </c>
      <c r="E13" s="91" t="s">
        <v>17</v>
      </c>
      <c r="F13" s="91" t="s">
        <v>1627</v>
      </c>
      <c r="G13" s="10" t="s">
        <v>23</v>
      </c>
      <c r="H13" s="11">
        <v>50</v>
      </c>
      <c r="I13" s="13">
        <v>210</v>
      </c>
      <c r="J13" s="79">
        <f t="shared" si="0"/>
        <v>260</v>
      </c>
      <c r="K13" s="12">
        <v>27</v>
      </c>
      <c r="L13" s="12">
        <v>23</v>
      </c>
      <c r="M13" s="12">
        <v>107</v>
      </c>
      <c r="N13" s="12">
        <v>103</v>
      </c>
      <c r="O13" s="220">
        <f t="shared" si="1"/>
        <v>260</v>
      </c>
    </row>
    <row r="14" spans="1:15" x14ac:dyDescent="0.35">
      <c r="A14" s="229"/>
      <c r="B14" s="253"/>
      <c r="C14" s="9" t="s">
        <v>1623</v>
      </c>
      <c r="D14" s="98" t="s">
        <v>1625</v>
      </c>
      <c r="E14" s="91" t="s">
        <v>17</v>
      </c>
      <c r="F14" s="91" t="s">
        <v>1627</v>
      </c>
      <c r="G14" s="10" t="s">
        <v>24</v>
      </c>
      <c r="H14" s="11">
        <v>50</v>
      </c>
      <c r="I14" s="13">
        <v>200</v>
      </c>
      <c r="J14" s="79">
        <f t="shared" si="0"/>
        <v>250</v>
      </c>
      <c r="K14" s="12">
        <v>19</v>
      </c>
      <c r="L14" s="12">
        <v>17</v>
      </c>
      <c r="M14" s="12">
        <v>71</v>
      </c>
      <c r="N14" s="12">
        <v>80</v>
      </c>
      <c r="O14" s="220">
        <f t="shared" si="1"/>
        <v>187</v>
      </c>
    </row>
    <row r="15" spans="1:15" x14ac:dyDescent="0.35">
      <c r="A15" s="229"/>
      <c r="B15" s="253"/>
      <c r="C15" s="9" t="s">
        <v>1623</v>
      </c>
      <c r="D15" s="98" t="s">
        <v>1625</v>
      </c>
      <c r="E15" s="91" t="s">
        <v>17</v>
      </c>
      <c r="F15" s="91" t="s">
        <v>17</v>
      </c>
      <c r="G15" s="10" t="s">
        <v>26</v>
      </c>
      <c r="H15" s="11">
        <v>50</v>
      </c>
      <c r="I15" s="13">
        <v>200</v>
      </c>
      <c r="J15" s="79">
        <f t="shared" si="0"/>
        <v>250</v>
      </c>
      <c r="K15" s="15">
        <v>22</v>
      </c>
      <c r="L15" s="15">
        <v>28</v>
      </c>
      <c r="M15" s="15">
        <v>85</v>
      </c>
      <c r="N15" s="15">
        <v>65</v>
      </c>
      <c r="O15" s="220">
        <f t="shared" si="1"/>
        <v>200</v>
      </c>
    </row>
    <row r="16" spans="1:15" x14ac:dyDescent="0.35">
      <c r="A16" s="229"/>
      <c r="B16" s="253"/>
      <c r="C16" s="9" t="s">
        <v>1623</v>
      </c>
      <c r="D16" s="98" t="s">
        <v>1625</v>
      </c>
      <c r="E16" s="91" t="s">
        <v>17</v>
      </c>
      <c r="F16" s="91" t="s">
        <v>27</v>
      </c>
      <c r="G16" s="10" t="s">
        <v>27</v>
      </c>
      <c r="H16" s="11">
        <v>50</v>
      </c>
      <c r="I16" s="13">
        <v>150</v>
      </c>
      <c r="J16" s="79">
        <f t="shared" si="0"/>
        <v>200</v>
      </c>
      <c r="K16" s="12">
        <v>35</v>
      </c>
      <c r="L16" s="12">
        <v>15</v>
      </c>
      <c r="M16" s="12">
        <v>111</v>
      </c>
      <c r="N16" s="12">
        <v>39</v>
      </c>
      <c r="O16" s="220">
        <f t="shared" si="1"/>
        <v>200</v>
      </c>
    </row>
    <row r="17" spans="1:15" x14ac:dyDescent="0.35">
      <c r="A17" s="229"/>
      <c r="B17" s="253"/>
      <c r="C17" s="9" t="s">
        <v>1623</v>
      </c>
      <c r="D17" s="98" t="s">
        <v>1625</v>
      </c>
      <c r="E17" s="91" t="s">
        <v>17</v>
      </c>
      <c r="F17" s="91" t="s">
        <v>1626</v>
      </c>
      <c r="G17" s="10" t="s">
        <v>28</v>
      </c>
      <c r="H17" s="11">
        <v>60</v>
      </c>
      <c r="I17" s="13">
        <v>215</v>
      </c>
      <c r="J17" s="79">
        <v>275</v>
      </c>
      <c r="K17" s="12">
        <v>23</v>
      </c>
      <c r="L17" s="12">
        <v>37</v>
      </c>
      <c r="M17" s="12">
        <v>86</v>
      </c>
      <c r="N17" s="12">
        <v>129</v>
      </c>
      <c r="O17" s="220">
        <f t="shared" si="1"/>
        <v>275</v>
      </c>
    </row>
    <row r="18" spans="1:15" x14ac:dyDescent="0.35">
      <c r="A18" s="229"/>
      <c r="B18" s="253"/>
      <c r="C18" s="9" t="s">
        <v>1623</v>
      </c>
      <c r="D18" s="98" t="s">
        <v>1625</v>
      </c>
      <c r="E18" s="91" t="s">
        <v>17</v>
      </c>
      <c r="F18" s="91" t="s">
        <v>27</v>
      </c>
      <c r="G18" s="10" t="s">
        <v>29</v>
      </c>
      <c r="H18" s="11">
        <v>50</v>
      </c>
      <c r="I18" s="13">
        <v>400</v>
      </c>
      <c r="J18" s="79">
        <f t="shared" si="0"/>
        <v>450</v>
      </c>
      <c r="K18" s="15">
        <v>24</v>
      </c>
      <c r="L18" s="15">
        <v>26</v>
      </c>
      <c r="M18" s="15">
        <v>195</v>
      </c>
      <c r="N18" s="15">
        <v>205</v>
      </c>
      <c r="O18" s="220">
        <f t="shared" si="1"/>
        <v>450</v>
      </c>
    </row>
    <row r="19" spans="1:15" x14ac:dyDescent="0.35">
      <c r="A19" s="229"/>
      <c r="B19" s="253"/>
      <c r="C19" s="9" t="s">
        <v>1623</v>
      </c>
      <c r="D19" s="98" t="s">
        <v>1625</v>
      </c>
      <c r="E19" s="91" t="s">
        <v>17</v>
      </c>
      <c r="F19" s="91" t="s">
        <v>1627</v>
      </c>
      <c r="G19" s="10" t="s">
        <v>30</v>
      </c>
      <c r="H19" s="11">
        <v>87</v>
      </c>
      <c r="I19" s="13">
        <v>250</v>
      </c>
      <c r="J19" s="79">
        <f t="shared" si="0"/>
        <v>337</v>
      </c>
      <c r="K19" s="12">
        <v>42</v>
      </c>
      <c r="L19" s="12">
        <v>45</v>
      </c>
      <c r="M19" s="12">
        <v>120</v>
      </c>
      <c r="N19" s="12">
        <v>130</v>
      </c>
      <c r="O19" s="220">
        <f t="shared" si="1"/>
        <v>337</v>
      </c>
    </row>
    <row r="20" spans="1:15" x14ac:dyDescent="0.35">
      <c r="A20" s="229"/>
      <c r="B20" s="253"/>
      <c r="C20" s="9" t="s">
        <v>1623</v>
      </c>
      <c r="D20" s="98" t="s">
        <v>1625</v>
      </c>
      <c r="E20" s="91" t="s">
        <v>17</v>
      </c>
      <c r="F20" s="91" t="s">
        <v>27</v>
      </c>
      <c r="G20" s="10" t="s">
        <v>31</v>
      </c>
      <c r="H20" s="11">
        <v>100</v>
      </c>
      <c r="I20" s="13">
        <v>500</v>
      </c>
      <c r="J20" s="79">
        <f t="shared" si="0"/>
        <v>600</v>
      </c>
      <c r="K20" s="12">
        <v>53</v>
      </c>
      <c r="L20" s="12">
        <v>47</v>
      </c>
      <c r="M20" s="12">
        <v>245</v>
      </c>
      <c r="N20" s="12">
        <v>255</v>
      </c>
      <c r="O20" s="220">
        <f t="shared" si="1"/>
        <v>600</v>
      </c>
    </row>
    <row r="21" spans="1:15" x14ac:dyDescent="0.35">
      <c r="A21" s="229"/>
      <c r="B21" s="297"/>
      <c r="C21" s="9" t="s">
        <v>1623</v>
      </c>
      <c r="D21" s="98" t="s">
        <v>1625</v>
      </c>
      <c r="E21" s="91" t="s">
        <v>17</v>
      </c>
      <c r="F21" s="91" t="s">
        <v>27</v>
      </c>
      <c r="G21" s="10" t="s">
        <v>32</v>
      </c>
      <c r="H21" s="11">
        <v>100</v>
      </c>
      <c r="I21" s="13">
        <v>200</v>
      </c>
      <c r="J21" s="79">
        <f t="shared" si="0"/>
        <v>300</v>
      </c>
      <c r="K21" s="12">
        <v>47</v>
      </c>
      <c r="L21" s="12">
        <v>53</v>
      </c>
      <c r="M21" s="12">
        <v>100</v>
      </c>
      <c r="N21" s="12">
        <v>100</v>
      </c>
      <c r="O21" s="220">
        <f t="shared" si="1"/>
        <v>300</v>
      </c>
    </row>
    <row r="22" spans="1:15" x14ac:dyDescent="0.35">
      <c r="A22" s="16"/>
      <c r="B22" s="17"/>
      <c r="C22" s="17"/>
      <c r="D22" s="17"/>
      <c r="E22" s="17"/>
      <c r="F22" s="17"/>
      <c r="G22" s="18" t="s">
        <v>2</v>
      </c>
      <c r="H22" s="19">
        <f>SUM(H6:H21)</f>
        <v>1063</v>
      </c>
      <c r="I22" s="80">
        <f>SUM(I6:I21)</f>
        <v>3672</v>
      </c>
      <c r="J22" s="81">
        <f>H22+I22</f>
        <v>4735</v>
      </c>
      <c r="K22" s="20">
        <f>SUM(K6:K21)</f>
        <v>495</v>
      </c>
      <c r="L22" s="20">
        <f>SUM(L6:L21)</f>
        <v>525</v>
      </c>
      <c r="M22" s="20">
        <f>SUM(M6:M21)</f>
        <v>1717</v>
      </c>
      <c r="N22" s="20">
        <f>SUM(N6:N21)</f>
        <v>1827</v>
      </c>
      <c r="O22" s="225">
        <f t="shared" si="1"/>
        <v>4564</v>
      </c>
    </row>
    <row r="23" spans="1:15" x14ac:dyDescent="0.35">
      <c r="A23" s="267">
        <v>2</v>
      </c>
      <c r="B23" s="298" t="s">
        <v>33</v>
      </c>
      <c r="C23" s="44" t="s">
        <v>1624</v>
      </c>
      <c r="D23" s="98" t="s">
        <v>1625</v>
      </c>
      <c r="E23" s="45" t="s">
        <v>1629</v>
      </c>
      <c r="F23" s="92" t="s">
        <v>1628</v>
      </c>
      <c r="G23" s="21" t="s">
        <v>34</v>
      </c>
      <c r="H23" s="11">
        <v>83</v>
      </c>
      <c r="I23" s="13">
        <v>150</v>
      </c>
      <c r="J23" s="79">
        <f>H23+I23</f>
        <v>233</v>
      </c>
      <c r="K23" s="12">
        <v>38</v>
      </c>
      <c r="L23" s="12">
        <v>45</v>
      </c>
      <c r="M23" s="12">
        <v>67</v>
      </c>
      <c r="N23" s="12">
        <v>78</v>
      </c>
      <c r="O23" s="220">
        <f t="shared" si="1"/>
        <v>228</v>
      </c>
    </row>
    <row r="24" spans="1:15" x14ac:dyDescent="0.35">
      <c r="A24" s="229"/>
      <c r="B24" s="299"/>
      <c r="C24" s="44" t="s">
        <v>1624</v>
      </c>
      <c r="D24" s="98" t="s">
        <v>1625</v>
      </c>
      <c r="E24" s="45" t="s">
        <v>1629</v>
      </c>
      <c r="F24" s="45" t="s">
        <v>1628</v>
      </c>
      <c r="G24" s="21" t="s">
        <v>35</v>
      </c>
      <c r="H24" s="11">
        <v>50</v>
      </c>
      <c r="I24" s="13">
        <v>80</v>
      </c>
      <c r="J24" s="79">
        <f t="shared" ref="J24:J31" si="2">H24+I24</f>
        <v>130</v>
      </c>
      <c r="K24" s="12">
        <v>26</v>
      </c>
      <c r="L24" s="12">
        <v>24</v>
      </c>
      <c r="M24" s="12">
        <v>38</v>
      </c>
      <c r="N24" s="12">
        <v>42</v>
      </c>
      <c r="O24" s="220">
        <f t="shared" si="1"/>
        <v>130</v>
      </c>
    </row>
    <row r="25" spans="1:15" x14ac:dyDescent="0.35">
      <c r="A25" s="229"/>
      <c r="B25" s="299"/>
      <c r="C25" s="44" t="s">
        <v>1624</v>
      </c>
      <c r="D25" s="98" t="s">
        <v>1625</v>
      </c>
      <c r="E25" s="45" t="s">
        <v>1629</v>
      </c>
      <c r="F25" s="45" t="s">
        <v>1628</v>
      </c>
      <c r="G25" s="21" t="s">
        <v>36</v>
      </c>
      <c r="H25" s="11">
        <v>69</v>
      </c>
      <c r="I25" s="13">
        <v>220</v>
      </c>
      <c r="J25" s="79">
        <f t="shared" si="2"/>
        <v>289</v>
      </c>
      <c r="K25" s="12">
        <v>33</v>
      </c>
      <c r="L25" s="12">
        <v>36</v>
      </c>
      <c r="M25" s="12">
        <v>109</v>
      </c>
      <c r="N25" s="12">
        <v>111</v>
      </c>
      <c r="O25" s="220">
        <f t="shared" si="1"/>
        <v>289</v>
      </c>
    </row>
    <row r="26" spans="1:15" x14ac:dyDescent="0.35">
      <c r="A26" s="229"/>
      <c r="B26" s="299"/>
      <c r="C26" s="44" t="s">
        <v>1624</v>
      </c>
      <c r="D26" s="98" t="s">
        <v>1625</v>
      </c>
      <c r="E26" s="45" t="s">
        <v>1629</v>
      </c>
      <c r="F26" s="45" t="s">
        <v>1628</v>
      </c>
      <c r="G26" s="21" t="s">
        <v>37</v>
      </c>
      <c r="H26" s="11">
        <v>21</v>
      </c>
      <c r="I26" s="13">
        <v>84</v>
      </c>
      <c r="J26" s="79">
        <f t="shared" si="2"/>
        <v>105</v>
      </c>
      <c r="K26" s="12">
        <v>11</v>
      </c>
      <c r="L26" s="12">
        <v>10</v>
      </c>
      <c r="M26" s="12">
        <v>42</v>
      </c>
      <c r="N26" s="12">
        <v>42</v>
      </c>
      <c r="O26" s="220">
        <f t="shared" si="1"/>
        <v>105</v>
      </c>
    </row>
    <row r="27" spans="1:15" x14ac:dyDescent="0.35">
      <c r="A27" s="229"/>
      <c r="B27" s="299"/>
      <c r="C27" s="44" t="s">
        <v>1624</v>
      </c>
      <c r="D27" s="98" t="s">
        <v>1625</v>
      </c>
      <c r="E27" s="45" t="s">
        <v>1629</v>
      </c>
      <c r="F27" s="45" t="s">
        <v>1628</v>
      </c>
      <c r="G27" s="21" t="s">
        <v>38</v>
      </c>
      <c r="H27" s="11">
        <v>112</v>
      </c>
      <c r="I27" s="13">
        <v>118</v>
      </c>
      <c r="J27" s="79">
        <f t="shared" si="2"/>
        <v>230</v>
      </c>
      <c r="K27" s="12">
        <v>60</v>
      </c>
      <c r="L27" s="12">
        <v>52</v>
      </c>
      <c r="M27" s="12">
        <v>64</v>
      </c>
      <c r="N27" s="12">
        <v>54</v>
      </c>
      <c r="O27" s="220">
        <f t="shared" si="1"/>
        <v>230</v>
      </c>
    </row>
    <row r="28" spans="1:15" x14ac:dyDescent="0.35">
      <c r="A28" s="229"/>
      <c r="B28" s="299"/>
      <c r="C28" s="44" t="s">
        <v>1624</v>
      </c>
      <c r="D28" s="98" t="s">
        <v>1625</v>
      </c>
      <c r="E28" s="45" t="s">
        <v>1629</v>
      </c>
      <c r="F28" s="45" t="s">
        <v>1628</v>
      </c>
      <c r="G28" s="21" t="s">
        <v>39</v>
      </c>
      <c r="H28" s="11">
        <v>36</v>
      </c>
      <c r="I28" s="13">
        <v>191</v>
      </c>
      <c r="J28" s="79">
        <f t="shared" si="2"/>
        <v>227</v>
      </c>
      <c r="K28" s="12">
        <v>17</v>
      </c>
      <c r="L28" s="12">
        <v>19</v>
      </c>
      <c r="M28" s="12">
        <v>101</v>
      </c>
      <c r="N28" s="12">
        <v>126</v>
      </c>
      <c r="O28" s="220">
        <f t="shared" si="1"/>
        <v>263</v>
      </c>
    </row>
    <row r="29" spans="1:15" x14ac:dyDescent="0.35">
      <c r="A29" s="229"/>
      <c r="B29" s="299"/>
      <c r="C29" s="44" t="s">
        <v>1624</v>
      </c>
      <c r="D29" s="98" t="s">
        <v>1625</v>
      </c>
      <c r="E29" s="45" t="s">
        <v>1629</v>
      </c>
      <c r="F29" s="45" t="s">
        <v>1628</v>
      </c>
      <c r="G29" s="21" t="s">
        <v>40</v>
      </c>
      <c r="H29" s="11">
        <v>47</v>
      </c>
      <c r="I29" s="13">
        <v>144</v>
      </c>
      <c r="J29" s="79">
        <f t="shared" si="2"/>
        <v>191</v>
      </c>
      <c r="K29" s="12">
        <v>20</v>
      </c>
      <c r="L29" s="12">
        <v>27</v>
      </c>
      <c r="M29" s="12">
        <v>68</v>
      </c>
      <c r="N29" s="12">
        <v>76</v>
      </c>
      <c r="O29" s="220">
        <f t="shared" si="1"/>
        <v>191</v>
      </c>
    </row>
    <row r="30" spans="1:15" x14ac:dyDescent="0.35">
      <c r="A30" s="76"/>
      <c r="B30" s="299"/>
      <c r="C30" s="44" t="s">
        <v>1624</v>
      </c>
      <c r="D30" s="98" t="s">
        <v>1625</v>
      </c>
      <c r="E30" s="45" t="s">
        <v>1629</v>
      </c>
      <c r="F30" s="45" t="s">
        <v>1628</v>
      </c>
      <c r="G30" s="21" t="s">
        <v>41</v>
      </c>
      <c r="H30" s="11">
        <v>45</v>
      </c>
      <c r="I30" s="13">
        <v>172</v>
      </c>
      <c r="J30" s="79">
        <f t="shared" si="2"/>
        <v>217</v>
      </c>
      <c r="K30" s="12">
        <v>20</v>
      </c>
      <c r="L30" s="12">
        <v>25</v>
      </c>
      <c r="M30" s="12">
        <v>88</v>
      </c>
      <c r="N30" s="12">
        <v>84</v>
      </c>
      <c r="O30" s="220">
        <f t="shared" si="1"/>
        <v>217</v>
      </c>
    </row>
    <row r="31" spans="1:15" x14ac:dyDescent="0.35">
      <c r="A31" s="76"/>
      <c r="B31" s="300"/>
      <c r="C31" s="44" t="s">
        <v>1624</v>
      </c>
      <c r="D31" s="98" t="s">
        <v>1625</v>
      </c>
      <c r="E31" s="45" t="s">
        <v>1629</v>
      </c>
      <c r="F31" s="45" t="s">
        <v>1628</v>
      </c>
      <c r="G31" s="21" t="s">
        <v>11</v>
      </c>
      <c r="H31" s="11">
        <v>40</v>
      </c>
      <c r="I31" s="13">
        <v>208</v>
      </c>
      <c r="J31" s="79">
        <f t="shared" si="2"/>
        <v>248</v>
      </c>
      <c r="K31" s="12">
        <v>18</v>
      </c>
      <c r="L31" s="12">
        <v>22</v>
      </c>
      <c r="M31" s="12">
        <v>100</v>
      </c>
      <c r="N31" s="12">
        <v>108</v>
      </c>
      <c r="O31" s="220">
        <f t="shared" si="1"/>
        <v>248</v>
      </c>
    </row>
    <row r="32" spans="1:15" x14ac:dyDescent="0.35">
      <c r="A32" s="16"/>
      <c r="B32" s="17"/>
      <c r="C32" s="17"/>
      <c r="D32" s="17"/>
      <c r="E32" s="17"/>
      <c r="F32" s="17"/>
      <c r="G32" s="18" t="s">
        <v>2</v>
      </c>
      <c r="H32" s="19">
        <f t="shared" ref="H32:N32" si="3">SUM(H23:H31)</f>
        <v>503</v>
      </c>
      <c r="I32" s="80">
        <f t="shared" si="3"/>
        <v>1367</v>
      </c>
      <c r="J32" s="80">
        <f t="shared" si="3"/>
        <v>1870</v>
      </c>
      <c r="K32" s="20">
        <f t="shared" si="3"/>
        <v>243</v>
      </c>
      <c r="L32" s="20">
        <f t="shared" si="3"/>
        <v>260</v>
      </c>
      <c r="M32" s="20">
        <f t="shared" si="3"/>
        <v>677</v>
      </c>
      <c r="N32" s="20">
        <f t="shared" si="3"/>
        <v>721</v>
      </c>
      <c r="O32" s="225">
        <f t="shared" si="1"/>
        <v>1901</v>
      </c>
    </row>
    <row r="33" spans="1:16" x14ac:dyDescent="0.35">
      <c r="A33" s="301">
        <v>3</v>
      </c>
      <c r="B33" s="298" t="s">
        <v>42</v>
      </c>
      <c r="C33" s="44" t="s">
        <v>1623</v>
      </c>
      <c r="D33" s="98" t="s">
        <v>1625</v>
      </c>
      <c r="E33" s="92" t="s">
        <v>1639</v>
      </c>
      <c r="F33" s="92" t="s">
        <v>1638</v>
      </c>
      <c r="G33" s="21" t="s">
        <v>54</v>
      </c>
      <c r="H33" s="11">
        <v>21</v>
      </c>
      <c r="I33" s="13">
        <v>93</v>
      </c>
      <c r="J33" s="79">
        <f t="shared" ref="J33:J45" si="4">H33+I33</f>
        <v>114</v>
      </c>
      <c r="K33" s="12">
        <v>11</v>
      </c>
      <c r="L33" s="12">
        <v>10</v>
      </c>
      <c r="M33" s="12">
        <v>44</v>
      </c>
      <c r="N33" s="12">
        <v>49</v>
      </c>
      <c r="O33" s="220">
        <f t="shared" si="1"/>
        <v>114</v>
      </c>
    </row>
    <row r="34" spans="1:16" x14ac:dyDescent="0.35">
      <c r="A34" s="302"/>
      <c r="B34" s="299"/>
      <c r="C34" s="44" t="s">
        <v>1623</v>
      </c>
      <c r="D34" s="98" t="s">
        <v>1625</v>
      </c>
      <c r="E34" s="92" t="s">
        <v>1639</v>
      </c>
      <c r="F34" s="92" t="s">
        <v>1638</v>
      </c>
      <c r="G34" s="21" t="s">
        <v>55</v>
      </c>
      <c r="H34" s="11">
        <v>11</v>
      </c>
      <c r="I34" s="13">
        <v>58</v>
      </c>
      <c r="J34" s="79">
        <f>H34+I34</f>
        <v>69</v>
      </c>
      <c r="K34" s="12">
        <v>3</v>
      </c>
      <c r="L34" s="12">
        <v>8</v>
      </c>
      <c r="M34" s="12">
        <v>34</v>
      </c>
      <c r="N34" s="12">
        <v>35</v>
      </c>
      <c r="O34" s="220">
        <f t="shared" si="1"/>
        <v>80</v>
      </c>
    </row>
    <row r="35" spans="1:16" x14ac:dyDescent="0.35">
      <c r="A35" s="302"/>
      <c r="B35" s="299"/>
      <c r="C35" s="44" t="s">
        <v>1623</v>
      </c>
      <c r="D35" s="98" t="s">
        <v>1625</v>
      </c>
      <c r="E35" s="92" t="s">
        <v>1639</v>
      </c>
      <c r="F35" s="92" t="s">
        <v>1938</v>
      </c>
      <c r="G35" s="21" t="s">
        <v>56</v>
      </c>
      <c r="H35" s="11">
        <v>5</v>
      </c>
      <c r="I35" s="13">
        <v>66</v>
      </c>
      <c r="J35" s="79">
        <f>H35+I35</f>
        <v>71</v>
      </c>
      <c r="K35" s="12">
        <v>7</v>
      </c>
      <c r="L35" s="12">
        <v>3</v>
      </c>
      <c r="M35" s="12">
        <v>30</v>
      </c>
      <c r="N35" s="12">
        <v>20</v>
      </c>
      <c r="O35" s="220">
        <f t="shared" si="1"/>
        <v>60</v>
      </c>
    </row>
    <row r="36" spans="1:16" x14ac:dyDescent="0.35">
      <c r="A36" s="302"/>
      <c r="B36" s="299"/>
      <c r="C36" s="44" t="s">
        <v>1623</v>
      </c>
      <c r="D36" s="98" t="s">
        <v>1625</v>
      </c>
      <c r="E36" s="45" t="s">
        <v>1639</v>
      </c>
      <c r="F36" s="45" t="s">
        <v>1638</v>
      </c>
      <c r="G36" s="21" t="s">
        <v>57</v>
      </c>
      <c r="H36" s="11">
        <v>13</v>
      </c>
      <c r="I36" s="13">
        <v>77</v>
      </c>
      <c r="J36" s="79">
        <f t="shared" si="4"/>
        <v>90</v>
      </c>
      <c r="K36" s="12">
        <v>4</v>
      </c>
      <c r="L36" s="12">
        <v>9</v>
      </c>
      <c r="M36" s="12">
        <v>39</v>
      </c>
      <c r="N36" s="12">
        <v>38</v>
      </c>
      <c r="O36" s="220">
        <f t="shared" si="1"/>
        <v>90</v>
      </c>
    </row>
    <row r="37" spans="1:16" x14ac:dyDescent="0.35">
      <c r="A37" s="302"/>
      <c r="B37" s="299"/>
      <c r="C37" s="44" t="s">
        <v>1623</v>
      </c>
      <c r="D37" s="98" t="s">
        <v>1625</v>
      </c>
      <c r="E37" s="45" t="s">
        <v>1639</v>
      </c>
      <c r="F37" s="45" t="s">
        <v>1638</v>
      </c>
      <c r="G37" s="21" t="s">
        <v>58</v>
      </c>
      <c r="H37" s="11">
        <v>27</v>
      </c>
      <c r="I37" s="13">
        <v>134</v>
      </c>
      <c r="J37" s="79">
        <f>H37+I37</f>
        <v>161</v>
      </c>
      <c r="K37" s="12">
        <v>16</v>
      </c>
      <c r="L37" s="12">
        <v>11</v>
      </c>
      <c r="M37" s="12">
        <v>71</v>
      </c>
      <c r="N37" s="12">
        <v>63</v>
      </c>
      <c r="O37" s="220">
        <f t="shared" si="1"/>
        <v>161</v>
      </c>
    </row>
    <row r="38" spans="1:16" ht="29" x14ac:dyDescent="0.35">
      <c r="A38" s="302"/>
      <c r="B38" s="299"/>
      <c r="C38" s="44" t="s">
        <v>1623</v>
      </c>
      <c r="D38" s="98" t="s">
        <v>1625</v>
      </c>
      <c r="E38" s="45" t="s">
        <v>1639</v>
      </c>
      <c r="F38" s="45" t="s">
        <v>1939</v>
      </c>
      <c r="G38" s="21" t="s">
        <v>59</v>
      </c>
      <c r="H38" s="11">
        <v>28</v>
      </c>
      <c r="I38" s="13">
        <v>126</v>
      </c>
      <c r="J38" s="79">
        <f t="shared" si="4"/>
        <v>154</v>
      </c>
      <c r="K38" s="12">
        <v>11</v>
      </c>
      <c r="L38" s="12">
        <v>17</v>
      </c>
      <c r="M38" s="12">
        <v>28</v>
      </c>
      <c r="N38" s="12">
        <v>126</v>
      </c>
      <c r="O38" s="220">
        <f t="shared" si="1"/>
        <v>182</v>
      </c>
    </row>
    <row r="39" spans="1:16" x14ac:dyDescent="0.35">
      <c r="A39" s="302"/>
      <c r="B39" s="299"/>
      <c r="C39" s="44" t="s">
        <v>1623</v>
      </c>
      <c r="D39" s="98" t="s">
        <v>1625</v>
      </c>
      <c r="E39" s="45" t="s">
        <v>1639</v>
      </c>
      <c r="F39" s="45" t="s">
        <v>65</v>
      </c>
      <c r="G39" s="21" t="s">
        <v>60</v>
      </c>
      <c r="H39" s="11">
        <v>13</v>
      </c>
      <c r="I39" s="13">
        <v>65</v>
      </c>
      <c r="J39" s="79">
        <f t="shared" si="4"/>
        <v>78</v>
      </c>
      <c r="K39" s="12">
        <v>5</v>
      </c>
      <c r="L39" s="12">
        <v>8</v>
      </c>
      <c r="M39" s="12">
        <v>13</v>
      </c>
      <c r="N39" s="12">
        <v>65</v>
      </c>
      <c r="O39" s="220">
        <f t="shared" si="1"/>
        <v>91</v>
      </c>
    </row>
    <row r="40" spans="1:16" x14ac:dyDescent="0.35">
      <c r="A40" s="302"/>
      <c r="B40" s="299"/>
      <c r="C40" s="44" t="s">
        <v>1623</v>
      </c>
      <c r="D40" s="98" t="s">
        <v>1625</v>
      </c>
      <c r="E40" s="45" t="s">
        <v>1639</v>
      </c>
      <c r="F40" s="45" t="s">
        <v>1638</v>
      </c>
      <c r="G40" s="21" t="s">
        <v>61</v>
      </c>
      <c r="H40" s="11">
        <v>14</v>
      </c>
      <c r="I40" s="13">
        <v>161</v>
      </c>
      <c r="J40" s="79">
        <f t="shared" si="4"/>
        <v>175</v>
      </c>
      <c r="K40" s="12">
        <v>6</v>
      </c>
      <c r="L40" s="12">
        <v>8</v>
      </c>
      <c r="M40" s="12">
        <v>82</v>
      </c>
      <c r="N40" s="12">
        <v>79</v>
      </c>
      <c r="O40" s="220">
        <f t="shared" si="1"/>
        <v>175</v>
      </c>
    </row>
    <row r="41" spans="1:16" ht="29" x14ac:dyDescent="0.35">
      <c r="A41" s="302"/>
      <c r="B41" s="299"/>
      <c r="C41" s="44" t="s">
        <v>1623</v>
      </c>
      <c r="D41" s="98" t="s">
        <v>1625</v>
      </c>
      <c r="E41" s="45" t="s">
        <v>1639</v>
      </c>
      <c r="F41" s="45" t="s">
        <v>1939</v>
      </c>
      <c r="G41" s="21" t="s">
        <v>7</v>
      </c>
      <c r="H41" s="11">
        <v>26</v>
      </c>
      <c r="I41" s="13">
        <v>174</v>
      </c>
      <c r="J41" s="79">
        <f t="shared" si="4"/>
        <v>200</v>
      </c>
      <c r="K41" s="12">
        <v>7</v>
      </c>
      <c r="L41" s="12">
        <v>19</v>
      </c>
      <c r="M41" s="12">
        <v>88</v>
      </c>
      <c r="N41" s="12">
        <v>86</v>
      </c>
      <c r="O41" s="220">
        <f t="shared" si="1"/>
        <v>200</v>
      </c>
    </row>
    <row r="42" spans="1:16" ht="29" x14ac:dyDescent="0.35">
      <c r="A42" s="302"/>
      <c r="B42" s="299"/>
      <c r="C42" s="44" t="s">
        <v>1623</v>
      </c>
      <c r="D42" s="98" t="s">
        <v>1625</v>
      </c>
      <c r="E42" s="45" t="s">
        <v>1639</v>
      </c>
      <c r="F42" s="45" t="s">
        <v>1939</v>
      </c>
      <c r="G42" s="21" t="s">
        <v>62</v>
      </c>
      <c r="H42" s="11">
        <v>26</v>
      </c>
      <c r="I42" s="13">
        <v>210</v>
      </c>
      <c r="J42" s="79">
        <f t="shared" si="4"/>
        <v>236</v>
      </c>
      <c r="K42" s="12">
        <v>11</v>
      </c>
      <c r="L42" s="12">
        <v>15</v>
      </c>
      <c r="M42" s="12">
        <v>100</v>
      </c>
      <c r="N42" s="12">
        <v>110</v>
      </c>
      <c r="O42" s="220">
        <f t="shared" si="1"/>
        <v>236</v>
      </c>
    </row>
    <row r="43" spans="1:16" x14ac:dyDescent="0.35">
      <c r="A43" s="302"/>
      <c r="B43" s="299"/>
      <c r="C43" s="44" t="s">
        <v>1623</v>
      </c>
      <c r="D43" s="98" t="s">
        <v>1625</v>
      </c>
      <c r="E43" s="45" t="s">
        <v>1639</v>
      </c>
      <c r="F43" s="45" t="s">
        <v>1638</v>
      </c>
      <c r="G43" s="21" t="s">
        <v>63</v>
      </c>
      <c r="H43" s="11">
        <v>28</v>
      </c>
      <c r="I43" s="13">
        <v>118</v>
      </c>
      <c r="J43" s="79">
        <f t="shared" si="4"/>
        <v>146</v>
      </c>
      <c r="K43" s="12">
        <v>14</v>
      </c>
      <c r="L43" s="12">
        <v>14</v>
      </c>
      <c r="M43" s="12">
        <v>53</v>
      </c>
      <c r="N43" s="12">
        <v>65</v>
      </c>
      <c r="O43" s="220">
        <f t="shared" si="1"/>
        <v>146</v>
      </c>
      <c r="P43" s="5"/>
    </row>
    <row r="44" spans="1:16" x14ac:dyDescent="0.35">
      <c r="A44" s="302"/>
      <c r="B44" s="299"/>
      <c r="C44" s="44" t="s">
        <v>1623</v>
      </c>
      <c r="D44" s="98" t="s">
        <v>1625</v>
      </c>
      <c r="E44" s="45" t="s">
        <v>1639</v>
      </c>
      <c r="F44" s="45" t="s">
        <v>65</v>
      </c>
      <c r="G44" s="21" t="s">
        <v>64</v>
      </c>
      <c r="H44" s="11">
        <v>13</v>
      </c>
      <c r="I44" s="13">
        <v>65</v>
      </c>
      <c r="J44" s="79">
        <f t="shared" si="4"/>
        <v>78</v>
      </c>
      <c r="K44" s="12">
        <v>6</v>
      </c>
      <c r="L44" s="12">
        <v>7</v>
      </c>
      <c r="M44" s="12">
        <v>30</v>
      </c>
      <c r="N44" s="12">
        <v>35</v>
      </c>
      <c r="O44" s="220">
        <f t="shared" si="1"/>
        <v>78</v>
      </c>
    </row>
    <row r="45" spans="1:16" x14ac:dyDescent="0.35">
      <c r="A45" s="303"/>
      <c r="B45" s="300"/>
      <c r="C45" s="44" t="s">
        <v>1623</v>
      </c>
      <c r="D45" s="98" t="s">
        <v>1625</v>
      </c>
      <c r="E45" s="45" t="s">
        <v>1639</v>
      </c>
      <c r="F45" s="45" t="s">
        <v>65</v>
      </c>
      <c r="G45" s="21" t="s">
        <v>65</v>
      </c>
      <c r="H45" s="11">
        <v>6</v>
      </c>
      <c r="I45" s="13">
        <v>39</v>
      </c>
      <c r="J45" s="79">
        <f t="shared" si="4"/>
        <v>45</v>
      </c>
      <c r="K45" s="12">
        <v>1</v>
      </c>
      <c r="L45" s="12">
        <v>5</v>
      </c>
      <c r="M45" s="12">
        <v>15</v>
      </c>
      <c r="N45" s="12">
        <v>24</v>
      </c>
      <c r="O45" s="220">
        <f t="shared" si="1"/>
        <v>45</v>
      </c>
    </row>
    <row r="46" spans="1:16" x14ac:dyDescent="0.35">
      <c r="A46" s="16"/>
      <c r="B46" s="17"/>
      <c r="C46" s="17"/>
      <c r="D46" s="17"/>
      <c r="E46" s="17"/>
      <c r="F46" s="17"/>
      <c r="G46" s="22" t="s">
        <v>2</v>
      </c>
      <c r="H46" s="19">
        <f t="shared" ref="H46:N46" si="5">SUM(H33:H45)</f>
        <v>231</v>
      </c>
      <c r="I46" s="19">
        <f t="shared" si="5"/>
        <v>1386</v>
      </c>
      <c r="J46" s="19">
        <f t="shared" si="5"/>
        <v>1617</v>
      </c>
      <c r="K46" s="19">
        <f t="shared" si="5"/>
        <v>102</v>
      </c>
      <c r="L46" s="19">
        <f t="shared" si="5"/>
        <v>134</v>
      </c>
      <c r="M46" s="19">
        <f t="shared" si="5"/>
        <v>627</v>
      </c>
      <c r="N46" s="19">
        <f t="shared" si="5"/>
        <v>795</v>
      </c>
      <c r="O46" s="225">
        <f t="shared" si="1"/>
        <v>1658</v>
      </c>
    </row>
    <row r="47" spans="1:16" x14ac:dyDescent="0.35">
      <c r="A47" s="254">
        <v>4</v>
      </c>
      <c r="B47" s="306" t="s">
        <v>43</v>
      </c>
      <c r="C47" s="83" t="s">
        <v>1623</v>
      </c>
      <c r="D47" s="98" t="s">
        <v>1625</v>
      </c>
      <c r="E47" s="9" t="s">
        <v>1629</v>
      </c>
      <c r="F47" s="9" t="s">
        <v>1630</v>
      </c>
      <c r="G47" s="21" t="s">
        <v>9</v>
      </c>
      <c r="H47" s="11">
        <v>26</v>
      </c>
      <c r="I47" s="13">
        <v>75</v>
      </c>
      <c r="J47" s="79">
        <f t="shared" ref="J47:J58" si="6">H47+I47</f>
        <v>101</v>
      </c>
      <c r="K47" s="12">
        <v>12</v>
      </c>
      <c r="L47" s="12">
        <v>14</v>
      </c>
      <c r="M47" s="12">
        <v>28</v>
      </c>
      <c r="N47" s="12">
        <v>47</v>
      </c>
      <c r="O47" s="220">
        <f t="shared" si="1"/>
        <v>101</v>
      </c>
    </row>
    <row r="48" spans="1:16" x14ac:dyDescent="0.35">
      <c r="A48" s="242"/>
      <c r="B48" s="307"/>
      <c r="C48" s="83" t="s">
        <v>1623</v>
      </c>
      <c r="D48" s="98" t="s">
        <v>1625</v>
      </c>
      <c r="E48" s="9" t="s">
        <v>1629</v>
      </c>
      <c r="F48" s="91" t="s">
        <v>1630</v>
      </c>
      <c r="G48" s="21" t="s">
        <v>34</v>
      </c>
      <c r="H48" s="11">
        <v>50</v>
      </c>
      <c r="I48" s="13">
        <v>276</v>
      </c>
      <c r="J48" s="79">
        <f t="shared" si="6"/>
        <v>326</v>
      </c>
      <c r="K48" s="12">
        <v>21</v>
      </c>
      <c r="L48" s="12">
        <v>29</v>
      </c>
      <c r="M48" s="12">
        <v>116</v>
      </c>
      <c r="N48" s="12">
        <v>160</v>
      </c>
      <c r="O48" s="220">
        <f t="shared" si="1"/>
        <v>326</v>
      </c>
    </row>
    <row r="49" spans="1:16" x14ac:dyDescent="0.35">
      <c r="A49" s="242"/>
      <c r="B49" s="307"/>
      <c r="C49" s="83" t="s">
        <v>1623</v>
      </c>
      <c r="D49" s="98" t="s">
        <v>1625</v>
      </c>
      <c r="E49" s="9" t="s">
        <v>1629</v>
      </c>
      <c r="F49" s="91" t="s">
        <v>1631</v>
      </c>
      <c r="G49" s="21" t="s">
        <v>44</v>
      </c>
      <c r="H49" s="11">
        <v>32</v>
      </c>
      <c r="I49" s="13">
        <v>158</v>
      </c>
      <c r="J49" s="79">
        <f t="shared" si="6"/>
        <v>190</v>
      </c>
      <c r="K49" s="12">
        <v>14</v>
      </c>
      <c r="L49" s="12">
        <v>18</v>
      </c>
      <c r="M49" s="12">
        <v>80</v>
      </c>
      <c r="N49" s="12">
        <v>78</v>
      </c>
      <c r="O49" s="220">
        <f t="shared" si="1"/>
        <v>190</v>
      </c>
    </row>
    <row r="50" spans="1:16" x14ac:dyDescent="0.35">
      <c r="A50" s="242"/>
      <c r="B50" s="307"/>
      <c r="C50" s="83" t="s">
        <v>1623</v>
      </c>
      <c r="D50" s="98" t="s">
        <v>1625</v>
      </c>
      <c r="E50" s="9" t="s">
        <v>1629</v>
      </c>
      <c r="F50" s="91" t="s">
        <v>1631</v>
      </c>
      <c r="G50" s="21" t="s">
        <v>45</v>
      </c>
      <c r="H50" s="11">
        <v>35</v>
      </c>
      <c r="I50" s="13">
        <v>169</v>
      </c>
      <c r="J50" s="79">
        <f t="shared" si="6"/>
        <v>204</v>
      </c>
      <c r="K50" s="12">
        <v>16</v>
      </c>
      <c r="L50" s="12">
        <v>19</v>
      </c>
      <c r="M50" s="12">
        <v>82</v>
      </c>
      <c r="N50" s="12">
        <v>87</v>
      </c>
      <c r="O50" s="220">
        <f t="shared" si="1"/>
        <v>204</v>
      </c>
    </row>
    <row r="51" spans="1:16" x14ac:dyDescent="0.35">
      <c r="A51" s="242"/>
      <c r="B51" s="307"/>
      <c r="C51" s="83" t="s">
        <v>1623</v>
      </c>
      <c r="D51" s="98" t="s">
        <v>1625</v>
      </c>
      <c r="E51" s="9" t="s">
        <v>1629</v>
      </c>
      <c r="F51" s="91" t="s">
        <v>1630</v>
      </c>
      <c r="G51" s="21" t="s">
        <v>46</v>
      </c>
      <c r="H51" s="11">
        <v>53</v>
      </c>
      <c r="I51" s="13">
        <v>168</v>
      </c>
      <c r="J51" s="79">
        <f t="shared" si="6"/>
        <v>221</v>
      </c>
      <c r="K51" s="12">
        <v>25</v>
      </c>
      <c r="L51" s="12">
        <v>28</v>
      </c>
      <c r="M51" s="12">
        <v>83</v>
      </c>
      <c r="N51" s="12">
        <v>85</v>
      </c>
      <c r="O51" s="220">
        <f t="shared" si="1"/>
        <v>221</v>
      </c>
    </row>
    <row r="52" spans="1:16" x14ac:dyDescent="0.35">
      <c r="A52" s="242"/>
      <c r="B52" s="307"/>
      <c r="C52" s="83" t="s">
        <v>1623</v>
      </c>
      <c r="D52" s="98" t="s">
        <v>1625</v>
      </c>
      <c r="E52" s="9" t="s">
        <v>1629</v>
      </c>
      <c r="F52" s="91" t="s">
        <v>1631</v>
      </c>
      <c r="G52" s="21" t="s">
        <v>47</v>
      </c>
      <c r="H52" s="11">
        <v>43</v>
      </c>
      <c r="I52" s="13">
        <v>169</v>
      </c>
      <c r="J52" s="79">
        <f t="shared" si="6"/>
        <v>212</v>
      </c>
      <c r="K52" s="12">
        <v>17</v>
      </c>
      <c r="L52" s="12">
        <v>26</v>
      </c>
      <c r="M52" s="12">
        <v>68</v>
      </c>
      <c r="N52" s="12">
        <v>101</v>
      </c>
      <c r="O52" s="220">
        <f t="shared" si="1"/>
        <v>212</v>
      </c>
    </row>
    <row r="53" spans="1:16" x14ac:dyDescent="0.35">
      <c r="A53" s="242"/>
      <c r="B53" s="307"/>
      <c r="C53" s="83" t="s">
        <v>1623</v>
      </c>
      <c r="D53" s="98" t="s">
        <v>1625</v>
      </c>
      <c r="E53" s="9" t="s">
        <v>1629</v>
      </c>
      <c r="F53" s="91" t="s">
        <v>1630</v>
      </c>
      <c r="G53" s="21" t="s">
        <v>48</v>
      </c>
      <c r="H53" s="11">
        <v>38</v>
      </c>
      <c r="I53" s="13">
        <v>69</v>
      </c>
      <c r="J53" s="79">
        <f t="shared" si="6"/>
        <v>107</v>
      </c>
      <c r="K53" s="12">
        <v>16</v>
      </c>
      <c r="L53" s="12">
        <v>22</v>
      </c>
      <c r="M53" s="12">
        <v>32</v>
      </c>
      <c r="N53" s="12">
        <v>37</v>
      </c>
      <c r="O53" s="220">
        <f t="shared" si="1"/>
        <v>107</v>
      </c>
      <c r="P53" s="5"/>
    </row>
    <row r="54" spans="1:16" x14ac:dyDescent="0.35">
      <c r="A54" s="242"/>
      <c r="B54" s="307"/>
      <c r="C54" s="83" t="s">
        <v>1623</v>
      </c>
      <c r="D54" s="98" t="s">
        <v>1625</v>
      </c>
      <c r="E54" s="9" t="s">
        <v>1629</v>
      </c>
      <c r="F54" s="91" t="s">
        <v>1630</v>
      </c>
      <c r="G54" s="21" t="s">
        <v>49</v>
      </c>
      <c r="H54" s="11">
        <v>26</v>
      </c>
      <c r="I54" s="13">
        <v>152</v>
      </c>
      <c r="J54" s="79">
        <f t="shared" si="6"/>
        <v>178</v>
      </c>
      <c r="K54" s="12">
        <v>10</v>
      </c>
      <c r="L54" s="12">
        <v>16</v>
      </c>
      <c r="M54" s="12">
        <v>70</v>
      </c>
      <c r="N54" s="12">
        <v>82</v>
      </c>
      <c r="O54" s="220">
        <f t="shared" si="1"/>
        <v>178</v>
      </c>
    </row>
    <row r="55" spans="1:16" x14ac:dyDescent="0.35">
      <c r="A55" s="242"/>
      <c r="B55" s="307"/>
      <c r="C55" s="83" t="s">
        <v>1623</v>
      </c>
      <c r="D55" s="98" t="s">
        <v>1625</v>
      </c>
      <c r="E55" s="9" t="s">
        <v>1629</v>
      </c>
      <c r="F55" s="91" t="s">
        <v>1630</v>
      </c>
      <c r="G55" s="21" t="s">
        <v>50</v>
      </c>
      <c r="H55" s="11">
        <v>37</v>
      </c>
      <c r="I55" s="13">
        <v>144</v>
      </c>
      <c r="J55" s="79">
        <f t="shared" si="6"/>
        <v>181</v>
      </c>
      <c r="K55" s="12">
        <v>17</v>
      </c>
      <c r="L55" s="12">
        <v>20</v>
      </c>
      <c r="M55" s="12">
        <v>64</v>
      </c>
      <c r="N55" s="12">
        <v>80</v>
      </c>
      <c r="O55" s="220">
        <f t="shared" si="1"/>
        <v>181</v>
      </c>
    </row>
    <row r="56" spans="1:16" x14ac:dyDescent="0.35">
      <c r="A56" s="242"/>
      <c r="B56" s="307"/>
      <c r="C56" s="83" t="s">
        <v>1623</v>
      </c>
      <c r="D56" s="98" t="s">
        <v>1625</v>
      </c>
      <c r="E56" s="9" t="s">
        <v>1629</v>
      </c>
      <c r="F56" s="91" t="s">
        <v>1631</v>
      </c>
      <c r="G56" s="21" t="s">
        <v>51</v>
      </c>
      <c r="H56" s="11">
        <v>27</v>
      </c>
      <c r="I56" s="13">
        <v>121</v>
      </c>
      <c r="J56" s="79">
        <v>148</v>
      </c>
      <c r="K56" s="12">
        <v>12</v>
      </c>
      <c r="L56" s="12">
        <v>15</v>
      </c>
      <c r="M56" s="12">
        <v>66</v>
      </c>
      <c r="N56" s="12">
        <v>55</v>
      </c>
      <c r="O56" s="220">
        <f t="shared" si="1"/>
        <v>148</v>
      </c>
    </row>
    <row r="57" spans="1:16" x14ac:dyDescent="0.35">
      <c r="A57" s="242"/>
      <c r="B57" s="307"/>
      <c r="C57" s="83" t="s">
        <v>1623</v>
      </c>
      <c r="D57" s="98" t="s">
        <v>1625</v>
      </c>
      <c r="E57" s="9" t="s">
        <v>1629</v>
      </c>
      <c r="F57" s="91" t="s">
        <v>1630</v>
      </c>
      <c r="G57" s="21" t="s">
        <v>52</v>
      </c>
      <c r="H57" s="11">
        <v>16</v>
      </c>
      <c r="I57" s="13">
        <v>75</v>
      </c>
      <c r="J57" s="79">
        <f t="shared" si="6"/>
        <v>91</v>
      </c>
      <c r="K57" s="12">
        <v>6</v>
      </c>
      <c r="L57" s="12">
        <v>10</v>
      </c>
      <c r="M57" s="12">
        <v>34</v>
      </c>
      <c r="N57" s="12">
        <v>41</v>
      </c>
      <c r="O57" s="220">
        <f t="shared" si="1"/>
        <v>91</v>
      </c>
    </row>
    <row r="58" spans="1:16" x14ac:dyDescent="0.35">
      <c r="A58" s="242"/>
      <c r="B58" s="307"/>
      <c r="C58" s="83" t="s">
        <v>1623</v>
      </c>
      <c r="D58" s="98" t="s">
        <v>1625</v>
      </c>
      <c r="E58" s="9" t="s">
        <v>1629</v>
      </c>
      <c r="F58" s="91" t="s">
        <v>1630</v>
      </c>
      <c r="G58" s="21" t="s">
        <v>53</v>
      </c>
      <c r="H58" s="11">
        <v>45</v>
      </c>
      <c r="I58" s="13">
        <v>235</v>
      </c>
      <c r="J58" s="79">
        <f t="shared" si="6"/>
        <v>280</v>
      </c>
      <c r="K58" s="12">
        <v>19</v>
      </c>
      <c r="L58" s="12">
        <v>26</v>
      </c>
      <c r="M58" s="12">
        <v>103</v>
      </c>
      <c r="N58" s="12">
        <v>132</v>
      </c>
      <c r="O58" s="220">
        <f t="shared" si="1"/>
        <v>280</v>
      </c>
    </row>
    <row r="59" spans="1:16" x14ac:dyDescent="0.35">
      <c r="A59" s="275"/>
      <c r="B59" s="308"/>
      <c r="C59" s="17"/>
      <c r="D59" s="17"/>
      <c r="E59" s="17"/>
      <c r="F59" s="17"/>
      <c r="G59" s="22" t="s">
        <v>2</v>
      </c>
      <c r="H59" s="19">
        <f t="shared" ref="H59:N59" si="7">SUM(H47:H58)</f>
        <v>428</v>
      </c>
      <c r="I59" s="19">
        <f t="shared" si="7"/>
        <v>1811</v>
      </c>
      <c r="J59" s="19">
        <f t="shared" si="7"/>
        <v>2239</v>
      </c>
      <c r="K59" s="19">
        <f t="shared" si="7"/>
        <v>185</v>
      </c>
      <c r="L59" s="19">
        <f t="shared" si="7"/>
        <v>243</v>
      </c>
      <c r="M59" s="19">
        <f t="shared" si="7"/>
        <v>826</v>
      </c>
      <c r="N59" s="19">
        <f t="shared" si="7"/>
        <v>985</v>
      </c>
      <c r="O59" s="225">
        <f t="shared" si="1"/>
        <v>2239</v>
      </c>
    </row>
    <row r="60" spans="1:16" x14ac:dyDescent="0.35">
      <c r="A60" s="254">
        <v>5</v>
      </c>
      <c r="B60" s="298" t="s">
        <v>96</v>
      </c>
      <c r="C60" s="44"/>
      <c r="D60" s="98" t="s">
        <v>1625</v>
      </c>
      <c r="E60" s="93" t="s">
        <v>1635</v>
      </c>
      <c r="F60" s="93" t="s">
        <v>8</v>
      </c>
      <c r="G60" s="21" t="s">
        <v>97</v>
      </c>
      <c r="H60" s="11">
        <v>35</v>
      </c>
      <c r="I60" s="13">
        <v>188</v>
      </c>
      <c r="J60" s="79">
        <f t="shared" ref="J60:J112" si="8">H60+I60</f>
        <v>223</v>
      </c>
      <c r="K60" s="12">
        <v>14</v>
      </c>
      <c r="L60" s="12">
        <v>16</v>
      </c>
      <c r="M60" s="12">
        <v>91</v>
      </c>
      <c r="N60" s="12">
        <v>91</v>
      </c>
      <c r="O60" s="220">
        <f t="shared" si="1"/>
        <v>212</v>
      </c>
    </row>
    <row r="61" spans="1:16" x14ac:dyDescent="0.35">
      <c r="A61" s="255"/>
      <c r="B61" s="299"/>
      <c r="C61" s="84"/>
      <c r="D61" s="98" t="s">
        <v>1625</v>
      </c>
      <c r="E61" s="93" t="s">
        <v>1635</v>
      </c>
      <c r="F61" s="93" t="s">
        <v>8</v>
      </c>
      <c r="G61" s="21" t="s">
        <v>98</v>
      </c>
      <c r="H61" s="11">
        <v>38</v>
      </c>
      <c r="I61" s="13">
        <v>140</v>
      </c>
      <c r="J61" s="79">
        <f t="shared" si="8"/>
        <v>178</v>
      </c>
      <c r="K61" s="12">
        <v>18</v>
      </c>
      <c r="L61" s="12">
        <v>20</v>
      </c>
      <c r="M61" s="12">
        <v>66</v>
      </c>
      <c r="N61" s="12">
        <v>74</v>
      </c>
      <c r="O61" s="220">
        <f t="shared" si="1"/>
        <v>178</v>
      </c>
    </row>
    <row r="62" spans="1:16" x14ac:dyDescent="0.35">
      <c r="A62" s="255"/>
      <c r="B62" s="299"/>
      <c r="C62" s="84"/>
      <c r="D62" s="98" t="s">
        <v>1625</v>
      </c>
      <c r="E62" s="93" t="s">
        <v>1635</v>
      </c>
      <c r="F62" s="93" t="s">
        <v>1636</v>
      </c>
      <c r="G62" s="21" t="s">
        <v>99</v>
      </c>
      <c r="H62" s="11">
        <v>22</v>
      </c>
      <c r="I62" s="13">
        <v>78</v>
      </c>
      <c r="J62" s="79">
        <f t="shared" si="8"/>
        <v>100</v>
      </c>
      <c r="K62" s="12">
        <v>6</v>
      </c>
      <c r="L62" s="12">
        <v>16</v>
      </c>
      <c r="M62" s="12">
        <v>23</v>
      </c>
      <c r="N62" s="12">
        <v>27</v>
      </c>
      <c r="O62" s="220">
        <f t="shared" si="1"/>
        <v>72</v>
      </c>
    </row>
    <row r="63" spans="1:16" x14ac:dyDescent="0.35">
      <c r="A63" s="255"/>
      <c r="B63" s="299"/>
      <c r="C63" s="84"/>
      <c r="D63" s="98" t="s">
        <v>1625</v>
      </c>
      <c r="E63" s="93" t="s">
        <v>1635</v>
      </c>
      <c r="F63" s="93" t="s">
        <v>1636</v>
      </c>
      <c r="G63" s="21" t="s">
        <v>100</v>
      </c>
      <c r="H63" s="11">
        <v>11</v>
      </c>
      <c r="I63" s="13">
        <v>80</v>
      </c>
      <c r="J63" s="79">
        <f t="shared" si="8"/>
        <v>91</v>
      </c>
      <c r="K63" s="12">
        <v>6</v>
      </c>
      <c r="L63" s="12">
        <v>5</v>
      </c>
      <c r="M63" s="12">
        <v>42</v>
      </c>
      <c r="N63" s="12">
        <v>38</v>
      </c>
      <c r="O63" s="220">
        <f t="shared" si="1"/>
        <v>91</v>
      </c>
    </row>
    <row r="64" spans="1:16" x14ac:dyDescent="0.35">
      <c r="A64" s="255"/>
      <c r="B64" s="299"/>
      <c r="C64" s="84"/>
      <c r="D64" s="98" t="s">
        <v>1625</v>
      </c>
      <c r="E64" s="93" t="s">
        <v>1635</v>
      </c>
      <c r="F64" s="93" t="s">
        <v>1636</v>
      </c>
      <c r="G64" s="21" t="s">
        <v>101</v>
      </c>
      <c r="H64" s="11">
        <v>32</v>
      </c>
      <c r="I64" s="13">
        <v>117</v>
      </c>
      <c r="J64" s="79">
        <f t="shared" si="8"/>
        <v>149</v>
      </c>
      <c r="K64" s="12">
        <v>16</v>
      </c>
      <c r="L64" s="12">
        <v>15</v>
      </c>
      <c r="M64" s="12">
        <v>100</v>
      </c>
      <c r="N64" s="12">
        <v>89</v>
      </c>
      <c r="O64" s="220">
        <f t="shared" si="1"/>
        <v>220</v>
      </c>
    </row>
    <row r="65" spans="1:15" x14ac:dyDescent="0.35">
      <c r="A65" s="255"/>
      <c r="B65" s="299"/>
      <c r="C65" s="84"/>
      <c r="D65" s="98" t="s">
        <v>1625</v>
      </c>
      <c r="E65" s="93" t="s">
        <v>1635</v>
      </c>
      <c r="F65" s="93" t="s">
        <v>1636</v>
      </c>
      <c r="G65" s="21" t="s">
        <v>102</v>
      </c>
      <c r="H65" s="11">
        <v>17</v>
      </c>
      <c r="I65" s="13">
        <v>81</v>
      </c>
      <c r="J65" s="79">
        <f t="shared" si="8"/>
        <v>98</v>
      </c>
      <c r="K65" s="12">
        <v>11</v>
      </c>
      <c r="L65" s="12">
        <v>16</v>
      </c>
      <c r="M65" s="12">
        <v>41</v>
      </c>
      <c r="N65" s="12">
        <v>40</v>
      </c>
      <c r="O65" s="220">
        <f t="shared" si="1"/>
        <v>108</v>
      </c>
    </row>
    <row r="66" spans="1:15" x14ac:dyDescent="0.35">
      <c r="A66" s="255"/>
      <c r="B66" s="299"/>
      <c r="C66" s="84"/>
      <c r="D66" s="98" t="s">
        <v>1625</v>
      </c>
      <c r="E66" s="93" t="s">
        <v>1635</v>
      </c>
      <c r="F66" s="93" t="s">
        <v>8</v>
      </c>
      <c r="G66" s="21" t="s">
        <v>103</v>
      </c>
      <c r="H66" s="11">
        <v>24</v>
      </c>
      <c r="I66" s="13">
        <v>119</v>
      </c>
      <c r="J66" s="79">
        <f t="shared" si="8"/>
        <v>143</v>
      </c>
      <c r="K66" s="12">
        <v>10</v>
      </c>
      <c r="L66" s="12">
        <v>14</v>
      </c>
      <c r="M66" s="12">
        <v>59</v>
      </c>
      <c r="N66" s="12">
        <v>60</v>
      </c>
      <c r="O66" s="220">
        <f t="shared" si="1"/>
        <v>143</v>
      </c>
    </row>
    <row r="67" spans="1:15" x14ac:dyDescent="0.35">
      <c r="A67" s="255"/>
      <c r="B67" s="299"/>
      <c r="C67" s="84"/>
      <c r="D67" s="98" t="s">
        <v>1625</v>
      </c>
      <c r="E67" s="93" t="s">
        <v>1635</v>
      </c>
      <c r="F67" s="93" t="s">
        <v>8</v>
      </c>
      <c r="G67" s="21" t="s">
        <v>104</v>
      </c>
      <c r="H67" s="11">
        <v>58</v>
      </c>
      <c r="I67" s="13">
        <v>85</v>
      </c>
      <c r="J67" s="79">
        <f t="shared" si="8"/>
        <v>143</v>
      </c>
      <c r="K67" s="12">
        <v>25</v>
      </c>
      <c r="L67" s="12">
        <v>33</v>
      </c>
      <c r="M67" s="12">
        <v>34</v>
      </c>
      <c r="N67" s="12">
        <v>51</v>
      </c>
      <c r="O67" s="220">
        <f t="shared" si="1"/>
        <v>143</v>
      </c>
    </row>
    <row r="68" spans="1:15" x14ac:dyDescent="0.35">
      <c r="A68" s="255"/>
      <c r="B68" s="299"/>
      <c r="C68" s="84"/>
      <c r="D68" s="98" t="s">
        <v>1625</v>
      </c>
      <c r="E68" s="93" t="s">
        <v>1635</v>
      </c>
      <c r="F68" s="93" t="s">
        <v>1635</v>
      </c>
      <c r="G68" s="21" t="s">
        <v>105</v>
      </c>
      <c r="H68" s="11">
        <v>21</v>
      </c>
      <c r="I68" s="13">
        <v>60</v>
      </c>
      <c r="J68" s="79">
        <f t="shared" si="8"/>
        <v>81</v>
      </c>
      <c r="K68" s="12">
        <v>12</v>
      </c>
      <c r="L68" s="12">
        <v>9</v>
      </c>
      <c r="M68" s="12">
        <v>25</v>
      </c>
      <c r="N68" s="12">
        <v>35</v>
      </c>
      <c r="O68" s="220">
        <f t="shared" si="1"/>
        <v>81</v>
      </c>
    </row>
    <row r="69" spans="1:15" x14ac:dyDescent="0.35">
      <c r="A69" s="255"/>
      <c r="B69" s="299"/>
      <c r="C69" s="84"/>
      <c r="D69" s="98" t="s">
        <v>1625</v>
      </c>
      <c r="E69" s="93" t="s">
        <v>1635</v>
      </c>
      <c r="F69" s="93" t="s">
        <v>1635</v>
      </c>
      <c r="G69" s="21" t="s">
        <v>106</v>
      </c>
      <c r="H69" s="11">
        <v>50</v>
      </c>
      <c r="I69" s="13">
        <v>84</v>
      </c>
      <c r="J69" s="79">
        <f t="shared" si="8"/>
        <v>134</v>
      </c>
      <c r="K69" s="12">
        <v>10</v>
      </c>
      <c r="L69" s="12">
        <v>11</v>
      </c>
      <c r="M69" s="12">
        <v>33</v>
      </c>
      <c r="N69" s="12">
        <v>43</v>
      </c>
      <c r="O69" s="220">
        <f t="shared" si="1"/>
        <v>97</v>
      </c>
    </row>
    <row r="70" spans="1:15" x14ac:dyDescent="0.35">
      <c r="A70" s="255"/>
      <c r="B70" s="299"/>
      <c r="C70" s="84"/>
      <c r="D70" s="98" t="s">
        <v>1625</v>
      </c>
      <c r="E70" s="93" t="s">
        <v>1635</v>
      </c>
      <c r="F70" s="93" t="s">
        <v>107</v>
      </c>
      <c r="G70" s="21" t="s">
        <v>10</v>
      </c>
      <c r="H70" s="11">
        <v>16</v>
      </c>
      <c r="I70" s="13">
        <v>94</v>
      </c>
      <c r="J70" s="79">
        <f t="shared" si="8"/>
        <v>110</v>
      </c>
      <c r="K70" s="12">
        <v>7</v>
      </c>
      <c r="L70" s="12">
        <v>9</v>
      </c>
      <c r="M70" s="12">
        <v>44</v>
      </c>
      <c r="N70" s="12">
        <v>50</v>
      </c>
      <c r="O70" s="220">
        <f t="shared" si="1"/>
        <v>110</v>
      </c>
    </row>
    <row r="71" spans="1:15" x14ac:dyDescent="0.35">
      <c r="A71" s="255"/>
      <c r="B71" s="299"/>
      <c r="C71" s="84"/>
      <c r="D71" s="98" t="s">
        <v>1625</v>
      </c>
      <c r="E71" s="93" t="s">
        <v>1635</v>
      </c>
      <c r="F71" s="93" t="s">
        <v>107</v>
      </c>
      <c r="G71" s="21" t="s">
        <v>107</v>
      </c>
      <c r="H71" s="11">
        <v>12</v>
      </c>
      <c r="I71" s="13">
        <v>60</v>
      </c>
      <c r="J71" s="79">
        <f t="shared" si="8"/>
        <v>72</v>
      </c>
      <c r="K71" s="12">
        <v>6</v>
      </c>
      <c r="L71" s="12">
        <v>6</v>
      </c>
      <c r="M71" s="12">
        <v>31</v>
      </c>
      <c r="N71" s="12">
        <v>29</v>
      </c>
      <c r="O71" s="220">
        <f t="shared" ref="O71:O132" si="9">K71+L71+M71+N71</f>
        <v>72</v>
      </c>
    </row>
    <row r="72" spans="1:15" x14ac:dyDescent="0.35">
      <c r="A72" s="255"/>
      <c r="B72" s="299"/>
      <c r="C72" s="84"/>
      <c r="D72" s="98" t="s">
        <v>1625</v>
      </c>
      <c r="E72" s="93" t="s">
        <v>1635</v>
      </c>
      <c r="F72" s="93" t="s">
        <v>8</v>
      </c>
      <c r="G72" s="21" t="s">
        <v>108</v>
      </c>
      <c r="H72" s="11">
        <v>49</v>
      </c>
      <c r="I72" s="13">
        <v>158</v>
      </c>
      <c r="J72" s="79">
        <f t="shared" si="8"/>
        <v>207</v>
      </c>
      <c r="K72" s="12">
        <v>21</v>
      </c>
      <c r="L72" s="12">
        <v>28</v>
      </c>
      <c r="M72" s="12">
        <v>72</v>
      </c>
      <c r="N72" s="12">
        <v>86</v>
      </c>
      <c r="O72" s="220">
        <f t="shared" si="9"/>
        <v>207</v>
      </c>
    </row>
    <row r="73" spans="1:15" x14ac:dyDescent="0.35">
      <c r="A73" s="255"/>
      <c r="B73" s="299"/>
      <c r="C73" s="84"/>
      <c r="D73" s="98" t="s">
        <v>1625</v>
      </c>
      <c r="E73" s="93" t="s">
        <v>1635</v>
      </c>
      <c r="F73" s="93" t="s">
        <v>8</v>
      </c>
      <c r="G73" s="21" t="s">
        <v>8</v>
      </c>
      <c r="H73" s="11">
        <v>27</v>
      </c>
      <c r="I73" s="13">
        <v>170</v>
      </c>
      <c r="J73" s="79">
        <v>197</v>
      </c>
      <c r="K73" s="12">
        <v>18</v>
      </c>
      <c r="L73" s="12">
        <v>9</v>
      </c>
      <c r="M73" s="12">
        <v>88</v>
      </c>
      <c r="N73" s="12">
        <v>82</v>
      </c>
      <c r="O73" s="220">
        <f t="shared" si="9"/>
        <v>197</v>
      </c>
    </row>
    <row r="74" spans="1:15" x14ac:dyDescent="0.35">
      <c r="A74" s="255"/>
      <c r="B74" s="299"/>
      <c r="C74" s="84"/>
      <c r="D74" s="98" t="s">
        <v>1625</v>
      </c>
      <c r="E74" s="93" t="s">
        <v>1635</v>
      </c>
      <c r="F74" s="93" t="s">
        <v>8</v>
      </c>
      <c r="G74" s="21" t="s">
        <v>109</v>
      </c>
      <c r="H74" s="11">
        <v>26</v>
      </c>
      <c r="I74" s="13">
        <v>76</v>
      </c>
      <c r="J74" s="79">
        <v>102</v>
      </c>
      <c r="K74" s="12">
        <v>10</v>
      </c>
      <c r="L74" s="12">
        <v>16</v>
      </c>
      <c r="M74" s="12">
        <v>36</v>
      </c>
      <c r="N74" s="12">
        <v>40</v>
      </c>
      <c r="O74" s="220">
        <f t="shared" si="9"/>
        <v>102</v>
      </c>
    </row>
    <row r="75" spans="1:15" x14ac:dyDescent="0.35">
      <c r="A75" s="255"/>
      <c r="B75" s="299"/>
      <c r="C75" s="84"/>
      <c r="D75" s="98" t="s">
        <v>1625</v>
      </c>
      <c r="E75" s="93" t="s">
        <v>1635</v>
      </c>
      <c r="F75" s="93" t="s">
        <v>107</v>
      </c>
      <c r="G75" s="21" t="s">
        <v>110</v>
      </c>
      <c r="H75" s="11">
        <v>16</v>
      </c>
      <c r="I75" s="13">
        <v>71</v>
      </c>
      <c r="J75" s="79">
        <v>87</v>
      </c>
      <c r="K75" s="12">
        <v>9</v>
      </c>
      <c r="L75" s="12">
        <v>7</v>
      </c>
      <c r="M75" s="12">
        <v>16</v>
      </c>
      <c r="N75" s="12">
        <v>55</v>
      </c>
      <c r="O75" s="220">
        <f t="shared" si="9"/>
        <v>87</v>
      </c>
    </row>
    <row r="76" spans="1:15" x14ac:dyDescent="0.35">
      <c r="A76" s="255"/>
      <c r="B76" s="299"/>
      <c r="C76" s="84"/>
      <c r="D76" s="98" t="s">
        <v>1625</v>
      </c>
      <c r="E76" s="93" t="s">
        <v>1635</v>
      </c>
      <c r="F76" s="93" t="s">
        <v>1635</v>
      </c>
      <c r="G76" s="21" t="s">
        <v>111</v>
      </c>
      <c r="H76" s="11">
        <v>26</v>
      </c>
      <c r="I76" s="13">
        <v>87</v>
      </c>
      <c r="J76" s="79">
        <v>113</v>
      </c>
      <c r="K76" s="12">
        <v>11</v>
      </c>
      <c r="L76" s="12">
        <v>15</v>
      </c>
      <c r="M76" s="12">
        <v>16</v>
      </c>
      <c r="N76" s="12">
        <v>71</v>
      </c>
      <c r="O76" s="220">
        <f t="shared" si="9"/>
        <v>113</v>
      </c>
    </row>
    <row r="77" spans="1:15" x14ac:dyDescent="0.35">
      <c r="A77" s="255"/>
      <c r="B77" s="299"/>
      <c r="C77" s="84"/>
      <c r="D77" s="98" t="s">
        <v>1625</v>
      </c>
      <c r="E77" s="93" t="s">
        <v>1635</v>
      </c>
      <c r="F77" s="93" t="s">
        <v>107</v>
      </c>
      <c r="G77" s="21" t="s">
        <v>112</v>
      </c>
      <c r="H77" s="11">
        <v>34</v>
      </c>
      <c r="I77" s="13">
        <v>150</v>
      </c>
      <c r="J77" s="79">
        <v>184</v>
      </c>
      <c r="K77" s="12">
        <v>11</v>
      </c>
      <c r="L77" s="12">
        <v>23</v>
      </c>
      <c r="M77" s="12">
        <v>74</v>
      </c>
      <c r="N77" s="12">
        <v>76</v>
      </c>
      <c r="O77" s="220">
        <f t="shared" si="9"/>
        <v>184</v>
      </c>
    </row>
    <row r="78" spans="1:15" x14ac:dyDescent="0.35">
      <c r="A78" s="255"/>
      <c r="B78" s="299"/>
      <c r="C78" s="84"/>
      <c r="D78" s="98" t="s">
        <v>1625</v>
      </c>
      <c r="E78" s="93" t="s">
        <v>1635</v>
      </c>
      <c r="F78" s="93" t="s">
        <v>107</v>
      </c>
      <c r="G78" s="21" t="s">
        <v>113</v>
      </c>
      <c r="H78" s="11">
        <v>24</v>
      </c>
      <c r="I78" s="13">
        <v>119</v>
      </c>
      <c r="J78" s="79">
        <v>143</v>
      </c>
      <c r="K78" s="12">
        <v>11</v>
      </c>
      <c r="L78" s="12">
        <v>13</v>
      </c>
      <c r="M78" s="12">
        <v>70</v>
      </c>
      <c r="N78" s="12">
        <v>49</v>
      </c>
      <c r="O78" s="220">
        <f t="shared" si="9"/>
        <v>143</v>
      </c>
    </row>
    <row r="79" spans="1:15" x14ac:dyDescent="0.35">
      <c r="A79" s="255"/>
      <c r="B79" s="299"/>
      <c r="C79" s="84"/>
      <c r="D79" s="98" t="s">
        <v>1625</v>
      </c>
      <c r="E79" s="93" t="s">
        <v>1635</v>
      </c>
      <c r="F79" s="93" t="s">
        <v>107</v>
      </c>
      <c r="G79" s="21" t="s">
        <v>114</v>
      </c>
      <c r="H79" s="11">
        <v>34</v>
      </c>
      <c r="I79" s="13">
        <v>150</v>
      </c>
      <c r="J79" s="79">
        <v>184</v>
      </c>
      <c r="K79" s="12">
        <v>12</v>
      </c>
      <c r="L79" s="12">
        <v>22</v>
      </c>
      <c r="M79" s="12">
        <v>73</v>
      </c>
      <c r="N79" s="12">
        <v>77</v>
      </c>
      <c r="O79" s="220">
        <f t="shared" si="9"/>
        <v>184</v>
      </c>
    </row>
    <row r="80" spans="1:15" x14ac:dyDescent="0.35">
      <c r="A80" s="255"/>
      <c r="B80" s="299"/>
      <c r="C80" s="84"/>
      <c r="D80" s="98" t="s">
        <v>1625</v>
      </c>
      <c r="E80" s="93" t="s">
        <v>1635</v>
      </c>
      <c r="F80" s="93" t="s">
        <v>1637</v>
      </c>
      <c r="G80" s="21" t="s">
        <v>115</v>
      </c>
      <c r="H80" s="11">
        <v>30</v>
      </c>
      <c r="I80" s="13">
        <v>97</v>
      </c>
      <c r="J80" s="79">
        <v>127</v>
      </c>
      <c r="K80" s="12">
        <v>10</v>
      </c>
      <c r="L80" s="12">
        <v>20</v>
      </c>
      <c r="M80" s="12">
        <v>30</v>
      </c>
      <c r="N80" s="12">
        <v>67</v>
      </c>
      <c r="O80" s="220">
        <f t="shared" si="9"/>
        <v>127</v>
      </c>
    </row>
    <row r="81" spans="1:15" x14ac:dyDescent="0.35">
      <c r="A81" s="309"/>
      <c r="B81" s="300"/>
      <c r="C81" s="84"/>
      <c r="D81" s="98" t="s">
        <v>1625</v>
      </c>
      <c r="E81" s="93" t="s">
        <v>1635</v>
      </c>
      <c r="F81" s="93" t="s">
        <v>1637</v>
      </c>
      <c r="G81" s="21" t="s">
        <v>116</v>
      </c>
      <c r="H81" s="11">
        <v>32</v>
      </c>
      <c r="I81" s="13">
        <v>88</v>
      </c>
      <c r="J81" s="79">
        <v>120</v>
      </c>
      <c r="K81" s="12">
        <v>18</v>
      </c>
      <c r="L81" s="12">
        <v>14</v>
      </c>
      <c r="M81" s="12">
        <v>46</v>
      </c>
      <c r="N81" s="12">
        <v>42</v>
      </c>
      <c r="O81" s="220">
        <f t="shared" si="9"/>
        <v>120</v>
      </c>
    </row>
    <row r="82" spans="1:15" x14ac:dyDescent="0.35">
      <c r="A82" s="16"/>
      <c r="B82" s="17"/>
      <c r="C82" s="17"/>
      <c r="D82" s="17"/>
      <c r="E82" s="17"/>
      <c r="F82" s="17"/>
      <c r="G82" s="22" t="s">
        <v>2</v>
      </c>
      <c r="H82" s="19">
        <f>SUM(H60:H81)</f>
        <v>634</v>
      </c>
      <c r="I82" s="19">
        <f>SUM(I60:I81)</f>
        <v>2352</v>
      </c>
      <c r="J82" s="19">
        <f>SUM(J60:J73)</f>
        <v>1926</v>
      </c>
      <c r="K82" s="19">
        <f>SUM(K60:K81)</f>
        <v>272</v>
      </c>
      <c r="L82" s="19">
        <f>SUM(L60:L81)</f>
        <v>337</v>
      </c>
      <c r="M82" s="19">
        <f>SUM(M60:M81)</f>
        <v>1110</v>
      </c>
      <c r="N82" s="19">
        <f>SUM(N60:N81)</f>
        <v>1272</v>
      </c>
      <c r="O82" s="225">
        <f t="shared" si="9"/>
        <v>2991</v>
      </c>
    </row>
    <row r="83" spans="1:15" x14ac:dyDescent="0.35">
      <c r="A83" s="254">
        <v>6</v>
      </c>
      <c r="B83" s="304" t="s">
        <v>95</v>
      </c>
      <c r="C83" s="85"/>
      <c r="D83" s="98" t="s">
        <v>1625</v>
      </c>
      <c r="E83" s="94" t="s">
        <v>1640</v>
      </c>
      <c r="F83" s="94" t="s">
        <v>120</v>
      </c>
      <c r="G83" s="21" t="s">
        <v>66</v>
      </c>
      <c r="H83" s="11">
        <v>13</v>
      </c>
      <c r="I83" s="13">
        <v>68</v>
      </c>
      <c r="J83" s="79">
        <f t="shared" si="8"/>
        <v>81</v>
      </c>
      <c r="K83" s="12">
        <v>6</v>
      </c>
      <c r="L83" s="12">
        <v>7</v>
      </c>
      <c r="M83" s="12">
        <v>31</v>
      </c>
      <c r="N83" s="12">
        <v>37</v>
      </c>
      <c r="O83" s="220">
        <f t="shared" si="9"/>
        <v>81</v>
      </c>
    </row>
    <row r="84" spans="1:15" x14ac:dyDescent="0.35">
      <c r="A84" s="242"/>
      <c r="B84" s="305"/>
      <c r="C84" s="86"/>
      <c r="D84" s="98" t="s">
        <v>1625</v>
      </c>
      <c r="E84" s="95" t="s">
        <v>1639</v>
      </c>
      <c r="F84" s="95" t="s">
        <v>1644</v>
      </c>
      <c r="G84" s="14" t="s">
        <v>67</v>
      </c>
      <c r="H84" s="11">
        <v>46</v>
      </c>
      <c r="I84" s="13">
        <v>116</v>
      </c>
      <c r="J84" s="79">
        <f t="shared" si="8"/>
        <v>162</v>
      </c>
      <c r="K84" s="12">
        <v>22</v>
      </c>
      <c r="L84" s="12">
        <v>24</v>
      </c>
      <c r="M84" s="12">
        <v>56</v>
      </c>
      <c r="N84" s="12">
        <v>60</v>
      </c>
      <c r="O84" s="220">
        <f t="shared" si="9"/>
        <v>162</v>
      </c>
    </row>
    <row r="85" spans="1:15" x14ac:dyDescent="0.35">
      <c r="A85" s="242"/>
      <c r="B85" s="305"/>
      <c r="C85" s="86"/>
      <c r="D85" s="98" t="s">
        <v>1625</v>
      </c>
      <c r="E85" s="95" t="s">
        <v>1640</v>
      </c>
      <c r="F85" s="95" t="s">
        <v>68</v>
      </c>
      <c r="G85" s="14" t="s">
        <v>68</v>
      </c>
      <c r="H85" s="11">
        <v>19</v>
      </c>
      <c r="I85" s="13">
        <v>53</v>
      </c>
      <c r="J85" s="79">
        <f t="shared" si="8"/>
        <v>72</v>
      </c>
      <c r="K85" s="12">
        <v>9</v>
      </c>
      <c r="L85" s="12">
        <v>10</v>
      </c>
      <c r="M85" s="12">
        <v>21</v>
      </c>
      <c r="N85" s="12">
        <v>32</v>
      </c>
      <c r="O85" s="220">
        <f t="shared" si="9"/>
        <v>72</v>
      </c>
    </row>
    <row r="86" spans="1:15" x14ac:dyDescent="0.35">
      <c r="A86" s="242"/>
      <c r="B86" s="305"/>
      <c r="C86" s="86"/>
      <c r="D86" s="98" t="s">
        <v>1625</v>
      </c>
      <c r="E86" s="95" t="s">
        <v>1640</v>
      </c>
      <c r="F86" s="95" t="s">
        <v>120</v>
      </c>
      <c r="G86" s="21" t="s">
        <v>69</v>
      </c>
      <c r="H86" s="11">
        <v>16</v>
      </c>
      <c r="I86" s="13">
        <v>28</v>
      </c>
      <c r="J86" s="79">
        <f t="shared" si="8"/>
        <v>44</v>
      </c>
      <c r="K86" s="12">
        <v>7</v>
      </c>
      <c r="L86" s="12">
        <v>9</v>
      </c>
      <c r="M86" s="12">
        <v>13</v>
      </c>
      <c r="N86" s="12">
        <v>15</v>
      </c>
      <c r="O86" s="220">
        <f t="shared" si="9"/>
        <v>44</v>
      </c>
    </row>
    <row r="87" spans="1:15" x14ac:dyDescent="0.35">
      <c r="A87" s="242"/>
      <c r="B87" s="305"/>
      <c r="C87" s="86"/>
      <c r="D87" s="98" t="s">
        <v>1625</v>
      </c>
      <c r="E87" s="95" t="s">
        <v>1646</v>
      </c>
      <c r="F87" s="95" t="s">
        <v>1643</v>
      </c>
      <c r="G87" s="14" t="s">
        <v>70</v>
      </c>
      <c r="H87" s="11">
        <v>18</v>
      </c>
      <c r="I87" s="13">
        <v>45</v>
      </c>
      <c r="J87" s="79">
        <f t="shared" si="8"/>
        <v>63</v>
      </c>
      <c r="K87" s="12">
        <v>8</v>
      </c>
      <c r="L87" s="12">
        <v>10</v>
      </c>
      <c r="M87" s="12">
        <v>22</v>
      </c>
      <c r="N87" s="12">
        <v>23</v>
      </c>
      <c r="O87" s="220">
        <f t="shared" si="9"/>
        <v>63</v>
      </c>
    </row>
    <row r="88" spans="1:15" x14ac:dyDescent="0.35">
      <c r="A88" s="242"/>
      <c r="B88" s="305"/>
      <c r="C88" s="86"/>
      <c r="D88" s="98" t="s">
        <v>1625</v>
      </c>
      <c r="E88" s="95" t="s">
        <v>1640</v>
      </c>
      <c r="F88" s="95" t="s">
        <v>120</v>
      </c>
      <c r="G88" s="21" t="s">
        <v>71</v>
      </c>
      <c r="H88" s="11">
        <v>10</v>
      </c>
      <c r="I88" s="13">
        <v>38</v>
      </c>
      <c r="J88" s="79">
        <f t="shared" si="8"/>
        <v>48</v>
      </c>
      <c r="K88" s="12">
        <v>5</v>
      </c>
      <c r="L88" s="12">
        <v>5</v>
      </c>
      <c r="M88" s="12">
        <v>17</v>
      </c>
      <c r="N88" s="12">
        <v>21</v>
      </c>
      <c r="O88" s="220">
        <f t="shared" si="9"/>
        <v>48</v>
      </c>
    </row>
    <row r="89" spans="1:15" x14ac:dyDescent="0.35">
      <c r="A89" s="242"/>
      <c r="B89" s="305"/>
      <c r="C89" s="86"/>
      <c r="D89" s="98" t="s">
        <v>1625</v>
      </c>
      <c r="E89" s="95" t="s">
        <v>1640</v>
      </c>
      <c r="F89" s="95" t="s">
        <v>1641</v>
      </c>
      <c r="G89" s="14" t="s">
        <v>72</v>
      </c>
      <c r="H89" s="11">
        <v>36</v>
      </c>
      <c r="I89" s="13">
        <v>156</v>
      </c>
      <c r="J89" s="79">
        <f t="shared" si="8"/>
        <v>192</v>
      </c>
      <c r="K89" s="12">
        <v>16</v>
      </c>
      <c r="L89" s="12">
        <v>20</v>
      </c>
      <c r="M89" s="12">
        <v>76</v>
      </c>
      <c r="N89" s="12">
        <v>80</v>
      </c>
      <c r="O89" s="220">
        <f t="shared" si="9"/>
        <v>192</v>
      </c>
    </row>
    <row r="90" spans="1:15" x14ac:dyDescent="0.35">
      <c r="A90" s="242"/>
      <c r="B90" s="305"/>
      <c r="C90" s="86"/>
      <c r="D90" s="98" t="s">
        <v>1625</v>
      </c>
      <c r="E90" s="95" t="s">
        <v>1639</v>
      </c>
      <c r="F90" s="95" t="s">
        <v>1644</v>
      </c>
      <c r="G90" s="14" t="s">
        <v>73</v>
      </c>
      <c r="H90" s="11">
        <v>17</v>
      </c>
      <c r="I90" s="13">
        <v>78</v>
      </c>
      <c r="J90" s="79">
        <f t="shared" si="8"/>
        <v>95</v>
      </c>
      <c r="K90" s="12">
        <v>8</v>
      </c>
      <c r="L90" s="12">
        <v>9</v>
      </c>
      <c r="M90" s="12">
        <v>37</v>
      </c>
      <c r="N90" s="12">
        <v>41</v>
      </c>
      <c r="O90" s="220">
        <f t="shared" si="9"/>
        <v>95</v>
      </c>
    </row>
    <row r="91" spans="1:15" x14ac:dyDescent="0.35">
      <c r="A91" s="242"/>
      <c r="B91" s="305"/>
      <c r="C91" s="86"/>
      <c r="D91" s="98" t="s">
        <v>1625</v>
      </c>
      <c r="E91" s="95" t="s">
        <v>1639</v>
      </c>
      <c r="F91" s="95" t="s">
        <v>1644</v>
      </c>
      <c r="G91" s="14" t="s">
        <v>74</v>
      </c>
      <c r="H91" s="87">
        <v>18</v>
      </c>
      <c r="I91" s="87">
        <v>135</v>
      </c>
      <c r="J91" s="79">
        <f t="shared" si="8"/>
        <v>153</v>
      </c>
      <c r="K91" s="11">
        <v>13</v>
      </c>
      <c r="L91" s="13">
        <v>5</v>
      </c>
      <c r="M91" s="12">
        <v>68</v>
      </c>
      <c r="N91" s="12">
        <v>67</v>
      </c>
      <c r="O91" s="220">
        <f t="shared" si="9"/>
        <v>153</v>
      </c>
    </row>
    <row r="92" spans="1:15" x14ac:dyDescent="0.35">
      <c r="A92" s="242"/>
      <c r="B92" s="305"/>
      <c r="C92" s="86"/>
      <c r="D92" s="98" t="s">
        <v>1625</v>
      </c>
      <c r="E92" s="95" t="s">
        <v>1639</v>
      </c>
      <c r="F92" s="95" t="s">
        <v>1643</v>
      </c>
      <c r="G92" s="21" t="s">
        <v>75</v>
      </c>
      <c r="H92" s="11">
        <v>11</v>
      </c>
      <c r="I92" s="13">
        <v>48</v>
      </c>
      <c r="J92" s="79">
        <f t="shared" si="8"/>
        <v>59</v>
      </c>
      <c r="K92" s="12">
        <v>6</v>
      </c>
      <c r="L92" s="12">
        <v>5</v>
      </c>
      <c r="M92" s="12">
        <v>25</v>
      </c>
      <c r="N92" s="12">
        <v>23</v>
      </c>
      <c r="O92" s="220">
        <f t="shared" si="9"/>
        <v>59</v>
      </c>
    </row>
    <row r="93" spans="1:15" x14ac:dyDescent="0.35">
      <c r="A93" s="242"/>
      <c r="B93" s="305"/>
      <c r="C93" s="86"/>
      <c r="D93" s="98" t="s">
        <v>1625</v>
      </c>
      <c r="E93" s="95" t="s">
        <v>1640</v>
      </c>
      <c r="F93" s="95" t="s">
        <v>120</v>
      </c>
      <c r="G93" s="14" t="s">
        <v>76</v>
      </c>
      <c r="H93" s="11">
        <v>25</v>
      </c>
      <c r="I93" s="13">
        <v>80</v>
      </c>
      <c r="J93" s="79">
        <f t="shared" si="8"/>
        <v>105</v>
      </c>
      <c r="K93" s="12">
        <v>10</v>
      </c>
      <c r="L93" s="12">
        <v>17</v>
      </c>
      <c r="M93" s="12">
        <v>46</v>
      </c>
      <c r="N93" s="12">
        <v>74</v>
      </c>
      <c r="O93" s="220">
        <f t="shared" si="9"/>
        <v>147</v>
      </c>
    </row>
    <row r="94" spans="1:15" x14ac:dyDescent="0.35">
      <c r="A94" s="242"/>
      <c r="B94" s="305"/>
      <c r="C94" s="86"/>
      <c r="D94" s="98" t="s">
        <v>1625</v>
      </c>
      <c r="E94" s="95" t="s">
        <v>1640</v>
      </c>
      <c r="F94" s="95" t="s">
        <v>68</v>
      </c>
      <c r="G94" s="14" t="s">
        <v>77</v>
      </c>
      <c r="H94" s="11">
        <v>28</v>
      </c>
      <c r="I94" s="13">
        <v>49</v>
      </c>
      <c r="J94" s="79">
        <f t="shared" si="8"/>
        <v>77</v>
      </c>
      <c r="K94" s="12">
        <v>13</v>
      </c>
      <c r="L94" s="12">
        <v>15</v>
      </c>
      <c r="M94" s="12">
        <v>21</v>
      </c>
      <c r="N94" s="12">
        <v>28</v>
      </c>
      <c r="O94" s="220">
        <f t="shared" si="9"/>
        <v>77</v>
      </c>
    </row>
    <row r="95" spans="1:15" x14ac:dyDescent="0.35">
      <c r="A95" s="242"/>
      <c r="B95" s="305"/>
      <c r="C95" s="86"/>
      <c r="D95" s="98" t="s">
        <v>1625</v>
      </c>
      <c r="E95" s="95" t="s">
        <v>1640</v>
      </c>
      <c r="F95" s="95" t="s">
        <v>120</v>
      </c>
      <c r="G95" s="21" t="s">
        <v>78</v>
      </c>
      <c r="H95" s="11">
        <v>9</v>
      </c>
      <c r="I95" s="13">
        <v>40</v>
      </c>
      <c r="J95" s="79">
        <f t="shared" si="8"/>
        <v>49</v>
      </c>
      <c r="K95" s="15">
        <v>4</v>
      </c>
      <c r="L95" s="15">
        <v>5</v>
      </c>
      <c r="M95" s="15">
        <v>18</v>
      </c>
      <c r="N95" s="15">
        <v>22</v>
      </c>
      <c r="O95" s="220">
        <f t="shared" si="9"/>
        <v>49</v>
      </c>
    </row>
    <row r="96" spans="1:15" x14ac:dyDescent="0.35">
      <c r="A96" s="242"/>
      <c r="B96" s="305"/>
      <c r="C96" s="86"/>
      <c r="D96" s="98" t="s">
        <v>1625</v>
      </c>
      <c r="E96" s="95" t="s">
        <v>1640</v>
      </c>
      <c r="F96" s="95" t="s">
        <v>120</v>
      </c>
      <c r="G96" s="14" t="s">
        <v>79</v>
      </c>
      <c r="H96" s="11">
        <v>16</v>
      </c>
      <c r="I96" s="82">
        <v>58</v>
      </c>
      <c r="J96" s="79">
        <f t="shared" si="8"/>
        <v>74</v>
      </c>
      <c r="K96" s="15">
        <v>10</v>
      </c>
      <c r="L96" s="15">
        <v>6</v>
      </c>
      <c r="M96" s="15">
        <v>26</v>
      </c>
      <c r="N96" s="15">
        <v>32</v>
      </c>
      <c r="O96" s="220">
        <f t="shared" si="9"/>
        <v>74</v>
      </c>
    </row>
    <row r="97" spans="1:15" x14ac:dyDescent="0.35">
      <c r="A97" s="242"/>
      <c r="B97" s="305"/>
      <c r="C97" s="86"/>
      <c r="D97" s="98" t="s">
        <v>1625</v>
      </c>
      <c r="E97" s="95" t="s">
        <v>1640</v>
      </c>
      <c r="F97" s="95" t="s">
        <v>1642</v>
      </c>
      <c r="G97" s="21" t="s">
        <v>80</v>
      </c>
      <c r="H97" s="11">
        <v>9</v>
      </c>
      <c r="I97" s="13">
        <v>46</v>
      </c>
      <c r="J97" s="79">
        <f t="shared" si="8"/>
        <v>55</v>
      </c>
      <c r="K97" s="15">
        <v>6</v>
      </c>
      <c r="L97" s="15">
        <v>3</v>
      </c>
      <c r="M97" s="15">
        <v>25</v>
      </c>
      <c r="N97" s="15">
        <v>21</v>
      </c>
      <c r="O97" s="220">
        <f t="shared" si="9"/>
        <v>55</v>
      </c>
    </row>
    <row r="98" spans="1:15" x14ac:dyDescent="0.35">
      <c r="A98" s="242"/>
      <c r="B98" s="305"/>
      <c r="C98" s="86"/>
      <c r="D98" s="98" t="s">
        <v>1625</v>
      </c>
      <c r="E98" s="95" t="s">
        <v>1640</v>
      </c>
      <c r="F98" s="95" t="s">
        <v>68</v>
      </c>
      <c r="G98" s="14" t="s">
        <v>5</v>
      </c>
      <c r="H98" s="11">
        <v>19</v>
      </c>
      <c r="I98" s="82">
        <v>35</v>
      </c>
      <c r="J98" s="79">
        <f t="shared" si="8"/>
        <v>54</v>
      </c>
      <c r="K98" s="15">
        <v>6</v>
      </c>
      <c r="L98" s="15">
        <v>13</v>
      </c>
      <c r="M98" s="15">
        <v>15</v>
      </c>
      <c r="N98" s="15">
        <v>20</v>
      </c>
      <c r="O98" s="220">
        <f t="shared" si="9"/>
        <v>54</v>
      </c>
    </row>
    <row r="99" spans="1:15" x14ac:dyDescent="0.35">
      <c r="A99" s="242"/>
      <c r="B99" s="305"/>
      <c r="C99" s="86"/>
      <c r="D99" s="98" t="s">
        <v>1625</v>
      </c>
      <c r="E99" s="95" t="s">
        <v>1639</v>
      </c>
      <c r="F99" s="95" t="s">
        <v>1643</v>
      </c>
      <c r="G99" s="14" t="s">
        <v>81</v>
      </c>
      <c r="H99" s="11">
        <v>12</v>
      </c>
      <c r="I99" s="13">
        <v>63</v>
      </c>
      <c r="J99" s="79">
        <f t="shared" si="8"/>
        <v>75</v>
      </c>
      <c r="K99" s="15">
        <v>4</v>
      </c>
      <c r="L99" s="15">
        <v>8</v>
      </c>
      <c r="M99" s="15">
        <v>34</v>
      </c>
      <c r="N99" s="15">
        <v>29</v>
      </c>
      <c r="O99" s="220">
        <f t="shared" si="9"/>
        <v>75</v>
      </c>
    </row>
    <row r="100" spans="1:15" x14ac:dyDescent="0.35">
      <c r="A100" s="242"/>
      <c r="B100" s="305"/>
      <c r="C100" s="86"/>
      <c r="D100" s="98" t="s">
        <v>1625</v>
      </c>
      <c r="E100" s="95" t="s">
        <v>1640</v>
      </c>
      <c r="F100" s="95" t="s">
        <v>1641</v>
      </c>
      <c r="G100" s="14" t="s">
        <v>82</v>
      </c>
      <c r="H100" s="11">
        <v>9</v>
      </c>
      <c r="I100" s="13">
        <v>39</v>
      </c>
      <c r="J100" s="79">
        <f t="shared" si="8"/>
        <v>48</v>
      </c>
      <c r="K100" s="12">
        <v>2</v>
      </c>
      <c r="L100" s="12">
        <v>7</v>
      </c>
      <c r="M100" s="12">
        <v>19</v>
      </c>
      <c r="N100" s="12">
        <v>20</v>
      </c>
      <c r="O100" s="220">
        <f t="shared" si="9"/>
        <v>48</v>
      </c>
    </row>
    <row r="101" spans="1:15" x14ac:dyDescent="0.35">
      <c r="A101" s="242"/>
      <c r="B101" s="305"/>
      <c r="C101" s="86"/>
      <c r="D101" s="98" t="s">
        <v>1625</v>
      </c>
      <c r="E101" s="95" t="s">
        <v>1635</v>
      </c>
      <c r="F101" s="95" t="s">
        <v>1637</v>
      </c>
      <c r="G101" s="21" t="s">
        <v>83</v>
      </c>
      <c r="H101" s="11">
        <v>23</v>
      </c>
      <c r="I101" s="13">
        <v>84</v>
      </c>
      <c r="J101" s="79">
        <f t="shared" si="8"/>
        <v>107</v>
      </c>
      <c r="K101" s="12">
        <v>12</v>
      </c>
      <c r="L101" s="12">
        <v>11</v>
      </c>
      <c r="M101" s="12">
        <v>45</v>
      </c>
      <c r="N101" s="12">
        <v>39</v>
      </c>
      <c r="O101" s="220">
        <f t="shared" si="9"/>
        <v>107</v>
      </c>
    </row>
    <row r="102" spans="1:15" x14ac:dyDescent="0.35">
      <c r="A102" s="242"/>
      <c r="B102" s="305"/>
      <c r="C102" s="86"/>
      <c r="D102" s="98" t="s">
        <v>1625</v>
      </c>
      <c r="E102" s="95" t="s">
        <v>1640</v>
      </c>
      <c r="F102" s="95" t="s">
        <v>68</v>
      </c>
      <c r="G102" s="14" t="s">
        <v>84</v>
      </c>
      <c r="H102" s="11">
        <v>8</v>
      </c>
      <c r="I102" s="13">
        <v>37</v>
      </c>
      <c r="J102" s="79">
        <f t="shared" si="8"/>
        <v>45</v>
      </c>
      <c r="K102" s="12">
        <v>3</v>
      </c>
      <c r="L102" s="12">
        <v>5</v>
      </c>
      <c r="M102" s="12">
        <v>16</v>
      </c>
      <c r="N102" s="12">
        <v>21</v>
      </c>
      <c r="O102" s="220">
        <f t="shared" si="9"/>
        <v>45</v>
      </c>
    </row>
    <row r="103" spans="1:15" x14ac:dyDescent="0.35">
      <c r="A103" s="242"/>
      <c r="B103" s="305"/>
      <c r="C103" s="86"/>
      <c r="D103" s="98" t="s">
        <v>1625</v>
      </c>
      <c r="E103" s="95" t="s">
        <v>1640</v>
      </c>
      <c r="F103" s="95" t="s">
        <v>1642</v>
      </c>
      <c r="G103" s="21" t="s">
        <v>85</v>
      </c>
      <c r="H103" s="11">
        <v>5</v>
      </c>
      <c r="I103" s="13">
        <v>49</v>
      </c>
      <c r="J103" s="79">
        <f t="shared" si="8"/>
        <v>54</v>
      </c>
      <c r="K103" s="12">
        <v>2</v>
      </c>
      <c r="L103" s="12">
        <v>3</v>
      </c>
      <c r="M103" s="12">
        <v>21</v>
      </c>
      <c r="N103" s="12">
        <v>28</v>
      </c>
      <c r="O103" s="220">
        <f t="shared" si="9"/>
        <v>54</v>
      </c>
    </row>
    <row r="104" spans="1:15" x14ac:dyDescent="0.35">
      <c r="A104" s="242"/>
      <c r="B104" s="305"/>
      <c r="C104" s="86"/>
      <c r="D104" s="98" t="s">
        <v>1625</v>
      </c>
      <c r="E104" s="95" t="s">
        <v>1640</v>
      </c>
      <c r="F104" s="95" t="s">
        <v>1641</v>
      </c>
      <c r="G104" s="14" t="s">
        <v>86</v>
      </c>
      <c r="H104" s="11">
        <v>15</v>
      </c>
      <c r="I104" s="13">
        <v>65</v>
      </c>
      <c r="J104" s="79">
        <f>H104+I104</f>
        <v>80</v>
      </c>
      <c r="K104" s="12">
        <v>7</v>
      </c>
      <c r="L104" s="12">
        <v>8</v>
      </c>
      <c r="M104" s="12">
        <v>27</v>
      </c>
      <c r="N104" s="12">
        <v>38</v>
      </c>
      <c r="O104" s="220">
        <f t="shared" si="9"/>
        <v>80</v>
      </c>
    </row>
    <row r="105" spans="1:15" x14ac:dyDescent="0.35">
      <c r="A105" s="242"/>
      <c r="B105" s="305"/>
      <c r="C105" s="86"/>
      <c r="D105" s="98" t="s">
        <v>1625</v>
      </c>
      <c r="E105" s="95" t="s">
        <v>1640</v>
      </c>
      <c r="F105" s="95" t="s">
        <v>1641</v>
      </c>
      <c r="G105" s="14" t="s">
        <v>87</v>
      </c>
      <c r="H105" s="11">
        <v>14</v>
      </c>
      <c r="I105" s="13">
        <v>54</v>
      </c>
      <c r="J105" s="79">
        <f t="shared" si="8"/>
        <v>68</v>
      </c>
      <c r="K105" s="12">
        <v>6</v>
      </c>
      <c r="L105" s="12">
        <v>8</v>
      </c>
      <c r="M105" s="12">
        <v>33</v>
      </c>
      <c r="N105" s="12">
        <v>21</v>
      </c>
      <c r="O105" s="220">
        <f t="shared" si="9"/>
        <v>68</v>
      </c>
    </row>
    <row r="106" spans="1:15" x14ac:dyDescent="0.35">
      <c r="A106" s="242"/>
      <c r="B106" s="305"/>
      <c r="C106" s="86"/>
      <c r="D106" s="98" t="s">
        <v>1625</v>
      </c>
      <c r="E106" s="95" t="s">
        <v>1639</v>
      </c>
      <c r="F106" s="95" t="s">
        <v>1643</v>
      </c>
      <c r="G106" s="21" t="s">
        <v>88</v>
      </c>
      <c r="H106" s="11">
        <v>12</v>
      </c>
      <c r="I106" s="13">
        <v>35</v>
      </c>
      <c r="J106" s="79">
        <f t="shared" si="8"/>
        <v>47</v>
      </c>
      <c r="K106" s="12">
        <v>7</v>
      </c>
      <c r="L106" s="12">
        <v>5</v>
      </c>
      <c r="M106" s="12">
        <v>22</v>
      </c>
      <c r="N106" s="12">
        <v>13</v>
      </c>
      <c r="O106" s="220">
        <f t="shared" si="9"/>
        <v>47</v>
      </c>
    </row>
    <row r="107" spans="1:15" x14ac:dyDescent="0.35">
      <c r="A107" s="242"/>
      <c r="B107" s="305"/>
      <c r="C107" s="86"/>
      <c r="D107" s="98" t="s">
        <v>1625</v>
      </c>
      <c r="E107" s="95" t="s">
        <v>1639</v>
      </c>
      <c r="F107" s="95" t="s">
        <v>1645</v>
      </c>
      <c r="G107" s="14" t="s">
        <v>89</v>
      </c>
      <c r="H107" s="11">
        <v>40</v>
      </c>
      <c r="I107" s="13">
        <v>65</v>
      </c>
      <c r="J107" s="79">
        <f t="shared" si="8"/>
        <v>105</v>
      </c>
      <c r="K107" s="12">
        <v>22</v>
      </c>
      <c r="L107" s="12">
        <v>18</v>
      </c>
      <c r="M107" s="12">
        <v>35</v>
      </c>
      <c r="N107" s="12">
        <v>30</v>
      </c>
      <c r="O107" s="220">
        <f t="shared" si="9"/>
        <v>105</v>
      </c>
    </row>
    <row r="108" spans="1:15" x14ac:dyDescent="0.35">
      <c r="A108" s="242"/>
      <c r="B108" s="305"/>
      <c r="C108" s="86"/>
      <c r="D108" s="98" t="s">
        <v>1625</v>
      </c>
      <c r="E108" s="95" t="s">
        <v>1640</v>
      </c>
      <c r="F108" s="95" t="s">
        <v>1642</v>
      </c>
      <c r="G108" s="21" t="s">
        <v>90</v>
      </c>
      <c r="H108" s="11">
        <v>24</v>
      </c>
      <c r="I108" s="13">
        <v>57</v>
      </c>
      <c r="J108" s="79">
        <f t="shared" si="8"/>
        <v>81</v>
      </c>
      <c r="K108" s="12">
        <v>14</v>
      </c>
      <c r="L108" s="12">
        <v>10</v>
      </c>
      <c r="M108" s="12">
        <v>25</v>
      </c>
      <c r="N108" s="12">
        <v>32</v>
      </c>
      <c r="O108" s="220">
        <f t="shared" si="9"/>
        <v>81</v>
      </c>
    </row>
    <row r="109" spans="1:15" x14ac:dyDescent="0.35">
      <c r="A109" s="242"/>
      <c r="B109" s="305"/>
      <c r="C109" s="86"/>
      <c r="D109" s="98" t="s">
        <v>1625</v>
      </c>
      <c r="E109" s="95" t="s">
        <v>1639</v>
      </c>
      <c r="F109" s="95" t="s">
        <v>1637</v>
      </c>
      <c r="G109" s="14" t="s">
        <v>91</v>
      </c>
      <c r="H109" s="11">
        <v>51</v>
      </c>
      <c r="I109" s="13">
        <v>171</v>
      </c>
      <c r="J109" s="79">
        <f t="shared" si="8"/>
        <v>222</v>
      </c>
      <c r="K109" s="12">
        <v>27</v>
      </c>
      <c r="L109" s="12">
        <v>24</v>
      </c>
      <c r="M109" s="12">
        <v>95</v>
      </c>
      <c r="N109" s="12">
        <v>76</v>
      </c>
      <c r="O109" s="220">
        <f t="shared" si="9"/>
        <v>222</v>
      </c>
    </row>
    <row r="110" spans="1:15" x14ac:dyDescent="0.35">
      <c r="A110" s="242"/>
      <c r="B110" s="305"/>
      <c r="C110" s="86"/>
      <c r="D110" s="98" t="s">
        <v>1625</v>
      </c>
      <c r="E110" s="95" t="s">
        <v>1635</v>
      </c>
      <c r="F110" s="95" t="s">
        <v>1637</v>
      </c>
      <c r="G110" s="14" t="s">
        <v>92</v>
      </c>
      <c r="H110" s="11">
        <v>46</v>
      </c>
      <c r="I110" s="13">
        <v>113</v>
      </c>
      <c r="J110" s="79">
        <f t="shared" si="8"/>
        <v>159</v>
      </c>
      <c r="K110" s="12">
        <v>21</v>
      </c>
      <c r="L110" s="12">
        <v>25</v>
      </c>
      <c r="M110" s="12">
        <v>52</v>
      </c>
      <c r="N110" s="12">
        <v>61</v>
      </c>
      <c r="O110" s="220">
        <f t="shared" si="9"/>
        <v>159</v>
      </c>
    </row>
    <row r="111" spans="1:15" x14ac:dyDescent="0.35">
      <c r="A111" s="242"/>
      <c r="B111" s="305"/>
      <c r="C111" s="86"/>
      <c r="D111" s="98" t="s">
        <v>1625</v>
      </c>
      <c r="E111" s="95" t="s">
        <v>1640</v>
      </c>
      <c r="F111" s="95" t="s">
        <v>1642</v>
      </c>
      <c r="G111" s="21" t="s">
        <v>93</v>
      </c>
      <c r="H111" s="11">
        <v>7</v>
      </c>
      <c r="I111" s="13">
        <v>65</v>
      </c>
      <c r="J111" s="79">
        <f t="shared" si="8"/>
        <v>72</v>
      </c>
      <c r="K111" s="12">
        <v>3</v>
      </c>
      <c r="L111" s="12">
        <v>4</v>
      </c>
      <c r="M111" s="12">
        <v>31</v>
      </c>
      <c r="N111" s="12">
        <v>34</v>
      </c>
      <c r="O111" s="220">
        <f t="shared" si="9"/>
        <v>72</v>
      </c>
    </row>
    <row r="112" spans="1:15" x14ac:dyDescent="0.35">
      <c r="A112" s="242"/>
      <c r="B112" s="305"/>
      <c r="C112" s="86"/>
      <c r="D112" s="98" t="s">
        <v>1625</v>
      </c>
      <c r="E112" s="95" t="s">
        <v>1639</v>
      </c>
      <c r="F112" s="95" t="s">
        <v>1644</v>
      </c>
      <c r="G112" s="14" t="s">
        <v>94</v>
      </c>
      <c r="H112" s="11">
        <v>30</v>
      </c>
      <c r="I112" s="13">
        <v>203</v>
      </c>
      <c r="J112" s="79">
        <f t="shared" si="8"/>
        <v>233</v>
      </c>
      <c r="K112" s="12">
        <v>12</v>
      </c>
      <c r="L112" s="12">
        <v>18</v>
      </c>
      <c r="M112" s="12">
        <v>98</v>
      </c>
      <c r="N112" s="12">
        <v>105</v>
      </c>
      <c r="O112" s="220">
        <f t="shared" si="9"/>
        <v>233</v>
      </c>
    </row>
    <row r="113" spans="1:15" x14ac:dyDescent="0.35">
      <c r="A113" s="16"/>
      <c r="B113" s="17"/>
      <c r="C113" s="17"/>
      <c r="D113" s="17"/>
      <c r="E113" s="17"/>
      <c r="F113" s="17"/>
      <c r="G113" s="22" t="s">
        <v>2</v>
      </c>
      <c r="H113" s="19">
        <f t="shared" ref="H113:N113" si="10">SUM(H83:H112)</f>
        <v>606</v>
      </c>
      <c r="I113" s="19">
        <f t="shared" si="10"/>
        <v>2173</v>
      </c>
      <c r="J113" s="19">
        <f t="shared" si="10"/>
        <v>2779</v>
      </c>
      <c r="K113" s="19">
        <f t="shared" si="10"/>
        <v>291</v>
      </c>
      <c r="L113" s="19">
        <f t="shared" si="10"/>
        <v>317</v>
      </c>
      <c r="M113" s="19">
        <f t="shared" si="10"/>
        <v>1070</v>
      </c>
      <c r="N113" s="19">
        <f t="shared" si="10"/>
        <v>1143</v>
      </c>
      <c r="O113" s="225">
        <f t="shared" si="9"/>
        <v>2821</v>
      </c>
    </row>
    <row r="114" spans="1:15" x14ac:dyDescent="0.35">
      <c r="A114" s="254">
        <v>7</v>
      </c>
      <c r="B114" s="304" t="s">
        <v>121</v>
      </c>
      <c r="C114" s="85"/>
      <c r="D114" s="98" t="s">
        <v>1625</v>
      </c>
      <c r="E114" s="94" t="s">
        <v>1632</v>
      </c>
      <c r="F114" s="94" t="s">
        <v>1633</v>
      </c>
      <c r="G114" s="14" t="s">
        <v>117</v>
      </c>
      <c r="H114" s="11">
        <v>16</v>
      </c>
      <c r="I114" s="82">
        <v>86</v>
      </c>
      <c r="J114" s="79">
        <f t="shared" ref="J114:J130" si="11">H114+I114</f>
        <v>102</v>
      </c>
      <c r="K114" s="15">
        <v>6</v>
      </c>
      <c r="L114" s="15">
        <v>10</v>
      </c>
      <c r="M114" s="15">
        <v>41</v>
      </c>
      <c r="N114" s="15">
        <v>45</v>
      </c>
      <c r="O114" s="220">
        <f t="shared" si="9"/>
        <v>102</v>
      </c>
    </row>
    <row r="115" spans="1:15" x14ac:dyDescent="0.35">
      <c r="A115" s="242"/>
      <c r="B115" s="305"/>
      <c r="C115" s="86"/>
      <c r="D115" s="98" t="s">
        <v>1625</v>
      </c>
      <c r="E115" s="94" t="s">
        <v>1632</v>
      </c>
      <c r="F115" s="95" t="s">
        <v>1634</v>
      </c>
      <c r="G115" s="21" t="s">
        <v>118</v>
      </c>
      <c r="H115" s="11">
        <v>17</v>
      </c>
      <c r="I115" s="82">
        <v>60</v>
      </c>
      <c r="J115" s="79">
        <f t="shared" si="11"/>
        <v>77</v>
      </c>
      <c r="K115" s="15">
        <v>9</v>
      </c>
      <c r="L115" s="15">
        <v>8</v>
      </c>
      <c r="M115" s="15">
        <v>38</v>
      </c>
      <c r="N115" s="15">
        <v>39</v>
      </c>
      <c r="O115" s="220">
        <f t="shared" si="9"/>
        <v>94</v>
      </c>
    </row>
    <row r="116" spans="1:15" x14ac:dyDescent="0.35">
      <c r="A116" s="242"/>
      <c r="B116" s="305"/>
      <c r="C116" s="86"/>
      <c r="D116" s="98" t="s">
        <v>1625</v>
      </c>
      <c r="E116" s="94" t="s">
        <v>1632</v>
      </c>
      <c r="F116" s="95" t="s">
        <v>119</v>
      </c>
      <c r="G116" s="14" t="s">
        <v>37</v>
      </c>
      <c r="H116" s="11">
        <v>20</v>
      </c>
      <c r="I116" s="82">
        <v>90</v>
      </c>
      <c r="J116" s="79">
        <f t="shared" si="11"/>
        <v>110</v>
      </c>
      <c r="K116" s="15">
        <v>9</v>
      </c>
      <c r="L116" s="15">
        <v>11</v>
      </c>
      <c r="M116" s="15">
        <v>43</v>
      </c>
      <c r="N116" s="15">
        <v>47</v>
      </c>
      <c r="O116" s="220">
        <f t="shared" si="9"/>
        <v>110</v>
      </c>
    </row>
    <row r="117" spans="1:15" x14ac:dyDescent="0.35">
      <c r="A117" s="242"/>
      <c r="B117" s="305"/>
      <c r="C117" s="86"/>
      <c r="D117" s="98" t="s">
        <v>1625</v>
      </c>
      <c r="E117" s="94" t="s">
        <v>1632</v>
      </c>
      <c r="F117" s="95" t="s">
        <v>119</v>
      </c>
      <c r="G117" s="14" t="s">
        <v>119</v>
      </c>
      <c r="H117" s="11">
        <v>3</v>
      </c>
      <c r="I117" s="82">
        <v>14</v>
      </c>
      <c r="J117" s="79">
        <f t="shared" si="11"/>
        <v>17</v>
      </c>
      <c r="K117" s="15">
        <v>1</v>
      </c>
      <c r="L117" s="15">
        <v>2</v>
      </c>
      <c r="M117" s="15">
        <v>3</v>
      </c>
      <c r="N117" s="15">
        <v>11</v>
      </c>
      <c r="O117" s="220">
        <f t="shared" si="9"/>
        <v>17</v>
      </c>
    </row>
    <row r="118" spans="1:15" x14ac:dyDescent="0.35">
      <c r="A118" s="242"/>
      <c r="B118" s="305"/>
      <c r="C118" s="86"/>
      <c r="D118" s="98" t="s">
        <v>1625</v>
      </c>
      <c r="E118" s="94" t="s">
        <v>1632</v>
      </c>
      <c r="F118" s="95" t="s">
        <v>119</v>
      </c>
      <c r="G118" s="21" t="s">
        <v>46</v>
      </c>
      <c r="H118" s="11">
        <v>16</v>
      </c>
      <c r="I118" s="82">
        <v>65</v>
      </c>
      <c r="J118" s="79">
        <f t="shared" si="11"/>
        <v>81</v>
      </c>
      <c r="K118" s="15">
        <v>8</v>
      </c>
      <c r="L118" s="15">
        <v>8</v>
      </c>
      <c r="M118" s="15">
        <v>38</v>
      </c>
      <c r="N118" s="15">
        <v>43</v>
      </c>
      <c r="O118" s="220">
        <f t="shared" si="9"/>
        <v>97</v>
      </c>
    </row>
    <row r="119" spans="1:15" x14ac:dyDescent="0.35">
      <c r="A119" s="242"/>
      <c r="B119" s="305"/>
      <c r="C119" s="86"/>
      <c r="D119" s="98" t="s">
        <v>1625</v>
      </c>
      <c r="E119" s="94" t="s">
        <v>1632</v>
      </c>
      <c r="F119" s="95" t="s">
        <v>119</v>
      </c>
      <c r="G119" s="21" t="s">
        <v>68</v>
      </c>
      <c r="H119" s="11">
        <v>6</v>
      </c>
      <c r="I119" s="82">
        <v>55</v>
      </c>
      <c r="J119" s="79">
        <f t="shared" si="11"/>
        <v>61</v>
      </c>
      <c r="K119" s="15">
        <v>2</v>
      </c>
      <c r="L119" s="15">
        <v>4</v>
      </c>
      <c r="M119" s="15">
        <v>32</v>
      </c>
      <c r="N119" s="15">
        <v>29</v>
      </c>
      <c r="O119" s="220">
        <f t="shared" si="9"/>
        <v>67</v>
      </c>
    </row>
    <row r="120" spans="1:15" x14ac:dyDescent="0.35">
      <c r="A120" s="242"/>
      <c r="B120" s="305"/>
      <c r="C120" s="86"/>
      <c r="D120" s="98" t="s">
        <v>1625</v>
      </c>
      <c r="E120" s="94" t="s">
        <v>1632</v>
      </c>
      <c r="F120" s="95" t="s">
        <v>1634</v>
      </c>
      <c r="G120" s="14" t="s">
        <v>120</v>
      </c>
      <c r="H120" s="11">
        <v>19</v>
      </c>
      <c r="I120" s="82">
        <v>28</v>
      </c>
      <c r="J120" s="79">
        <f t="shared" si="11"/>
        <v>47</v>
      </c>
      <c r="K120" s="15">
        <v>8</v>
      </c>
      <c r="L120" s="15">
        <v>11</v>
      </c>
      <c r="M120" s="15">
        <v>11</v>
      </c>
      <c r="N120" s="15">
        <v>17</v>
      </c>
      <c r="O120" s="220">
        <f t="shared" si="9"/>
        <v>47</v>
      </c>
    </row>
    <row r="121" spans="1:15" x14ac:dyDescent="0.35">
      <c r="A121" s="242"/>
      <c r="B121" s="305"/>
      <c r="C121" s="86"/>
      <c r="D121" s="98" t="s">
        <v>1625</v>
      </c>
      <c r="E121" s="94" t="s">
        <v>1632</v>
      </c>
      <c r="F121" s="95" t="s">
        <v>1633</v>
      </c>
      <c r="G121" s="14" t="s">
        <v>64</v>
      </c>
      <c r="H121" s="11">
        <v>27</v>
      </c>
      <c r="I121" s="82">
        <v>76</v>
      </c>
      <c r="J121" s="79">
        <f t="shared" si="11"/>
        <v>103</v>
      </c>
      <c r="K121" s="15">
        <v>12</v>
      </c>
      <c r="L121" s="15">
        <v>15</v>
      </c>
      <c r="M121" s="15">
        <v>33</v>
      </c>
      <c r="N121" s="15">
        <v>43</v>
      </c>
      <c r="O121" s="220">
        <f t="shared" si="9"/>
        <v>103</v>
      </c>
    </row>
    <row r="122" spans="1:15" x14ac:dyDescent="0.35">
      <c r="A122" s="242"/>
      <c r="B122" s="305"/>
      <c r="C122" s="86"/>
      <c r="D122" s="98" t="s">
        <v>1625</v>
      </c>
      <c r="E122" s="94" t="s">
        <v>1632</v>
      </c>
      <c r="F122" s="95" t="s">
        <v>119</v>
      </c>
      <c r="G122" s="14" t="s">
        <v>122</v>
      </c>
      <c r="H122" s="11">
        <v>18</v>
      </c>
      <c r="I122" s="82">
        <v>121</v>
      </c>
      <c r="J122" s="79">
        <f t="shared" si="11"/>
        <v>139</v>
      </c>
      <c r="K122" s="15">
        <v>7</v>
      </c>
      <c r="L122" s="15">
        <v>11</v>
      </c>
      <c r="M122" s="15">
        <v>60</v>
      </c>
      <c r="N122" s="15">
        <v>61</v>
      </c>
      <c r="O122" s="220">
        <f t="shared" si="9"/>
        <v>139</v>
      </c>
    </row>
    <row r="123" spans="1:15" x14ac:dyDescent="0.35">
      <c r="A123" s="242"/>
      <c r="B123" s="305"/>
      <c r="C123" s="86"/>
      <c r="D123" s="98" t="s">
        <v>1625</v>
      </c>
      <c r="E123" s="94" t="s">
        <v>1632</v>
      </c>
      <c r="F123" s="95" t="s">
        <v>119</v>
      </c>
      <c r="G123" s="21" t="s">
        <v>125</v>
      </c>
      <c r="H123" s="11">
        <v>24</v>
      </c>
      <c r="I123" s="82">
        <v>116</v>
      </c>
      <c r="J123" s="79">
        <f t="shared" si="11"/>
        <v>140</v>
      </c>
      <c r="K123" s="15">
        <v>11</v>
      </c>
      <c r="L123" s="15">
        <v>13</v>
      </c>
      <c r="M123" s="15">
        <v>45</v>
      </c>
      <c r="N123" s="15">
        <v>71</v>
      </c>
      <c r="O123" s="220">
        <f t="shared" si="9"/>
        <v>140</v>
      </c>
    </row>
    <row r="124" spans="1:15" x14ac:dyDescent="0.35">
      <c r="A124" s="242"/>
      <c r="B124" s="305"/>
      <c r="C124" s="86"/>
      <c r="D124" s="98" t="s">
        <v>1625</v>
      </c>
      <c r="E124" s="94" t="s">
        <v>1632</v>
      </c>
      <c r="F124" s="95" t="s">
        <v>1634</v>
      </c>
      <c r="G124" s="14" t="s">
        <v>123</v>
      </c>
      <c r="H124" s="11">
        <v>7</v>
      </c>
      <c r="I124" s="82">
        <v>25</v>
      </c>
      <c r="J124" s="79">
        <f t="shared" si="11"/>
        <v>32</v>
      </c>
      <c r="K124" s="15">
        <v>2</v>
      </c>
      <c r="L124" s="15">
        <v>5</v>
      </c>
      <c r="M124" s="15">
        <v>14</v>
      </c>
      <c r="N124" s="15">
        <v>11</v>
      </c>
      <c r="O124" s="220">
        <f t="shared" si="9"/>
        <v>32</v>
      </c>
    </row>
    <row r="125" spans="1:15" x14ac:dyDescent="0.35">
      <c r="A125" s="242"/>
      <c r="B125" s="305"/>
      <c r="C125" s="86"/>
      <c r="D125" s="98" t="s">
        <v>1625</v>
      </c>
      <c r="E125" s="94" t="s">
        <v>1632</v>
      </c>
      <c r="F125" s="95" t="s">
        <v>1634</v>
      </c>
      <c r="G125" s="14" t="s">
        <v>124</v>
      </c>
      <c r="H125" s="11">
        <v>16</v>
      </c>
      <c r="I125" s="82">
        <v>83</v>
      </c>
      <c r="J125" s="79">
        <f t="shared" si="11"/>
        <v>99</v>
      </c>
      <c r="K125" s="15">
        <v>11</v>
      </c>
      <c r="L125" s="15">
        <v>5</v>
      </c>
      <c r="M125" s="15">
        <v>42</v>
      </c>
      <c r="N125" s="15">
        <v>41</v>
      </c>
      <c r="O125" s="220">
        <f t="shared" si="9"/>
        <v>99</v>
      </c>
    </row>
    <row r="126" spans="1:15" x14ac:dyDescent="0.35">
      <c r="A126" s="242"/>
      <c r="B126" s="305"/>
      <c r="C126" s="86"/>
      <c r="D126" s="98" t="s">
        <v>1625</v>
      </c>
      <c r="E126" s="94" t="s">
        <v>1632</v>
      </c>
      <c r="F126" s="95" t="s">
        <v>1633</v>
      </c>
      <c r="G126" s="14" t="s">
        <v>126</v>
      </c>
      <c r="H126" s="11">
        <v>23</v>
      </c>
      <c r="I126" s="82">
        <v>83</v>
      </c>
      <c r="J126" s="79">
        <f t="shared" si="11"/>
        <v>106</v>
      </c>
      <c r="K126" s="15">
        <v>15</v>
      </c>
      <c r="L126" s="15">
        <v>11</v>
      </c>
      <c r="M126" s="15">
        <v>41</v>
      </c>
      <c r="N126" s="15">
        <v>45</v>
      </c>
      <c r="O126" s="220">
        <f t="shared" si="9"/>
        <v>112</v>
      </c>
    </row>
    <row r="127" spans="1:15" x14ac:dyDescent="0.35">
      <c r="A127" s="242"/>
      <c r="B127" s="305"/>
      <c r="C127" s="86"/>
      <c r="D127" s="98" t="s">
        <v>1625</v>
      </c>
      <c r="E127" s="94" t="s">
        <v>1632</v>
      </c>
      <c r="F127" s="95" t="s">
        <v>1634</v>
      </c>
      <c r="G127" s="14" t="s">
        <v>127</v>
      </c>
      <c r="H127" s="11">
        <v>8</v>
      </c>
      <c r="I127" s="82">
        <v>66</v>
      </c>
      <c r="J127" s="79">
        <f t="shared" si="11"/>
        <v>74</v>
      </c>
      <c r="K127" s="15">
        <v>3</v>
      </c>
      <c r="L127" s="15">
        <v>5</v>
      </c>
      <c r="M127" s="15">
        <v>16</v>
      </c>
      <c r="N127" s="15">
        <v>50</v>
      </c>
      <c r="O127" s="220">
        <f t="shared" si="9"/>
        <v>74</v>
      </c>
    </row>
    <row r="128" spans="1:15" x14ac:dyDescent="0.35">
      <c r="A128" s="242"/>
      <c r="B128" s="305"/>
      <c r="C128" s="86"/>
      <c r="D128" s="98" t="s">
        <v>1625</v>
      </c>
      <c r="E128" s="94" t="s">
        <v>1632</v>
      </c>
      <c r="F128" s="95" t="s">
        <v>1634</v>
      </c>
      <c r="G128" s="14" t="s">
        <v>128</v>
      </c>
      <c r="H128" s="11">
        <v>20</v>
      </c>
      <c r="I128" s="82">
        <v>90</v>
      </c>
      <c r="J128" s="79">
        <f t="shared" si="11"/>
        <v>110</v>
      </c>
      <c r="K128" s="15">
        <v>9</v>
      </c>
      <c r="L128" s="15">
        <v>11</v>
      </c>
      <c r="M128" s="15">
        <v>34</v>
      </c>
      <c r="N128" s="15">
        <v>56</v>
      </c>
      <c r="O128" s="220">
        <f t="shared" si="9"/>
        <v>110</v>
      </c>
    </row>
    <row r="129" spans="1:15" x14ac:dyDescent="0.35">
      <c r="A129" s="242"/>
      <c r="B129" s="305"/>
      <c r="C129" s="86"/>
      <c r="D129" s="98" t="s">
        <v>1625</v>
      </c>
      <c r="E129" s="94" t="s">
        <v>1632</v>
      </c>
      <c r="F129" s="95" t="s">
        <v>1633</v>
      </c>
      <c r="G129" s="21" t="s">
        <v>129</v>
      </c>
      <c r="H129" s="11">
        <v>15</v>
      </c>
      <c r="I129" s="82">
        <v>80</v>
      </c>
      <c r="J129" s="79">
        <f t="shared" si="11"/>
        <v>95</v>
      </c>
      <c r="K129" s="15">
        <v>6</v>
      </c>
      <c r="L129" s="15">
        <v>9</v>
      </c>
      <c r="M129" s="15">
        <v>35</v>
      </c>
      <c r="N129" s="15">
        <v>45</v>
      </c>
      <c r="O129" s="220">
        <f t="shared" si="9"/>
        <v>95</v>
      </c>
    </row>
    <row r="130" spans="1:15" x14ac:dyDescent="0.35">
      <c r="A130" s="242"/>
      <c r="B130" s="305"/>
      <c r="C130" s="86"/>
      <c r="D130" s="98" t="s">
        <v>1625</v>
      </c>
      <c r="E130" s="94" t="s">
        <v>1632</v>
      </c>
      <c r="F130" s="95" t="s">
        <v>1633</v>
      </c>
      <c r="G130" s="14" t="s">
        <v>130</v>
      </c>
      <c r="H130" s="11">
        <v>3</v>
      </c>
      <c r="I130" s="82">
        <v>23</v>
      </c>
      <c r="J130" s="79">
        <f t="shared" si="11"/>
        <v>26</v>
      </c>
      <c r="K130" s="15">
        <v>1</v>
      </c>
      <c r="L130" s="15">
        <v>2</v>
      </c>
      <c r="M130" s="15">
        <v>10</v>
      </c>
      <c r="N130" s="15">
        <v>13</v>
      </c>
      <c r="O130" s="220">
        <f t="shared" si="9"/>
        <v>26</v>
      </c>
    </row>
    <row r="131" spans="1:15" x14ac:dyDescent="0.35">
      <c r="A131" s="16"/>
      <c r="B131" s="17"/>
      <c r="C131" s="17"/>
      <c r="D131" s="17"/>
      <c r="E131" s="17"/>
      <c r="F131" s="17"/>
      <c r="G131" s="22" t="s">
        <v>2</v>
      </c>
      <c r="H131" s="19">
        <f t="shared" ref="H131:N131" si="12">SUM(H114:H130)</f>
        <v>258</v>
      </c>
      <c r="I131" s="19">
        <f t="shared" si="12"/>
        <v>1161</v>
      </c>
      <c r="J131" s="19">
        <f t="shared" si="12"/>
        <v>1419</v>
      </c>
      <c r="K131" s="19">
        <f t="shared" si="12"/>
        <v>120</v>
      </c>
      <c r="L131" s="19">
        <f t="shared" si="12"/>
        <v>141</v>
      </c>
      <c r="M131" s="19">
        <f t="shared" si="12"/>
        <v>536</v>
      </c>
      <c r="N131" s="19">
        <f t="shared" si="12"/>
        <v>667</v>
      </c>
      <c r="O131" s="225">
        <f t="shared" si="9"/>
        <v>1464</v>
      </c>
    </row>
    <row r="132" spans="1:15" x14ac:dyDescent="0.35">
      <c r="A132" s="23"/>
      <c r="B132" s="24"/>
      <c r="C132" s="24"/>
      <c r="D132" s="24"/>
      <c r="E132" s="96"/>
      <c r="F132" s="96"/>
      <c r="G132" s="186" t="s">
        <v>2637</v>
      </c>
      <c r="H132" s="187">
        <v>3723</v>
      </c>
      <c r="I132" s="187">
        <v>13922</v>
      </c>
      <c r="J132" s="187">
        <v>17645</v>
      </c>
      <c r="K132" s="187">
        <f>K131+K113+K82+K59+K46+K32+K22</f>
        <v>1708</v>
      </c>
      <c r="L132" s="187">
        <f>L131+L113+L82+L59+L46+L32+L22</f>
        <v>1957</v>
      </c>
      <c r="M132" s="187">
        <f>M131+M113+M82+M59+M46+M32+M22</f>
        <v>6563</v>
      </c>
      <c r="N132" s="187">
        <f>N131+N113+N82+N59+N46+N32+N22</f>
        <v>7410</v>
      </c>
      <c r="O132" s="225">
        <f t="shared" si="9"/>
        <v>17638</v>
      </c>
    </row>
  </sheetData>
  <mergeCells count="30">
    <mergeCell ref="A114:A130"/>
    <mergeCell ref="B114:B130"/>
    <mergeCell ref="A47:A59"/>
    <mergeCell ref="B47:B59"/>
    <mergeCell ref="B60:B81"/>
    <mergeCell ref="A83:A112"/>
    <mergeCell ref="B83:B112"/>
    <mergeCell ref="A60:A81"/>
    <mergeCell ref="A6:A21"/>
    <mergeCell ref="B6:B21"/>
    <mergeCell ref="A23:A29"/>
    <mergeCell ref="B23:B31"/>
    <mergeCell ref="B33:B45"/>
    <mergeCell ref="A33:A45"/>
    <mergeCell ref="B1:N1"/>
    <mergeCell ref="G2:N2"/>
    <mergeCell ref="A3:A5"/>
    <mergeCell ref="B3:B5"/>
    <mergeCell ref="C3:C5"/>
    <mergeCell ref="D3:D5"/>
    <mergeCell ref="E3:E5"/>
    <mergeCell ref="F3:F5"/>
    <mergeCell ref="G3:G5"/>
    <mergeCell ref="H3:J3"/>
    <mergeCell ref="K3:N3"/>
    <mergeCell ref="H4:H5"/>
    <mergeCell ref="I4:I5"/>
    <mergeCell ref="J4:J5"/>
    <mergeCell ref="K4:L4"/>
    <mergeCell ref="M4:N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323D-5901-4E89-88DB-13959AE32CF3}">
  <dimension ref="A1:L432"/>
  <sheetViews>
    <sheetView zoomScale="80" zoomScaleNormal="80" workbookViewId="0">
      <selection activeCell="O5" sqref="O5"/>
    </sheetView>
  </sheetViews>
  <sheetFormatPr defaultRowHeight="14.5" x14ac:dyDescent="0.35"/>
  <cols>
    <col min="2" max="2" width="21.7265625" customWidth="1"/>
    <col min="3" max="3" width="10.54296875" customWidth="1"/>
    <col min="4" max="4" width="10.26953125" customWidth="1"/>
    <col min="5" max="5" width="16.7265625" customWidth="1"/>
    <col min="6" max="6" width="13.453125" customWidth="1"/>
    <col min="7" max="7" width="16.54296875" customWidth="1"/>
    <col min="11" max="11" width="13.81640625" customWidth="1"/>
    <col min="12" max="12" width="10.26953125" customWidth="1"/>
  </cols>
  <sheetData>
    <row r="1" spans="1:12" ht="50.25" customHeight="1" x14ac:dyDescent="0.35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12" x14ac:dyDescent="0.35">
      <c r="A2" s="245" t="s">
        <v>1</v>
      </c>
      <c r="B2" s="291" t="s">
        <v>2970</v>
      </c>
      <c r="C2" s="291" t="s">
        <v>1622</v>
      </c>
      <c r="D2" s="291" t="s">
        <v>1621</v>
      </c>
      <c r="E2" s="291" t="s">
        <v>2971</v>
      </c>
      <c r="F2" s="246" t="s">
        <v>2972</v>
      </c>
      <c r="G2" s="291" t="s">
        <v>12</v>
      </c>
      <c r="H2" s="256" t="s">
        <v>15</v>
      </c>
      <c r="I2" s="256"/>
      <c r="J2" s="257"/>
      <c r="K2" s="257"/>
    </row>
    <row r="3" spans="1:12" x14ac:dyDescent="0.35">
      <c r="A3" s="237"/>
      <c r="B3" s="238"/>
      <c r="C3" s="238"/>
      <c r="D3" s="238"/>
      <c r="E3" s="238"/>
      <c r="F3" s="247"/>
      <c r="G3" s="292"/>
      <c r="H3" s="258" t="s">
        <v>13</v>
      </c>
      <c r="I3" s="257"/>
      <c r="J3" s="259" t="s">
        <v>14</v>
      </c>
      <c r="K3" s="260"/>
      <c r="L3" s="216" t="s">
        <v>2</v>
      </c>
    </row>
    <row r="4" spans="1:12" x14ac:dyDescent="0.35">
      <c r="A4" s="237"/>
      <c r="B4" s="238"/>
      <c r="C4" s="238"/>
      <c r="D4" s="238"/>
      <c r="E4" s="238"/>
      <c r="F4" s="248"/>
      <c r="G4" s="292"/>
      <c r="H4" s="8" t="s">
        <v>3</v>
      </c>
      <c r="I4" s="8" t="s">
        <v>4</v>
      </c>
      <c r="J4" s="8" t="s">
        <v>3</v>
      </c>
      <c r="K4" s="8" t="s">
        <v>4</v>
      </c>
      <c r="L4" s="216" t="s">
        <v>3296</v>
      </c>
    </row>
    <row r="5" spans="1:12" x14ac:dyDescent="0.35">
      <c r="A5" s="241">
        <v>1</v>
      </c>
      <c r="B5" s="310" t="s">
        <v>3259</v>
      </c>
      <c r="C5" s="6" t="s">
        <v>1623</v>
      </c>
      <c r="D5" s="6" t="s">
        <v>2180</v>
      </c>
      <c r="E5" s="6" t="s">
        <v>2211</v>
      </c>
      <c r="F5" s="6" t="s">
        <v>2190</v>
      </c>
      <c r="G5" s="33" t="s">
        <v>2191</v>
      </c>
      <c r="H5" s="34">
        <v>21</v>
      </c>
      <c r="I5" s="34">
        <v>19</v>
      </c>
      <c r="J5" s="34">
        <v>87</v>
      </c>
      <c r="K5" s="34">
        <v>84</v>
      </c>
      <c r="L5" s="220">
        <f>H5+I5+J5+K5</f>
        <v>211</v>
      </c>
    </row>
    <row r="6" spans="1:12" x14ac:dyDescent="0.35">
      <c r="A6" s="242"/>
      <c r="B6" s="311"/>
      <c r="C6" s="6" t="s">
        <v>1623</v>
      </c>
      <c r="D6" s="6" t="s">
        <v>2180</v>
      </c>
      <c r="E6" s="6" t="s">
        <v>2211</v>
      </c>
      <c r="F6" s="6" t="s">
        <v>2212</v>
      </c>
      <c r="G6" s="33" t="s">
        <v>2213</v>
      </c>
      <c r="H6" s="34">
        <v>12</v>
      </c>
      <c r="I6" s="34">
        <v>17</v>
      </c>
      <c r="J6" s="34">
        <v>113</v>
      </c>
      <c r="K6" s="34">
        <v>108</v>
      </c>
      <c r="L6" s="220">
        <f t="shared" ref="L6:L69" si="0">H6+I6+J6+K6</f>
        <v>250</v>
      </c>
    </row>
    <row r="7" spans="1:12" x14ac:dyDescent="0.35">
      <c r="A7" s="242"/>
      <c r="B7" s="311"/>
      <c r="C7" s="6" t="s">
        <v>1623</v>
      </c>
      <c r="D7" s="6" t="s">
        <v>2180</v>
      </c>
      <c r="E7" s="6" t="s">
        <v>2211</v>
      </c>
      <c r="F7" s="6" t="s">
        <v>2212</v>
      </c>
      <c r="G7" s="33" t="s">
        <v>2214</v>
      </c>
      <c r="H7" s="34">
        <v>22</v>
      </c>
      <c r="I7" s="34">
        <v>16</v>
      </c>
      <c r="J7" s="34">
        <v>87</v>
      </c>
      <c r="K7" s="34">
        <v>95</v>
      </c>
      <c r="L7" s="220">
        <f t="shared" si="0"/>
        <v>220</v>
      </c>
    </row>
    <row r="8" spans="1:12" x14ac:dyDescent="0.35">
      <c r="A8" s="242"/>
      <c r="B8" s="311"/>
      <c r="C8" s="6" t="s">
        <v>1623</v>
      </c>
      <c r="D8" s="6" t="s">
        <v>2180</v>
      </c>
      <c r="E8" s="6" t="s">
        <v>2211</v>
      </c>
      <c r="F8" s="6" t="s">
        <v>2212</v>
      </c>
      <c r="G8" s="33" t="s">
        <v>2215</v>
      </c>
      <c r="H8" s="34">
        <v>17</v>
      </c>
      <c r="I8" s="34">
        <v>19</v>
      </c>
      <c r="J8" s="34">
        <v>87</v>
      </c>
      <c r="K8" s="34">
        <v>84</v>
      </c>
      <c r="L8" s="220">
        <f t="shared" si="0"/>
        <v>207</v>
      </c>
    </row>
    <row r="9" spans="1:12" x14ac:dyDescent="0.35">
      <c r="A9" s="242"/>
      <c r="B9" s="311"/>
      <c r="C9" s="6" t="s">
        <v>1623</v>
      </c>
      <c r="D9" s="6" t="s">
        <v>2180</v>
      </c>
      <c r="E9" s="6" t="s">
        <v>2211</v>
      </c>
      <c r="F9" s="6" t="s">
        <v>2231</v>
      </c>
      <c r="G9" s="33" t="s">
        <v>2231</v>
      </c>
      <c r="H9" s="34">
        <v>14</v>
      </c>
      <c r="I9" s="34">
        <v>16</v>
      </c>
      <c r="J9" s="34">
        <v>76</v>
      </c>
      <c r="K9" s="34">
        <v>84</v>
      </c>
      <c r="L9" s="220">
        <f t="shared" si="0"/>
        <v>190</v>
      </c>
    </row>
    <row r="10" spans="1:12" x14ac:dyDescent="0.35">
      <c r="A10" s="242"/>
      <c r="B10" s="311"/>
      <c r="C10" s="6" t="s">
        <v>1623</v>
      </c>
      <c r="D10" s="6" t="s">
        <v>2180</v>
      </c>
      <c r="E10" s="6" t="s">
        <v>2211</v>
      </c>
      <c r="F10" s="6" t="s">
        <v>2527</v>
      </c>
      <c r="G10" s="33" t="s">
        <v>2528</v>
      </c>
      <c r="H10" s="34">
        <v>10</v>
      </c>
      <c r="I10" s="34">
        <v>14</v>
      </c>
      <c r="J10" s="34">
        <v>74</v>
      </c>
      <c r="K10" s="34">
        <v>68</v>
      </c>
      <c r="L10" s="220">
        <f t="shared" si="0"/>
        <v>166</v>
      </c>
    </row>
    <row r="11" spans="1:12" x14ac:dyDescent="0.35">
      <c r="A11" s="242"/>
      <c r="B11" s="311"/>
      <c r="C11" s="6" t="s">
        <v>1623</v>
      </c>
      <c r="D11" s="6" t="s">
        <v>2180</v>
      </c>
      <c r="E11" s="6" t="s">
        <v>2211</v>
      </c>
      <c r="F11" s="6" t="s">
        <v>2527</v>
      </c>
      <c r="G11" s="33" t="s">
        <v>2579</v>
      </c>
      <c r="H11" s="34">
        <v>12</v>
      </c>
      <c r="I11" s="34">
        <v>18</v>
      </c>
      <c r="J11" s="34">
        <v>75</v>
      </c>
      <c r="K11" s="34">
        <v>66</v>
      </c>
      <c r="L11" s="220">
        <f t="shared" si="0"/>
        <v>171</v>
      </c>
    </row>
    <row r="12" spans="1:12" x14ac:dyDescent="0.35">
      <c r="A12" s="242"/>
      <c r="B12" s="312"/>
      <c r="C12" s="6" t="s">
        <v>1623</v>
      </c>
      <c r="D12" s="6" t="s">
        <v>2180</v>
      </c>
      <c r="E12" s="6" t="s">
        <v>2211</v>
      </c>
      <c r="F12" s="6" t="s">
        <v>2527</v>
      </c>
      <c r="G12" s="33" t="s">
        <v>2187</v>
      </c>
      <c r="H12" s="226">
        <v>7</v>
      </c>
      <c r="I12" s="226">
        <v>11</v>
      </c>
      <c r="J12" s="226">
        <v>82</v>
      </c>
      <c r="K12" s="226">
        <v>98</v>
      </c>
      <c r="L12" s="220">
        <f t="shared" si="0"/>
        <v>198</v>
      </c>
    </row>
    <row r="13" spans="1:12" x14ac:dyDescent="0.35">
      <c r="A13" s="275"/>
      <c r="B13" s="188"/>
      <c r="C13" s="188"/>
      <c r="D13" s="188"/>
      <c r="E13" s="188"/>
      <c r="F13" s="188"/>
      <c r="G13" s="227" t="s">
        <v>2</v>
      </c>
      <c r="H13" s="227">
        <f t="shared" ref="H13:K13" si="1">SUM(H5:H12)</f>
        <v>115</v>
      </c>
      <c r="I13" s="227">
        <f t="shared" si="1"/>
        <v>130</v>
      </c>
      <c r="J13" s="227">
        <f t="shared" si="1"/>
        <v>681</v>
      </c>
      <c r="K13" s="227">
        <f t="shared" si="1"/>
        <v>687</v>
      </c>
      <c r="L13" s="225">
        <f t="shared" si="0"/>
        <v>1613</v>
      </c>
    </row>
    <row r="14" spans="1:12" x14ac:dyDescent="0.35">
      <c r="A14" s="313">
        <v>2</v>
      </c>
      <c r="B14" s="310" t="s">
        <v>3253</v>
      </c>
      <c r="C14" s="6" t="s">
        <v>1623</v>
      </c>
      <c r="D14" s="6" t="s">
        <v>2180</v>
      </c>
      <c r="E14" s="6" t="s">
        <v>2181</v>
      </c>
      <c r="F14" s="6" t="s">
        <v>2182</v>
      </c>
      <c r="G14" s="6" t="s">
        <v>2188</v>
      </c>
      <c r="H14" s="34">
        <v>15</v>
      </c>
      <c r="I14" s="34">
        <v>15</v>
      </c>
      <c r="J14" s="34">
        <v>36</v>
      </c>
      <c r="K14" s="34">
        <v>34</v>
      </c>
      <c r="L14" s="220">
        <f t="shared" si="0"/>
        <v>100</v>
      </c>
    </row>
    <row r="15" spans="1:12" x14ac:dyDescent="0.35">
      <c r="A15" s="314"/>
      <c r="B15" s="311"/>
      <c r="C15" s="6" t="s">
        <v>1623</v>
      </c>
      <c r="D15" s="6" t="s">
        <v>2180</v>
      </c>
      <c r="E15" s="6" t="s">
        <v>2225</v>
      </c>
      <c r="F15" s="6" t="s">
        <v>2226</v>
      </c>
      <c r="G15" s="33" t="s">
        <v>2227</v>
      </c>
      <c r="H15" s="34">
        <v>7</v>
      </c>
      <c r="I15" s="34">
        <v>8</v>
      </c>
      <c r="J15" s="34">
        <v>50</v>
      </c>
      <c r="K15" s="34">
        <v>65</v>
      </c>
      <c r="L15" s="220">
        <f t="shared" si="0"/>
        <v>130</v>
      </c>
    </row>
    <row r="16" spans="1:12" x14ac:dyDescent="0.35">
      <c r="A16" s="314"/>
      <c r="B16" s="311"/>
      <c r="C16" s="6" t="s">
        <v>1623</v>
      </c>
      <c r="D16" s="6" t="s">
        <v>2180</v>
      </c>
      <c r="E16" s="6" t="s">
        <v>2225</v>
      </c>
      <c r="F16" s="6" t="s">
        <v>2226</v>
      </c>
      <c r="G16" s="6" t="s">
        <v>2228</v>
      </c>
      <c r="H16" s="6">
        <v>16</v>
      </c>
      <c r="I16" s="6">
        <v>26</v>
      </c>
      <c r="J16" s="6">
        <v>79</v>
      </c>
      <c r="K16" s="6">
        <v>121</v>
      </c>
      <c r="L16" s="220">
        <f t="shared" si="0"/>
        <v>242</v>
      </c>
    </row>
    <row r="17" spans="1:12" x14ac:dyDescent="0.35">
      <c r="A17" s="314"/>
      <c r="B17" s="311"/>
      <c r="C17" s="6" t="s">
        <v>1623</v>
      </c>
      <c r="D17" s="6" t="s">
        <v>2180</v>
      </c>
      <c r="E17" s="6" t="s">
        <v>2225</v>
      </c>
      <c r="F17" s="6" t="s">
        <v>2226</v>
      </c>
      <c r="G17" s="6" t="s">
        <v>2229</v>
      </c>
      <c r="H17" s="6">
        <v>60</v>
      </c>
      <c r="I17" s="6">
        <v>90</v>
      </c>
      <c r="J17" s="6">
        <v>170</v>
      </c>
      <c r="K17" s="6">
        <v>220</v>
      </c>
      <c r="L17" s="220">
        <f t="shared" si="0"/>
        <v>540</v>
      </c>
    </row>
    <row r="18" spans="1:12" x14ac:dyDescent="0.35">
      <c r="A18" s="314"/>
      <c r="B18" s="311"/>
      <c r="C18" s="6" t="s">
        <v>1623</v>
      </c>
      <c r="D18" s="6" t="s">
        <v>2180</v>
      </c>
      <c r="E18" s="6" t="s">
        <v>2225</v>
      </c>
      <c r="F18" s="6" t="s">
        <v>2226</v>
      </c>
      <c r="G18" s="33" t="s">
        <v>2229</v>
      </c>
      <c r="H18" s="34">
        <v>10</v>
      </c>
      <c r="I18" s="34">
        <v>10</v>
      </c>
      <c r="J18" s="34">
        <v>53</v>
      </c>
      <c r="K18" s="34">
        <v>65</v>
      </c>
      <c r="L18" s="220">
        <f t="shared" si="0"/>
        <v>138</v>
      </c>
    </row>
    <row r="19" spans="1:12" x14ac:dyDescent="0.35">
      <c r="A19" s="314"/>
      <c r="B19" s="311"/>
      <c r="C19" s="6" t="s">
        <v>1623</v>
      </c>
      <c r="D19" s="6" t="s">
        <v>2180</v>
      </c>
      <c r="E19" s="6" t="s">
        <v>2225</v>
      </c>
      <c r="F19" s="6" t="s">
        <v>2226</v>
      </c>
      <c r="G19" s="33" t="s">
        <v>17</v>
      </c>
      <c r="H19" s="34">
        <v>6</v>
      </c>
      <c r="I19" s="34">
        <v>8</v>
      </c>
      <c r="J19" s="34">
        <v>45</v>
      </c>
      <c r="K19" s="34">
        <v>96</v>
      </c>
      <c r="L19" s="220">
        <f t="shared" si="0"/>
        <v>155</v>
      </c>
    </row>
    <row r="20" spans="1:12" x14ac:dyDescent="0.35">
      <c r="A20" s="314"/>
      <c r="B20" s="311"/>
      <c r="C20" s="6" t="s">
        <v>1623</v>
      </c>
      <c r="D20" s="6" t="s">
        <v>2180</v>
      </c>
      <c r="E20" s="6" t="s">
        <v>2232</v>
      </c>
      <c r="F20" s="6" t="s">
        <v>2233</v>
      </c>
      <c r="G20" s="6" t="s">
        <v>2233</v>
      </c>
      <c r="H20" s="34">
        <v>7</v>
      </c>
      <c r="I20" s="34">
        <v>3</v>
      </c>
      <c r="J20" s="34">
        <v>13</v>
      </c>
      <c r="K20" s="34">
        <v>6</v>
      </c>
      <c r="L20" s="220">
        <f t="shared" si="0"/>
        <v>29</v>
      </c>
    </row>
    <row r="21" spans="1:12" x14ac:dyDescent="0.35">
      <c r="A21" s="314"/>
      <c r="B21" s="311"/>
      <c r="C21" s="6" t="s">
        <v>1623</v>
      </c>
      <c r="D21" s="6" t="s">
        <v>2180</v>
      </c>
      <c r="E21" s="6" t="s">
        <v>2232</v>
      </c>
      <c r="F21" s="6" t="s">
        <v>2233</v>
      </c>
      <c r="G21" s="33" t="s">
        <v>2234</v>
      </c>
      <c r="H21" s="34">
        <v>8</v>
      </c>
      <c r="I21" s="34">
        <v>17</v>
      </c>
      <c r="J21" s="34">
        <v>65</v>
      </c>
      <c r="K21" s="34">
        <v>75</v>
      </c>
      <c r="L21" s="220">
        <f t="shared" si="0"/>
        <v>165</v>
      </c>
    </row>
    <row r="22" spans="1:12" x14ac:dyDescent="0.35">
      <c r="A22" s="314"/>
      <c r="B22" s="311"/>
      <c r="C22" s="6" t="s">
        <v>1623</v>
      </c>
      <c r="D22" s="6" t="s">
        <v>2180</v>
      </c>
      <c r="E22" s="6" t="s">
        <v>2232</v>
      </c>
      <c r="F22" s="6" t="s">
        <v>2233</v>
      </c>
      <c r="G22" s="33" t="s">
        <v>2234</v>
      </c>
      <c r="H22" s="34">
        <v>15</v>
      </c>
      <c r="I22" s="34">
        <v>17</v>
      </c>
      <c r="J22" s="34">
        <v>76</v>
      </c>
      <c r="K22" s="34">
        <v>74</v>
      </c>
      <c r="L22" s="220">
        <f t="shared" si="0"/>
        <v>182</v>
      </c>
    </row>
    <row r="23" spans="1:12" x14ac:dyDescent="0.35">
      <c r="A23" s="314"/>
      <c r="B23" s="311"/>
      <c r="C23" s="6" t="s">
        <v>1623</v>
      </c>
      <c r="D23" s="6" t="s">
        <v>2180</v>
      </c>
      <c r="E23" s="6" t="s">
        <v>2232</v>
      </c>
      <c r="F23" s="6" t="s">
        <v>2233</v>
      </c>
      <c r="G23" s="33" t="s">
        <v>2238</v>
      </c>
      <c r="H23" s="34">
        <v>6</v>
      </c>
      <c r="I23" s="34">
        <v>7</v>
      </c>
      <c r="J23" s="34">
        <v>38</v>
      </c>
      <c r="K23" s="34">
        <v>45</v>
      </c>
      <c r="L23" s="220">
        <f t="shared" si="0"/>
        <v>96</v>
      </c>
    </row>
    <row r="24" spans="1:12" x14ac:dyDescent="0.35">
      <c r="A24" s="314"/>
      <c r="B24" s="311"/>
      <c r="C24" s="6" t="s">
        <v>1623</v>
      </c>
      <c r="D24" s="6" t="s">
        <v>2180</v>
      </c>
      <c r="E24" s="6" t="s">
        <v>2239</v>
      </c>
      <c r="F24" s="6" t="s">
        <v>2240</v>
      </c>
      <c r="G24" s="33" t="s">
        <v>2240</v>
      </c>
      <c r="H24" s="34">
        <v>6</v>
      </c>
      <c r="I24" s="34">
        <v>5</v>
      </c>
      <c r="J24" s="34">
        <v>20</v>
      </c>
      <c r="K24" s="34">
        <v>23</v>
      </c>
      <c r="L24" s="220">
        <f t="shared" si="0"/>
        <v>54</v>
      </c>
    </row>
    <row r="25" spans="1:12" x14ac:dyDescent="0.35">
      <c r="A25" s="314"/>
      <c r="B25" s="311"/>
      <c r="C25" s="6" t="s">
        <v>1623</v>
      </c>
      <c r="D25" s="6" t="s">
        <v>2180</v>
      </c>
      <c r="E25" s="6" t="s">
        <v>2239</v>
      </c>
      <c r="F25" s="6" t="s">
        <v>2240</v>
      </c>
      <c r="G25" s="33" t="s">
        <v>2247</v>
      </c>
      <c r="H25" s="34">
        <v>1</v>
      </c>
      <c r="I25" s="34">
        <v>3</v>
      </c>
      <c r="J25" s="34">
        <v>13</v>
      </c>
      <c r="K25" s="34">
        <v>16</v>
      </c>
      <c r="L25" s="220">
        <f t="shared" si="0"/>
        <v>33</v>
      </c>
    </row>
    <row r="26" spans="1:12" x14ac:dyDescent="0.35">
      <c r="A26" s="314"/>
      <c r="B26" s="311"/>
      <c r="C26" s="6" t="s">
        <v>1623</v>
      </c>
      <c r="D26" s="6" t="s">
        <v>2180</v>
      </c>
      <c r="E26" s="6" t="s">
        <v>2225</v>
      </c>
      <c r="F26" s="6" t="s">
        <v>2275</v>
      </c>
      <c r="G26" s="6" t="s">
        <v>2276</v>
      </c>
      <c r="H26" s="6">
        <v>13</v>
      </c>
      <c r="I26" s="6">
        <v>27</v>
      </c>
      <c r="J26" s="6">
        <v>38</v>
      </c>
      <c r="K26" s="6">
        <v>70</v>
      </c>
      <c r="L26" s="220">
        <f t="shared" si="0"/>
        <v>148</v>
      </c>
    </row>
    <row r="27" spans="1:12" x14ac:dyDescent="0.35">
      <c r="A27" s="314"/>
      <c r="B27" s="311"/>
      <c r="C27" s="6" t="s">
        <v>1623</v>
      </c>
      <c r="D27" s="6" t="s">
        <v>2180</v>
      </c>
      <c r="E27" s="6" t="s">
        <v>2225</v>
      </c>
      <c r="F27" s="6" t="s">
        <v>2275</v>
      </c>
      <c r="G27" s="6" t="s">
        <v>2277</v>
      </c>
      <c r="H27" s="6">
        <v>40</v>
      </c>
      <c r="I27" s="6">
        <v>30</v>
      </c>
      <c r="J27" s="6">
        <v>106</v>
      </c>
      <c r="K27" s="6">
        <v>124</v>
      </c>
      <c r="L27" s="220">
        <f t="shared" si="0"/>
        <v>300</v>
      </c>
    </row>
    <row r="28" spans="1:12" x14ac:dyDescent="0.35">
      <c r="A28" s="314"/>
      <c r="B28" s="311"/>
      <c r="C28" s="6" t="s">
        <v>1623</v>
      </c>
      <c r="D28" s="6" t="s">
        <v>2180</v>
      </c>
      <c r="E28" s="6" t="s">
        <v>2225</v>
      </c>
      <c r="F28" s="6" t="s">
        <v>2275</v>
      </c>
      <c r="G28" s="6" t="s">
        <v>2278</v>
      </c>
      <c r="H28" s="6">
        <v>15</v>
      </c>
      <c r="I28" s="6">
        <v>20</v>
      </c>
      <c r="J28" s="6">
        <v>60</v>
      </c>
      <c r="K28" s="6">
        <v>96</v>
      </c>
      <c r="L28" s="220">
        <f t="shared" si="0"/>
        <v>191</v>
      </c>
    </row>
    <row r="29" spans="1:12" x14ac:dyDescent="0.35">
      <c r="A29" s="314"/>
      <c r="B29" s="311"/>
      <c r="C29" s="6" t="s">
        <v>1623</v>
      </c>
      <c r="D29" s="6" t="s">
        <v>2180</v>
      </c>
      <c r="E29" s="6" t="s">
        <v>2225</v>
      </c>
      <c r="F29" s="6" t="s">
        <v>2275</v>
      </c>
      <c r="G29" s="6" t="s">
        <v>2281</v>
      </c>
      <c r="H29" s="6">
        <v>17</v>
      </c>
      <c r="I29" s="6">
        <v>21</v>
      </c>
      <c r="J29" s="6">
        <v>69</v>
      </c>
      <c r="K29" s="6">
        <v>51</v>
      </c>
      <c r="L29" s="220">
        <f t="shared" si="0"/>
        <v>158</v>
      </c>
    </row>
    <row r="30" spans="1:12" x14ac:dyDescent="0.35">
      <c r="A30" s="314"/>
      <c r="B30" s="311"/>
      <c r="C30" s="6" t="s">
        <v>1623</v>
      </c>
      <c r="D30" s="6" t="s">
        <v>2180</v>
      </c>
      <c r="E30" s="6" t="s">
        <v>2225</v>
      </c>
      <c r="F30" s="6" t="s">
        <v>2275</v>
      </c>
      <c r="G30" s="6" t="s">
        <v>2279</v>
      </c>
      <c r="H30" s="6">
        <v>20</v>
      </c>
      <c r="I30" s="6">
        <v>10</v>
      </c>
      <c r="J30" s="6">
        <v>64</v>
      </c>
      <c r="K30" s="6">
        <v>96</v>
      </c>
      <c r="L30" s="220">
        <f t="shared" si="0"/>
        <v>190</v>
      </c>
    </row>
    <row r="31" spans="1:12" x14ac:dyDescent="0.35">
      <c r="A31" s="314"/>
      <c r="B31" s="311"/>
      <c r="C31" s="6" t="s">
        <v>1623</v>
      </c>
      <c r="D31" s="6" t="s">
        <v>2180</v>
      </c>
      <c r="E31" s="6" t="s">
        <v>2225</v>
      </c>
      <c r="F31" s="6" t="s">
        <v>2275</v>
      </c>
      <c r="G31" s="6" t="s">
        <v>2283</v>
      </c>
      <c r="H31" s="6">
        <v>14</v>
      </c>
      <c r="I31" s="6">
        <v>26</v>
      </c>
      <c r="J31" s="6">
        <v>57</v>
      </c>
      <c r="K31" s="6">
        <v>93</v>
      </c>
      <c r="L31" s="220">
        <f t="shared" si="0"/>
        <v>190</v>
      </c>
    </row>
    <row r="32" spans="1:12" x14ac:dyDescent="0.35">
      <c r="A32" s="314"/>
      <c r="B32" s="311"/>
      <c r="C32" s="6" t="s">
        <v>1623</v>
      </c>
      <c r="D32" s="6" t="s">
        <v>2180</v>
      </c>
      <c r="E32" s="6" t="s">
        <v>2225</v>
      </c>
      <c r="F32" s="6" t="s">
        <v>2275</v>
      </c>
      <c r="G32" s="6" t="s">
        <v>2284</v>
      </c>
      <c r="H32" s="6">
        <v>12</v>
      </c>
      <c r="I32" s="6">
        <v>20</v>
      </c>
      <c r="J32" s="6">
        <v>33</v>
      </c>
      <c r="K32" s="6">
        <v>67</v>
      </c>
      <c r="L32" s="220">
        <f t="shared" si="0"/>
        <v>132</v>
      </c>
    </row>
    <row r="33" spans="1:12" x14ac:dyDescent="0.35">
      <c r="A33" s="314"/>
      <c r="B33" s="311"/>
      <c r="C33" s="6" t="s">
        <v>1623</v>
      </c>
      <c r="D33" s="6" t="s">
        <v>2180</v>
      </c>
      <c r="E33" s="6" t="s">
        <v>2225</v>
      </c>
      <c r="F33" s="6" t="s">
        <v>2275</v>
      </c>
      <c r="G33" s="6" t="s">
        <v>2284</v>
      </c>
      <c r="H33" s="34">
        <v>4</v>
      </c>
      <c r="I33" s="34">
        <v>2</v>
      </c>
      <c r="J33" s="34">
        <v>35</v>
      </c>
      <c r="K33" s="34">
        <v>30</v>
      </c>
      <c r="L33" s="220">
        <f t="shared" si="0"/>
        <v>71</v>
      </c>
    </row>
    <row r="34" spans="1:12" x14ac:dyDescent="0.35">
      <c r="A34" s="314"/>
      <c r="B34" s="311"/>
      <c r="C34" s="6" t="s">
        <v>1623</v>
      </c>
      <c r="D34" s="6" t="s">
        <v>2180</v>
      </c>
      <c r="E34" s="6" t="s">
        <v>2225</v>
      </c>
      <c r="F34" s="6" t="s">
        <v>2364</v>
      </c>
      <c r="G34" s="33" t="s">
        <v>2365</v>
      </c>
      <c r="H34" s="34">
        <v>6</v>
      </c>
      <c r="I34" s="34">
        <v>9</v>
      </c>
      <c r="J34" s="34">
        <v>50</v>
      </c>
      <c r="K34" s="34">
        <v>52</v>
      </c>
      <c r="L34" s="220">
        <f t="shared" si="0"/>
        <v>117</v>
      </c>
    </row>
    <row r="35" spans="1:12" x14ac:dyDescent="0.35">
      <c r="A35" s="314"/>
      <c r="B35" s="311"/>
      <c r="C35" s="6" t="s">
        <v>1623</v>
      </c>
      <c r="D35" s="6" t="s">
        <v>2180</v>
      </c>
      <c r="E35" s="6" t="s">
        <v>2225</v>
      </c>
      <c r="F35" s="6" t="s">
        <v>2364</v>
      </c>
      <c r="G35" s="33" t="s">
        <v>2366</v>
      </c>
      <c r="H35" s="34">
        <v>12</v>
      </c>
      <c r="I35" s="34">
        <v>8</v>
      </c>
      <c r="J35" s="34">
        <v>50</v>
      </c>
      <c r="K35" s="34">
        <v>47</v>
      </c>
      <c r="L35" s="220">
        <f t="shared" si="0"/>
        <v>117</v>
      </c>
    </row>
    <row r="36" spans="1:12" x14ac:dyDescent="0.35">
      <c r="A36" s="314"/>
      <c r="B36" s="311"/>
      <c r="C36" s="6" t="s">
        <v>1623</v>
      </c>
      <c r="D36" s="6" t="s">
        <v>2180</v>
      </c>
      <c r="E36" s="6" t="s">
        <v>2181</v>
      </c>
      <c r="F36" s="6" t="s">
        <v>141</v>
      </c>
      <c r="G36" s="6" t="s">
        <v>2401</v>
      </c>
      <c r="H36" s="6">
        <v>45</v>
      </c>
      <c r="I36" s="6">
        <v>55</v>
      </c>
      <c r="J36" s="6">
        <v>176</v>
      </c>
      <c r="K36" s="6">
        <v>211</v>
      </c>
      <c r="L36" s="220">
        <f t="shared" si="0"/>
        <v>487</v>
      </c>
    </row>
    <row r="37" spans="1:12" x14ac:dyDescent="0.35">
      <c r="A37" s="314"/>
      <c r="B37" s="311"/>
      <c r="C37" s="6" t="s">
        <v>1623</v>
      </c>
      <c r="D37" s="6" t="s">
        <v>2180</v>
      </c>
      <c r="E37" s="6" t="s">
        <v>2181</v>
      </c>
      <c r="F37" s="6" t="s">
        <v>2095</v>
      </c>
      <c r="G37" s="6" t="s">
        <v>2502</v>
      </c>
      <c r="H37" s="6">
        <v>29</v>
      </c>
      <c r="I37" s="6">
        <v>36</v>
      </c>
      <c r="J37" s="6">
        <v>113</v>
      </c>
      <c r="K37" s="6">
        <v>147</v>
      </c>
      <c r="L37" s="220">
        <f t="shared" si="0"/>
        <v>325</v>
      </c>
    </row>
    <row r="38" spans="1:12" x14ac:dyDescent="0.35">
      <c r="A38" s="314"/>
      <c r="B38" s="311"/>
      <c r="C38" s="6" t="s">
        <v>1623</v>
      </c>
      <c r="D38" s="6" t="s">
        <v>2180</v>
      </c>
      <c r="E38" s="6" t="s">
        <v>2181</v>
      </c>
      <c r="F38" s="6" t="s">
        <v>3308</v>
      </c>
      <c r="G38" s="6" t="s">
        <v>2207</v>
      </c>
      <c r="H38" s="6">
        <v>43</v>
      </c>
      <c r="I38" s="6">
        <v>57</v>
      </c>
      <c r="J38" s="6">
        <v>58</v>
      </c>
      <c r="K38" s="6">
        <v>117</v>
      </c>
      <c r="L38" s="220">
        <f t="shared" si="0"/>
        <v>275</v>
      </c>
    </row>
    <row r="39" spans="1:12" x14ac:dyDescent="0.35">
      <c r="A39" s="314"/>
      <c r="B39" s="311"/>
      <c r="C39" s="6" t="s">
        <v>1623</v>
      </c>
      <c r="D39" s="6" t="s">
        <v>2180</v>
      </c>
      <c r="E39" s="6" t="s">
        <v>2181</v>
      </c>
      <c r="F39" s="6" t="s">
        <v>2182</v>
      </c>
      <c r="G39" s="6" t="s">
        <v>2187</v>
      </c>
      <c r="H39" s="6">
        <v>27</v>
      </c>
      <c r="I39" s="6">
        <v>49</v>
      </c>
      <c r="J39" s="6">
        <v>76</v>
      </c>
      <c r="K39" s="6">
        <v>104</v>
      </c>
      <c r="L39" s="220">
        <f t="shared" si="0"/>
        <v>256</v>
      </c>
    </row>
    <row r="40" spans="1:12" x14ac:dyDescent="0.35">
      <c r="A40" s="314"/>
      <c r="B40" s="311"/>
      <c r="C40" s="6" t="s">
        <v>1623</v>
      </c>
      <c r="D40" s="6" t="s">
        <v>2180</v>
      </c>
      <c r="E40" s="6" t="s">
        <v>2181</v>
      </c>
      <c r="F40" s="6" t="s">
        <v>2182</v>
      </c>
      <c r="G40" s="33" t="s">
        <v>2187</v>
      </c>
      <c r="H40" s="34">
        <v>7</v>
      </c>
      <c r="I40" s="34">
        <v>11</v>
      </c>
      <c r="J40" s="34">
        <v>82</v>
      </c>
      <c r="K40" s="34">
        <v>98</v>
      </c>
      <c r="L40" s="220">
        <f t="shared" si="0"/>
        <v>198</v>
      </c>
    </row>
    <row r="41" spans="1:12" x14ac:dyDescent="0.35">
      <c r="A41" s="314"/>
      <c r="B41" s="311"/>
      <c r="C41" s="6" t="s">
        <v>1623</v>
      </c>
      <c r="D41" s="6" t="s">
        <v>2180</v>
      </c>
      <c r="E41" s="6" t="s">
        <v>2181</v>
      </c>
      <c r="F41" s="6" t="s">
        <v>2182</v>
      </c>
      <c r="G41" s="6" t="s">
        <v>2187</v>
      </c>
      <c r="H41" s="34">
        <v>11</v>
      </c>
      <c r="I41" s="34">
        <v>11</v>
      </c>
      <c r="J41" s="34">
        <v>56</v>
      </c>
      <c r="K41" s="34">
        <v>63</v>
      </c>
      <c r="L41" s="220">
        <f t="shared" si="0"/>
        <v>141</v>
      </c>
    </row>
    <row r="42" spans="1:12" x14ac:dyDescent="0.35">
      <c r="A42" s="314"/>
      <c r="B42" s="311"/>
      <c r="C42" s="6" t="s">
        <v>1623</v>
      </c>
      <c r="D42" s="6" t="s">
        <v>2180</v>
      </c>
      <c r="E42" s="6" t="s">
        <v>2181</v>
      </c>
      <c r="F42" s="6" t="s">
        <v>2182</v>
      </c>
      <c r="G42" s="33" t="s">
        <v>2187</v>
      </c>
      <c r="H42" s="34">
        <v>13</v>
      </c>
      <c r="I42" s="34">
        <v>20</v>
      </c>
      <c r="J42" s="34">
        <v>20</v>
      </c>
      <c r="K42" s="34">
        <v>17</v>
      </c>
      <c r="L42" s="220">
        <f t="shared" si="0"/>
        <v>70</v>
      </c>
    </row>
    <row r="43" spans="1:12" x14ac:dyDescent="0.35">
      <c r="A43" s="314"/>
      <c r="B43" s="311"/>
      <c r="C43" s="6" t="s">
        <v>1623</v>
      </c>
      <c r="D43" s="6" t="s">
        <v>2180</v>
      </c>
      <c r="E43" s="6" t="s">
        <v>2181</v>
      </c>
      <c r="F43" s="6" t="s">
        <v>2182</v>
      </c>
      <c r="G43" s="6" t="s">
        <v>2183</v>
      </c>
      <c r="H43" s="6">
        <v>22</v>
      </c>
      <c r="I43" s="6">
        <v>32</v>
      </c>
      <c r="J43" s="6">
        <v>70</v>
      </c>
      <c r="K43" s="6">
        <v>70</v>
      </c>
      <c r="L43" s="220">
        <f t="shared" si="0"/>
        <v>194</v>
      </c>
    </row>
    <row r="44" spans="1:12" x14ac:dyDescent="0.35">
      <c r="A44" s="314"/>
      <c r="B44" s="311"/>
      <c r="C44" s="6" t="s">
        <v>1623</v>
      </c>
      <c r="D44" s="6" t="s">
        <v>2180</v>
      </c>
      <c r="E44" s="6" t="s">
        <v>2181</v>
      </c>
      <c r="F44" s="6" t="s">
        <v>2182</v>
      </c>
      <c r="G44" s="6" t="s">
        <v>2184</v>
      </c>
      <c r="H44" s="6">
        <v>22</v>
      </c>
      <c r="I44" s="6">
        <v>33</v>
      </c>
      <c r="J44" s="6">
        <v>63</v>
      </c>
      <c r="K44" s="6">
        <v>102</v>
      </c>
      <c r="L44" s="220">
        <f t="shared" si="0"/>
        <v>220</v>
      </c>
    </row>
    <row r="45" spans="1:12" x14ac:dyDescent="0.35">
      <c r="A45" s="314"/>
      <c r="B45" s="311"/>
      <c r="C45" s="6" t="s">
        <v>1623</v>
      </c>
      <c r="D45" s="6" t="s">
        <v>2180</v>
      </c>
      <c r="E45" s="6" t="s">
        <v>2181</v>
      </c>
      <c r="F45" s="6" t="s">
        <v>2182</v>
      </c>
      <c r="G45" s="33" t="s">
        <v>2185</v>
      </c>
      <c r="H45" s="34">
        <v>11</v>
      </c>
      <c r="I45" s="34">
        <v>18</v>
      </c>
      <c r="J45" s="34">
        <v>29</v>
      </c>
      <c r="K45" s="34">
        <v>79</v>
      </c>
      <c r="L45" s="220">
        <f t="shared" si="0"/>
        <v>137</v>
      </c>
    </row>
    <row r="46" spans="1:12" x14ac:dyDescent="0.35">
      <c r="A46" s="314"/>
      <c r="B46" s="311"/>
      <c r="C46" s="6" t="s">
        <v>1623</v>
      </c>
      <c r="D46" s="6" t="s">
        <v>2180</v>
      </c>
      <c r="E46" s="6" t="s">
        <v>2181</v>
      </c>
      <c r="F46" s="6" t="s">
        <v>2182</v>
      </c>
      <c r="G46" s="6" t="s">
        <v>2186</v>
      </c>
      <c r="H46" s="6">
        <v>28</v>
      </c>
      <c r="I46" s="6">
        <v>65</v>
      </c>
      <c r="J46" s="6">
        <v>78</v>
      </c>
      <c r="K46" s="6">
        <v>102</v>
      </c>
      <c r="L46" s="220">
        <f t="shared" si="0"/>
        <v>273</v>
      </c>
    </row>
    <row r="47" spans="1:12" x14ac:dyDescent="0.35">
      <c r="A47" s="314"/>
      <c r="B47" s="311"/>
      <c r="C47" s="6" t="s">
        <v>1623</v>
      </c>
      <c r="D47" s="6" t="s">
        <v>2180</v>
      </c>
      <c r="E47" s="6" t="s">
        <v>2181</v>
      </c>
      <c r="F47" s="6" t="s">
        <v>2206</v>
      </c>
      <c r="G47" s="6" t="s">
        <v>2208</v>
      </c>
      <c r="H47" s="6">
        <v>42</v>
      </c>
      <c r="I47" s="6">
        <v>58</v>
      </c>
      <c r="J47" s="6">
        <v>192</v>
      </c>
      <c r="K47" s="6">
        <v>204</v>
      </c>
      <c r="L47" s="220">
        <f t="shared" si="0"/>
        <v>496</v>
      </c>
    </row>
    <row r="48" spans="1:12" x14ac:dyDescent="0.35">
      <c r="A48" s="314"/>
      <c r="B48" s="311"/>
      <c r="C48" s="6" t="s">
        <v>1623</v>
      </c>
      <c r="D48" s="6" t="s">
        <v>2180</v>
      </c>
      <c r="E48" s="6" t="s">
        <v>2181</v>
      </c>
      <c r="F48" s="6" t="s">
        <v>2206</v>
      </c>
      <c r="G48" s="6" t="s">
        <v>2209</v>
      </c>
      <c r="H48" s="34">
        <v>13</v>
      </c>
      <c r="I48" s="34">
        <v>16</v>
      </c>
      <c r="J48" s="34">
        <v>44</v>
      </c>
      <c r="K48" s="34">
        <v>58</v>
      </c>
      <c r="L48" s="220">
        <f t="shared" si="0"/>
        <v>131</v>
      </c>
    </row>
    <row r="49" spans="1:12" x14ac:dyDescent="0.35">
      <c r="A49" s="314"/>
      <c r="B49" s="311"/>
      <c r="C49" s="6" t="s">
        <v>1623</v>
      </c>
      <c r="D49" s="6" t="s">
        <v>2180</v>
      </c>
      <c r="E49" s="6" t="s">
        <v>2181</v>
      </c>
      <c r="F49" s="6" t="s">
        <v>2206</v>
      </c>
      <c r="G49" s="6" t="s">
        <v>2209</v>
      </c>
      <c r="H49" s="6">
        <v>30</v>
      </c>
      <c r="I49" s="6">
        <v>26</v>
      </c>
      <c r="J49" s="6">
        <v>99</v>
      </c>
      <c r="K49" s="6">
        <v>151</v>
      </c>
      <c r="L49" s="220">
        <f t="shared" si="0"/>
        <v>306</v>
      </c>
    </row>
    <row r="50" spans="1:12" x14ac:dyDescent="0.35">
      <c r="A50" s="314"/>
      <c r="B50" s="311"/>
      <c r="C50" s="6" t="s">
        <v>1623</v>
      </c>
      <c r="D50" s="6" t="s">
        <v>2180</v>
      </c>
      <c r="E50" s="6" t="s">
        <v>2181</v>
      </c>
      <c r="F50" s="6" t="s">
        <v>2206</v>
      </c>
      <c r="G50" s="6" t="s">
        <v>2210</v>
      </c>
      <c r="H50" s="6">
        <v>32</v>
      </c>
      <c r="I50" s="6">
        <v>53</v>
      </c>
      <c r="J50" s="6">
        <v>133</v>
      </c>
      <c r="K50" s="6">
        <v>157</v>
      </c>
      <c r="L50" s="220">
        <f t="shared" si="0"/>
        <v>375</v>
      </c>
    </row>
    <row r="51" spans="1:12" x14ac:dyDescent="0.35">
      <c r="A51" s="314"/>
      <c r="B51" s="311"/>
      <c r="C51" s="6" t="s">
        <v>1623</v>
      </c>
      <c r="D51" s="6" t="s">
        <v>2180</v>
      </c>
      <c r="E51" s="6" t="s">
        <v>2225</v>
      </c>
      <c r="F51" s="6" t="s">
        <v>2226</v>
      </c>
      <c r="G51" s="6" t="s">
        <v>2230</v>
      </c>
      <c r="H51" s="6">
        <v>44</v>
      </c>
      <c r="I51" s="6">
        <v>37</v>
      </c>
      <c r="J51" s="6">
        <v>85</v>
      </c>
      <c r="K51" s="6">
        <v>135</v>
      </c>
      <c r="L51" s="220">
        <f t="shared" si="0"/>
        <v>301</v>
      </c>
    </row>
    <row r="52" spans="1:12" x14ac:dyDescent="0.35">
      <c r="A52" s="314"/>
      <c r="B52" s="311"/>
      <c r="C52" s="6" t="s">
        <v>1623</v>
      </c>
      <c r="D52" s="6" t="s">
        <v>2180</v>
      </c>
      <c r="E52" s="6" t="s">
        <v>2225</v>
      </c>
      <c r="F52" s="6" t="s">
        <v>2233</v>
      </c>
      <c r="G52" s="33" t="s">
        <v>2235</v>
      </c>
      <c r="H52" s="34">
        <v>5</v>
      </c>
      <c r="I52" s="34">
        <v>7</v>
      </c>
      <c r="J52" s="34">
        <v>54</v>
      </c>
      <c r="K52" s="34">
        <v>109</v>
      </c>
      <c r="L52" s="220">
        <f t="shared" si="0"/>
        <v>175</v>
      </c>
    </row>
    <row r="53" spans="1:12" x14ac:dyDescent="0.35">
      <c r="A53" s="314"/>
      <c r="B53" s="311"/>
      <c r="C53" s="6" t="s">
        <v>1623</v>
      </c>
      <c r="D53" s="6" t="s">
        <v>2180</v>
      </c>
      <c r="E53" s="6" t="s">
        <v>2225</v>
      </c>
      <c r="F53" s="6" t="s">
        <v>2233</v>
      </c>
      <c r="G53" s="33" t="s">
        <v>2236</v>
      </c>
      <c r="H53" s="34">
        <v>14</v>
      </c>
      <c r="I53" s="34">
        <v>16</v>
      </c>
      <c r="J53" s="34">
        <v>63</v>
      </c>
      <c r="K53" s="34">
        <v>77</v>
      </c>
      <c r="L53" s="220">
        <f t="shared" si="0"/>
        <v>170</v>
      </c>
    </row>
    <row r="54" spans="1:12" x14ac:dyDescent="0.35">
      <c r="A54" s="314"/>
      <c r="B54" s="311"/>
      <c r="C54" s="3" t="s">
        <v>1623</v>
      </c>
      <c r="D54" s="3" t="s">
        <v>2180</v>
      </c>
      <c r="E54" s="6" t="s">
        <v>2225</v>
      </c>
      <c r="F54" s="3" t="s">
        <v>2233</v>
      </c>
      <c r="G54" s="117" t="s">
        <v>2237</v>
      </c>
      <c r="H54" s="6">
        <v>9</v>
      </c>
      <c r="I54" s="34">
        <v>30</v>
      </c>
      <c r="J54" s="34">
        <v>39</v>
      </c>
      <c r="K54" s="34">
        <v>84</v>
      </c>
      <c r="L54" s="220">
        <f t="shared" si="0"/>
        <v>162</v>
      </c>
    </row>
    <row r="55" spans="1:12" x14ac:dyDescent="0.35">
      <c r="A55" s="314"/>
      <c r="B55" s="311"/>
      <c r="C55" s="6" t="s">
        <v>1623</v>
      </c>
      <c r="D55" s="6" t="s">
        <v>2180</v>
      </c>
      <c r="E55" s="6" t="s">
        <v>2225</v>
      </c>
      <c r="F55" s="6" t="s">
        <v>2275</v>
      </c>
      <c r="G55" s="6" t="s">
        <v>2276</v>
      </c>
      <c r="H55" s="34">
        <v>10</v>
      </c>
      <c r="I55" s="34">
        <v>15</v>
      </c>
      <c r="J55" s="34">
        <v>33</v>
      </c>
      <c r="K55" s="34">
        <v>37</v>
      </c>
      <c r="L55" s="220">
        <f t="shared" si="0"/>
        <v>95</v>
      </c>
    </row>
    <row r="56" spans="1:12" x14ac:dyDescent="0.35">
      <c r="A56" s="314"/>
      <c r="B56" s="311"/>
      <c r="C56" s="6" t="s">
        <v>1623</v>
      </c>
      <c r="D56" s="6" t="s">
        <v>2180</v>
      </c>
      <c r="E56" s="6" t="s">
        <v>2225</v>
      </c>
      <c r="F56" s="6" t="s">
        <v>2275</v>
      </c>
      <c r="G56" s="6" t="s">
        <v>2276</v>
      </c>
      <c r="H56" s="34">
        <v>12</v>
      </c>
      <c r="I56" s="34">
        <v>16</v>
      </c>
      <c r="J56" s="34">
        <v>39</v>
      </c>
      <c r="K56" s="34">
        <v>42</v>
      </c>
      <c r="L56" s="220">
        <f t="shared" si="0"/>
        <v>109</v>
      </c>
    </row>
    <row r="57" spans="1:12" x14ac:dyDescent="0.35">
      <c r="A57" s="314"/>
      <c r="B57" s="311"/>
      <c r="C57" s="3" t="s">
        <v>1623</v>
      </c>
      <c r="D57" s="3" t="s">
        <v>2180</v>
      </c>
      <c r="E57" s="3" t="s">
        <v>2225</v>
      </c>
      <c r="F57" s="3" t="s">
        <v>2275</v>
      </c>
      <c r="G57" s="117" t="s">
        <v>2282</v>
      </c>
      <c r="H57" s="6">
        <v>19</v>
      </c>
      <c r="I57" s="6">
        <v>11</v>
      </c>
      <c r="J57" s="6">
        <v>38</v>
      </c>
      <c r="K57" s="6">
        <v>55</v>
      </c>
      <c r="L57" s="220">
        <f t="shared" si="0"/>
        <v>123</v>
      </c>
    </row>
    <row r="58" spans="1:12" x14ac:dyDescent="0.35">
      <c r="A58" s="314"/>
      <c r="B58" s="311"/>
      <c r="C58" s="6" t="s">
        <v>1623</v>
      </c>
      <c r="D58" s="6" t="s">
        <v>2180</v>
      </c>
      <c r="E58" s="6" t="s">
        <v>2225</v>
      </c>
      <c r="F58" s="6" t="s">
        <v>2275</v>
      </c>
      <c r="G58" s="6" t="s">
        <v>2276</v>
      </c>
      <c r="H58" s="34">
        <v>5</v>
      </c>
      <c r="I58" s="34">
        <v>3</v>
      </c>
      <c r="J58" s="34">
        <v>24</v>
      </c>
      <c r="K58" s="34">
        <v>23</v>
      </c>
      <c r="L58" s="220">
        <f t="shared" si="0"/>
        <v>55</v>
      </c>
    </row>
    <row r="59" spans="1:12" x14ac:dyDescent="0.35">
      <c r="A59" s="314"/>
      <c r="B59" s="311"/>
      <c r="C59" s="6" t="s">
        <v>1623</v>
      </c>
      <c r="D59" s="6" t="s">
        <v>2180</v>
      </c>
      <c r="E59" s="6" t="s">
        <v>2225</v>
      </c>
      <c r="F59" s="6" t="s">
        <v>2364</v>
      </c>
      <c r="G59" s="33" t="s">
        <v>2367</v>
      </c>
      <c r="H59" s="34">
        <v>7</v>
      </c>
      <c r="I59" s="34">
        <v>3</v>
      </c>
      <c r="J59" s="34">
        <v>40</v>
      </c>
      <c r="K59" s="34">
        <v>20</v>
      </c>
      <c r="L59" s="220">
        <f t="shared" si="0"/>
        <v>70</v>
      </c>
    </row>
    <row r="60" spans="1:12" x14ac:dyDescent="0.35">
      <c r="A60" s="314"/>
      <c r="B60" s="311"/>
      <c r="C60" s="6" t="s">
        <v>1623</v>
      </c>
      <c r="D60" s="6" t="s">
        <v>2180</v>
      </c>
      <c r="E60" s="6" t="s">
        <v>2225</v>
      </c>
      <c r="F60" s="6" t="s">
        <v>2364</v>
      </c>
      <c r="G60" s="33" t="s">
        <v>2368</v>
      </c>
      <c r="H60" s="34">
        <v>6</v>
      </c>
      <c r="I60" s="34">
        <v>3</v>
      </c>
      <c r="J60" s="34">
        <v>47</v>
      </c>
      <c r="K60" s="34">
        <v>33</v>
      </c>
      <c r="L60" s="220">
        <f t="shared" si="0"/>
        <v>89</v>
      </c>
    </row>
    <row r="61" spans="1:12" x14ac:dyDescent="0.35">
      <c r="A61" s="314"/>
      <c r="B61" s="311"/>
      <c r="C61" s="6" t="s">
        <v>1623</v>
      </c>
      <c r="D61" s="6" t="s">
        <v>2180</v>
      </c>
      <c r="E61" s="6" t="s">
        <v>2225</v>
      </c>
      <c r="F61" s="6" t="s">
        <v>2364</v>
      </c>
      <c r="G61" s="33" t="s">
        <v>2369</v>
      </c>
      <c r="H61" s="34">
        <v>8</v>
      </c>
      <c r="I61" s="34">
        <v>8</v>
      </c>
      <c r="J61" s="34">
        <v>49</v>
      </c>
      <c r="K61" s="34">
        <v>57</v>
      </c>
      <c r="L61" s="220">
        <f t="shared" si="0"/>
        <v>122</v>
      </c>
    </row>
    <row r="62" spans="1:12" x14ac:dyDescent="0.35">
      <c r="A62" s="314"/>
      <c r="B62" s="311"/>
      <c r="C62" s="6" t="s">
        <v>1623</v>
      </c>
      <c r="D62" s="6" t="s">
        <v>2180</v>
      </c>
      <c r="E62" s="6" t="s">
        <v>2225</v>
      </c>
      <c r="F62" s="6" t="s">
        <v>2364</v>
      </c>
      <c r="G62" s="6" t="s">
        <v>2370</v>
      </c>
      <c r="H62" s="34">
        <v>9</v>
      </c>
      <c r="I62" s="34">
        <v>10</v>
      </c>
      <c r="J62" s="34">
        <v>54</v>
      </c>
      <c r="K62" s="34">
        <v>57</v>
      </c>
      <c r="L62" s="220">
        <f t="shared" si="0"/>
        <v>130</v>
      </c>
    </row>
    <row r="63" spans="1:12" x14ac:dyDescent="0.35">
      <c r="A63" s="314"/>
      <c r="B63" s="311"/>
      <c r="C63" s="6" t="s">
        <v>1623</v>
      </c>
      <c r="D63" s="6" t="s">
        <v>2180</v>
      </c>
      <c r="E63" s="6" t="s">
        <v>2225</v>
      </c>
      <c r="F63" s="6" t="s">
        <v>2364</v>
      </c>
      <c r="G63" s="33" t="s">
        <v>2371</v>
      </c>
      <c r="H63" s="34">
        <v>5</v>
      </c>
      <c r="I63" s="34">
        <v>5</v>
      </c>
      <c r="J63" s="34">
        <v>33</v>
      </c>
      <c r="K63" s="34">
        <v>56</v>
      </c>
      <c r="L63" s="220">
        <f t="shared" si="0"/>
        <v>99</v>
      </c>
    </row>
    <row r="64" spans="1:12" x14ac:dyDescent="0.35">
      <c r="A64" s="314"/>
      <c r="B64" s="311"/>
      <c r="C64" s="6" t="s">
        <v>1623</v>
      </c>
      <c r="D64" s="6" t="s">
        <v>2180</v>
      </c>
      <c r="E64" s="6" t="s">
        <v>2225</v>
      </c>
      <c r="F64" s="6" t="s">
        <v>2384</v>
      </c>
      <c r="G64" s="6" t="s">
        <v>276</v>
      </c>
      <c r="H64" s="6">
        <v>28</v>
      </c>
      <c r="I64" s="6">
        <v>33</v>
      </c>
      <c r="J64" s="6">
        <v>82</v>
      </c>
      <c r="K64" s="6">
        <v>133</v>
      </c>
      <c r="L64" s="220">
        <f t="shared" si="0"/>
        <v>276</v>
      </c>
    </row>
    <row r="65" spans="1:12" x14ac:dyDescent="0.35">
      <c r="A65" s="314"/>
      <c r="B65" s="311"/>
      <c r="C65" s="3" t="s">
        <v>1623</v>
      </c>
      <c r="D65" s="3" t="s">
        <v>2180</v>
      </c>
      <c r="E65" s="3" t="s">
        <v>2225</v>
      </c>
      <c r="F65" s="3" t="s">
        <v>2384</v>
      </c>
      <c r="G65" s="117" t="s">
        <v>2385</v>
      </c>
      <c r="H65" s="6">
        <v>17</v>
      </c>
      <c r="I65" s="6">
        <v>21</v>
      </c>
      <c r="J65" s="6">
        <v>90</v>
      </c>
      <c r="K65" s="6">
        <v>130</v>
      </c>
      <c r="L65" s="220">
        <f t="shared" si="0"/>
        <v>258</v>
      </c>
    </row>
    <row r="66" spans="1:12" x14ac:dyDescent="0.35">
      <c r="A66" s="314"/>
      <c r="B66" s="311"/>
      <c r="C66" s="6" t="s">
        <v>1623</v>
      </c>
      <c r="D66" s="6" t="s">
        <v>2180</v>
      </c>
      <c r="E66" s="6" t="s">
        <v>2225</v>
      </c>
      <c r="F66" s="6" t="s">
        <v>2384</v>
      </c>
      <c r="G66" s="6" t="s">
        <v>2386</v>
      </c>
      <c r="H66" s="6">
        <v>15</v>
      </c>
      <c r="I66" s="6">
        <v>17</v>
      </c>
      <c r="J66" s="6">
        <v>62</v>
      </c>
      <c r="K66" s="6">
        <v>68</v>
      </c>
      <c r="L66" s="220">
        <f t="shared" si="0"/>
        <v>162</v>
      </c>
    </row>
    <row r="67" spans="1:12" x14ac:dyDescent="0.35">
      <c r="A67" s="314"/>
      <c r="B67" s="311"/>
      <c r="C67" s="6" t="s">
        <v>1623</v>
      </c>
      <c r="D67" s="6" t="s">
        <v>2180</v>
      </c>
      <c r="E67" s="6" t="s">
        <v>2225</v>
      </c>
      <c r="F67" s="6" t="s">
        <v>2384</v>
      </c>
      <c r="G67" s="6" t="s">
        <v>2387</v>
      </c>
      <c r="H67" s="6">
        <v>21</v>
      </c>
      <c r="I67" s="6">
        <v>29</v>
      </c>
      <c r="J67" s="6">
        <v>45</v>
      </c>
      <c r="K67" s="6">
        <v>165</v>
      </c>
      <c r="L67" s="220">
        <f t="shared" si="0"/>
        <v>260</v>
      </c>
    </row>
    <row r="68" spans="1:12" x14ac:dyDescent="0.35">
      <c r="A68" s="314"/>
      <c r="B68" s="311"/>
      <c r="C68" s="6" t="s">
        <v>1623</v>
      </c>
      <c r="D68" s="6" t="s">
        <v>2180</v>
      </c>
      <c r="E68" s="6" t="s">
        <v>2225</v>
      </c>
      <c r="F68" s="6" t="s">
        <v>2275</v>
      </c>
      <c r="G68" s="6" t="s">
        <v>2279</v>
      </c>
      <c r="H68" s="6">
        <v>20</v>
      </c>
      <c r="I68" s="6">
        <v>133</v>
      </c>
      <c r="J68" s="6">
        <v>133</v>
      </c>
      <c r="K68" s="6">
        <v>187</v>
      </c>
      <c r="L68" s="220">
        <f t="shared" si="0"/>
        <v>473</v>
      </c>
    </row>
    <row r="69" spans="1:12" x14ac:dyDescent="0.35">
      <c r="A69" s="314"/>
      <c r="B69" s="311"/>
      <c r="C69" s="6" t="s">
        <v>1623</v>
      </c>
      <c r="D69" s="6" t="s">
        <v>2180</v>
      </c>
      <c r="E69" s="6" t="s">
        <v>2225</v>
      </c>
      <c r="F69" s="6" t="s">
        <v>2275</v>
      </c>
      <c r="G69" s="33" t="s">
        <v>2280</v>
      </c>
      <c r="H69" s="34">
        <v>25</v>
      </c>
      <c r="I69" s="34">
        <v>20</v>
      </c>
      <c r="J69" s="34">
        <v>74</v>
      </c>
      <c r="K69" s="34">
        <v>76</v>
      </c>
      <c r="L69" s="220">
        <f t="shared" si="0"/>
        <v>195</v>
      </c>
    </row>
    <row r="70" spans="1:12" x14ac:dyDescent="0.35">
      <c r="A70" s="314"/>
      <c r="B70" s="311"/>
      <c r="C70" s="6" t="s">
        <v>1623</v>
      </c>
      <c r="D70" s="6" t="s">
        <v>2180</v>
      </c>
      <c r="E70" s="6" t="s">
        <v>2225</v>
      </c>
      <c r="F70" s="6" t="s">
        <v>2275</v>
      </c>
      <c r="G70" s="6" t="s">
        <v>2285</v>
      </c>
      <c r="H70" s="6">
        <v>23</v>
      </c>
      <c r="I70" s="6">
        <v>22</v>
      </c>
      <c r="J70" s="6">
        <v>62</v>
      </c>
      <c r="K70" s="6">
        <v>54</v>
      </c>
      <c r="L70" s="220">
        <f t="shared" ref="L70:L133" si="2">H70+I70+J70+K70</f>
        <v>161</v>
      </c>
    </row>
    <row r="71" spans="1:12" x14ac:dyDescent="0.35">
      <c r="A71" s="314"/>
      <c r="B71" s="311"/>
      <c r="C71" s="6" t="s">
        <v>1623</v>
      </c>
      <c r="D71" s="6" t="s">
        <v>2180</v>
      </c>
      <c r="E71" s="6" t="s">
        <v>2181</v>
      </c>
      <c r="F71" s="6" t="s">
        <v>141</v>
      </c>
      <c r="G71" s="6" t="s">
        <v>2402</v>
      </c>
      <c r="H71" s="6">
        <v>25</v>
      </c>
      <c r="I71" s="6">
        <v>43</v>
      </c>
      <c r="J71" s="6">
        <v>99</v>
      </c>
      <c r="K71" s="6">
        <v>147</v>
      </c>
      <c r="L71" s="220">
        <f t="shared" si="2"/>
        <v>314</v>
      </c>
    </row>
    <row r="72" spans="1:12" x14ac:dyDescent="0.35">
      <c r="A72" s="314"/>
      <c r="B72" s="311"/>
      <c r="C72" s="6" t="s">
        <v>1623</v>
      </c>
      <c r="D72" s="6" t="s">
        <v>2180</v>
      </c>
      <c r="E72" s="6" t="s">
        <v>2181</v>
      </c>
      <c r="F72" s="6" t="s">
        <v>141</v>
      </c>
      <c r="G72" s="6" t="s">
        <v>459</v>
      </c>
      <c r="H72" s="6">
        <v>27</v>
      </c>
      <c r="I72" s="6">
        <v>34</v>
      </c>
      <c r="J72" s="6">
        <v>180</v>
      </c>
      <c r="K72" s="6">
        <v>215</v>
      </c>
      <c r="L72" s="220">
        <f t="shared" si="2"/>
        <v>456</v>
      </c>
    </row>
    <row r="73" spans="1:12" x14ac:dyDescent="0.35">
      <c r="A73" s="314"/>
      <c r="B73" s="312"/>
      <c r="C73" s="6" t="s">
        <v>1623</v>
      </c>
      <c r="D73" s="6" t="s">
        <v>2180</v>
      </c>
      <c r="E73" s="6" t="s">
        <v>2181</v>
      </c>
      <c r="F73" s="6" t="s">
        <v>141</v>
      </c>
      <c r="G73" s="6" t="s">
        <v>2403</v>
      </c>
      <c r="H73" s="6">
        <v>46</v>
      </c>
      <c r="I73" s="6">
        <v>52</v>
      </c>
      <c r="J73" s="6">
        <v>125</v>
      </c>
      <c r="K73" s="6">
        <v>174</v>
      </c>
      <c r="L73" s="220">
        <f t="shared" si="2"/>
        <v>397</v>
      </c>
    </row>
    <row r="74" spans="1:12" x14ac:dyDescent="0.35">
      <c r="A74" s="315"/>
      <c r="B74" s="188"/>
      <c r="C74" s="188"/>
      <c r="D74" s="188"/>
      <c r="E74" s="188"/>
      <c r="F74" s="188"/>
      <c r="G74" s="227" t="s">
        <v>2</v>
      </c>
      <c r="H74" s="227">
        <f>SUM(H14:H73)</f>
        <v>1085</v>
      </c>
      <c r="I74" s="227">
        <f t="shared" ref="I74:K74" si="3">SUM(I14:I73)</f>
        <v>1490</v>
      </c>
      <c r="J74" s="227">
        <f t="shared" si="3"/>
        <v>4059</v>
      </c>
      <c r="K74" s="227">
        <f t="shared" si="3"/>
        <v>5380</v>
      </c>
      <c r="L74" s="225">
        <f t="shared" si="2"/>
        <v>12014</v>
      </c>
    </row>
    <row r="75" spans="1:12" x14ac:dyDescent="0.35">
      <c r="A75" s="313">
        <v>3</v>
      </c>
      <c r="B75" s="310" t="s">
        <v>3310</v>
      </c>
      <c r="C75" s="6" t="s">
        <v>1623</v>
      </c>
      <c r="D75" s="6" t="s">
        <v>2180</v>
      </c>
      <c r="E75" s="6" t="s">
        <v>2239</v>
      </c>
      <c r="F75" s="6" t="s">
        <v>2240</v>
      </c>
      <c r="G75" s="33" t="s">
        <v>2241</v>
      </c>
      <c r="H75" s="34">
        <v>4</v>
      </c>
      <c r="I75" s="34">
        <v>5</v>
      </c>
      <c r="J75" s="34">
        <v>24</v>
      </c>
      <c r="K75" s="34">
        <v>26</v>
      </c>
      <c r="L75" s="220">
        <f t="shared" si="2"/>
        <v>59</v>
      </c>
    </row>
    <row r="76" spans="1:12" x14ac:dyDescent="0.35">
      <c r="A76" s="314"/>
      <c r="B76" s="311"/>
      <c r="C76" s="6" t="s">
        <v>1623</v>
      </c>
      <c r="D76" s="6" t="s">
        <v>2180</v>
      </c>
      <c r="E76" s="6" t="s">
        <v>2239</v>
      </c>
      <c r="F76" s="6" t="s">
        <v>2240</v>
      </c>
      <c r="G76" s="33" t="s">
        <v>2242</v>
      </c>
      <c r="H76" s="34">
        <v>21</v>
      </c>
      <c r="I76" s="34">
        <v>14</v>
      </c>
      <c r="J76" s="34">
        <v>81</v>
      </c>
      <c r="K76" s="34">
        <v>79</v>
      </c>
      <c r="L76" s="220">
        <f t="shared" si="2"/>
        <v>195</v>
      </c>
    </row>
    <row r="77" spans="1:12" x14ac:dyDescent="0.35">
      <c r="A77" s="314"/>
      <c r="B77" s="311"/>
      <c r="C77" s="6" t="s">
        <v>1623</v>
      </c>
      <c r="D77" s="6" t="s">
        <v>2180</v>
      </c>
      <c r="E77" s="6" t="s">
        <v>2239</v>
      </c>
      <c r="F77" s="6" t="s">
        <v>2220</v>
      </c>
      <c r="G77" s="33" t="s">
        <v>2263</v>
      </c>
      <c r="H77" s="34">
        <v>15</v>
      </c>
      <c r="I77" s="34">
        <v>5</v>
      </c>
      <c r="J77" s="34">
        <v>42</v>
      </c>
      <c r="K77" s="34">
        <v>55</v>
      </c>
      <c r="L77" s="220">
        <f t="shared" si="2"/>
        <v>117</v>
      </c>
    </row>
    <row r="78" spans="1:12" x14ac:dyDescent="0.35">
      <c r="A78" s="314"/>
      <c r="B78" s="311"/>
      <c r="C78" s="6" t="s">
        <v>1623</v>
      </c>
      <c r="D78" s="6" t="s">
        <v>2180</v>
      </c>
      <c r="E78" s="6" t="s">
        <v>3309</v>
      </c>
      <c r="F78" s="6" t="s">
        <v>2453</v>
      </c>
      <c r="G78" s="33" t="s">
        <v>2454</v>
      </c>
      <c r="H78" s="34">
        <v>13</v>
      </c>
      <c r="I78" s="34">
        <v>17</v>
      </c>
      <c r="J78" s="34">
        <v>28</v>
      </c>
      <c r="K78" s="34">
        <v>32</v>
      </c>
      <c r="L78" s="220">
        <f t="shared" si="2"/>
        <v>90</v>
      </c>
    </row>
    <row r="79" spans="1:12" x14ac:dyDescent="0.35">
      <c r="A79" s="314"/>
      <c r="B79" s="311"/>
      <c r="C79" s="6" t="s">
        <v>1623</v>
      </c>
      <c r="D79" s="6" t="s">
        <v>2180</v>
      </c>
      <c r="E79" s="6" t="s">
        <v>3309</v>
      </c>
      <c r="F79" s="6" t="s">
        <v>2453</v>
      </c>
      <c r="G79" s="33" t="s">
        <v>2455</v>
      </c>
      <c r="H79" s="34">
        <v>3</v>
      </c>
      <c r="I79" s="34">
        <v>7</v>
      </c>
      <c r="J79" s="34">
        <v>19</v>
      </c>
      <c r="K79" s="34">
        <v>29</v>
      </c>
      <c r="L79" s="220">
        <f t="shared" si="2"/>
        <v>58</v>
      </c>
    </row>
    <row r="80" spans="1:12" x14ac:dyDescent="0.35">
      <c r="A80" s="314"/>
      <c r="B80" s="311"/>
      <c r="C80" s="6" t="s">
        <v>1623</v>
      </c>
      <c r="D80" s="6" t="s">
        <v>2180</v>
      </c>
      <c r="E80" s="6" t="s">
        <v>3309</v>
      </c>
      <c r="F80" s="6" t="s">
        <v>1964</v>
      </c>
      <c r="G80" s="33" t="s">
        <v>2469</v>
      </c>
      <c r="H80" s="34">
        <v>18</v>
      </c>
      <c r="I80" s="34">
        <v>18</v>
      </c>
      <c r="J80" s="34">
        <v>24</v>
      </c>
      <c r="K80" s="34">
        <v>26</v>
      </c>
      <c r="L80" s="220">
        <f t="shared" si="2"/>
        <v>86</v>
      </c>
    </row>
    <row r="81" spans="1:12" x14ac:dyDescent="0.35">
      <c r="A81" s="314"/>
      <c r="B81" s="311"/>
      <c r="C81" s="6" t="s">
        <v>1623</v>
      </c>
      <c r="D81" s="6" t="s">
        <v>2180</v>
      </c>
      <c r="E81" s="6" t="s">
        <v>3309</v>
      </c>
      <c r="F81" s="6" t="s">
        <v>2240</v>
      </c>
      <c r="G81" s="33" t="s">
        <v>2243</v>
      </c>
      <c r="H81" s="34">
        <v>3</v>
      </c>
      <c r="I81" s="34">
        <v>4</v>
      </c>
      <c r="J81" s="34">
        <v>23</v>
      </c>
      <c r="K81" s="34">
        <v>26</v>
      </c>
      <c r="L81" s="220">
        <f t="shared" si="2"/>
        <v>56</v>
      </c>
    </row>
    <row r="82" spans="1:12" x14ac:dyDescent="0.35">
      <c r="A82" s="314"/>
      <c r="B82" s="311"/>
      <c r="C82" s="6" t="s">
        <v>1623</v>
      </c>
      <c r="D82" s="6" t="s">
        <v>2180</v>
      </c>
      <c r="E82" s="6" t="s">
        <v>3309</v>
      </c>
      <c r="F82" s="6" t="s">
        <v>2240</v>
      </c>
      <c r="G82" s="33" t="s">
        <v>2244</v>
      </c>
      <c r="H82" s="34">
        <v>1</v>
      </c>
      <c r="I82" s="34">
        <v>5</v>
      </c>
      <c r="J82" s="34">
        <v>29</v>
      </c>
      <c r="K82" s="34">
        <v>35</v>
      </c>
      <c r="L82" s="220">
        <f t="shared" si="2"/>
        <v>70</v>
      </c>
    </row>
    <row r="83" spans="1:12" x14ac:dyDescent="0.35">
      <c r="A83" s="314"/>
      <c r="B83" s="311"/>
      <c r="C83" s="6" t="s">
        <v>1623</v>
      </c>
      <c r="D83" s="6" t="s">
        <v>2180</v>
      </c>
      <c r="E83" s="6" t="s">
        <v>3309</v>
      </c>
      <c r="F83" s="6" t="s">
        <v>2240</v>
      </c>
      <c r="G83" s="33" t="s">
        <v>2245</v>
      </c>
      <c r="H83" s="34">
        <v>5</v>
      </c>
      <c r="I83" s="34">
        <v>2</v>
      </c>
      <c r="J83" s="34">
        <v>16</v>
      </c>
      <c r="K83" s="34">
        <v>15</v>
      </c>
      <c r="L83" s="220">
        <f t="shared" si="2"/>
        <v>38</v>
      </c>
    </row>
    <row r="84" spans="1:12" x14ac:dyDescent="0.35">
      <c r="A84" s="314"/>
      <c r="B84" s="311"/>
      <c r="C84" s="6" t="s">
        <v>1623</v>
      </c>
      <c r="D84" s="6" t="s">
        <v>2180</v>
      </c>
      <c r="E84" s="6" t="s">
        <v>3309</v>
      </c>
      <c r="F84" s="6" t="s">
        <v>2240</v>
      </c>
      <c r="G84" s="33" t="s">
        <v>2246</v>
      </c>
      <c r="H84" s="34">
        <v>8</v>
      </c>
      <c r="I84" s="34">
        <v>22</v>
      </c>
      <c r="J84" s="34">
        <v>59</v>
      </c>
      <c r="K84" s="34">
        <v>91</v>
      </c>
      <c r="L84" s="220">
        <f t="shared" si="2"/>
        <v>180</v>
      </c>
    </row>
    <row r="85" spans="1:12" x14ac:dyDescent="0.35">
      <c r="A85" s="314"/>
      <c r="B85" s="311"/>
      <c r="C85" s="6" t="s">
        <v>1623</v>
      </c>
      <c r="D85" s="6" t="s">
        <v>2180</v>
      </c>
      <c r="E85" s="6" t="s">
        <v>3309</v>
      </c>
      <c r="F85" s="6" t="s">
        <v>2220</v>
      </c>
      <c r="G85" s="33" t="s">
        <v>2258</v>
      </c>
      <c r="H85" s="34">
        <v>6</v>
      </c>
      <c r="I85" s="34">
        <v>9</v>
      </c>
      <c r="J85" s="34">
        <v>37</v>
      </c>
      <c r="K85" s="34">
        <v>42</v>
      </c>
      <c r="L85" s="220">
        <f t="shared" si="2"/>
        <v>94</v>
      </c>
    </row>
    <row r="86" spans="1:12" x14ac:dyDescent="0.35">
      <c r="A86" s="314"/>
      <c r="B86" s="311"/>
      <c r="C86" s="6" t="s">
        <v>1623</v>
      </c>
      <c r="D86" s="6" t="s">
        <v>2180</v>
      </c>
      <c r="E86" s="6" t="s">
        <v>3309</v>
      </c>
      <c r="F86" s="6" t="s">
        <v>2220</v>
      </c>
      <c r="G86" s="6" t="s">
        <v>2258</v>
      </c>
      <c r="H86" s="34">
        <v>2</v>
      </c>
      <c r="I86" s="34">
        <v>3</v>
      </c>
      <c r="J86" s="34">
        <v>11</v>
      </c>
      <c r="K86" s="34">
        <v>14</v>
      </c>
      <c r="L86" s="220">
        <f t="shared" si="2"/>
        <v>30</v>
      </c>
    </row>
    <row r="87" spans="1:12" x14ac:dyDescent="0.35">
      <c r="A87" s="314"/>
      <c r="B87" s="311"/>
      <c r="C87" s="6" t="s">
        <v>1623</v>
      </c>
      <c r="D87" s="6" t="s">
        <v>2180</v>
      </c>
      <c r="E87" s="6" t="s">
        <v>3309</v>
      </c>
      <c r="F87" s="6" t="s">
        <v>2220</v>
      </c>
      <c r="G87" s="33" t="s">
        <v>2259</v>
      </c>
      <c r="H87" s="34">
        <v>7</v>
      </c>
      <c r="I87" s="34">
        <v>14</v>
      </c>
      <c r="J87" s="34">
        <v>45</v>
      </c>
      <c r="K87" s="34">
        <v>95</v>
      </c>
      <c r="L87" s="220">
        <f t="shared" si="2"/>
        <v>161</v>
      </c>
    </row>
    <row r="88" spans="1:12" x14ac:dyDescent="0.35">
      <c r="A88" s="314"/>
      <c r="B88" s="311"/>
      <c r="C88" s="6" t="s">
        <v>1623</v>
      </c>
      <c r="D88" s="6" t="s">
        <v>2180</v>
      </c>
      <c r="E88" s="6" t="s">
        <v>3309</v>
      </c>
      <c r="F88" s="6" t="s">
        <v>2220</v>
      </c>
      <c r="G88" s="33" t="s">
        <v>2260</v>
      </c>
      <c r="H88" s="34">
        <v>11</v>
      </c>
      <c r="I88" s="34">
        <v>14</v>
      </c>
      <c r="J88" s="34">
        <v>49</v>
      </c>
      <c r="K88" s="34">
        <v>51</v>
      </c>
      <c r="L88" s="220">
        <f t="shared" si="2"/>
        <v>125</v>
      </c>
    </row>
    <row r="89" spans="1:12" x14ac:dyDescent="0.35">
      <c r="A89" s="314"/>
      <c r="B89" s="311"/>
      <c r="C89" s="6" t="s">
        <v>1623</v>
      </c>
      <c r="D89" s="6" t="s">
        <v>2180</v>
      </c>
      <c r="E89" s="6" t="s">
        <v>3309</v>
      </c>
      <c r="F89" s="6" t="s">
        <v>2220</v>
      </c>
      <c r="G89" s="33" t="s">
        <v>2260</v>
      </c>
      <c r="H89" s="34">
        <v>31</v>
      </c>
      <c r="I89" s="34">
        <v>39</v>
      </c>
      <c r="J89" s="34">
        <v>124</v>
      </c>
      <c r="K89" s="34">
        <v>134</v>
      </c>
      <c r="L89" s="220">
        <f t="shared" si="2"/>
        <v>328</v>
      </c>
    </row>
    <row r="90" spans="1:12" x14ac:dyDescent="0.35">
      <c r="A90" s="314"/>
      <c r="B90" s="311"/>
      <c r="C90" s="6" t="s">
        <v>1623</v>
      </c>
      <c r="D90" s="6" t="s">
        <v>2180</v>
      </c>
      <c r="E90" s="6" t="s">
        <v>3309</v>
      </c>
      <c r="F90" s="6" t="s">
        <v>2220</v>
      </c>
      <c r="G90" s="6" t="s">
        <v>2261</v>
      </c>
      <c r="H90" s="34">
        <v>5</v>
      </c>
      <c r="I90" s="34">
        <v>8</v>
      </c>
      <c r="J90" s="34">
        <v>20</v>
      </c>
      <c r="K90" s="34">
        <v>21</v>
      </c>
      <c r="L90" s="220">
        <f t="shared" si="2"/>
        <v>54</v>
      </c>
    </row>
    <row r="91" spans="1:12" x14ac:dyDescent="0.35">
      <c r="A91" s="314"/>
      <c r="B91" s="311"/>
      <c r="C91" s="6" t="s">
        <v>1623</v>
      </c>
      <c r="D91" s="6" t="s">
        <v>2180</v>
      </c>
      <c r="E91" s="6" t="s">
        <v>3309</v>
      </c>
      <c r="F91" s="6" t="s">
        <v>2220</v>
      </c>
      <c r="G91" s="33" t="s">
        <v>2261</v>
      </c>
      <c r="H91" s="34">
        <v>6</v>
      </c>
      <c r="I91" s="34">
        <v>4</v>
      </c>
      <c r="J91" s="34">
        <v>14</v>
      </c>
      <c r="K91" s="34">
        <v>16</v>
      </c>
      <c r="L91" s="220">
        <f t="shared" si="2"/>
        <v>40</v>
      </c>
    </row>
    <row r="92" spans="1:12" x14ac:dyDescent="0.35">
      <c r="A92" s="314"/>
      <c r="B92" s="311"/>
      <c r="C92" s="6" t="s">
        <v>1623</v>
      </c>
      <c r="D92" s="6" t="s">
        <v>2180</v>
      </c>
      <c r="E92" s="6" t="s">
        <v>3309</v>
      </c>
      <c r="F92" s="6" t="s">
        <v>2220</v>
      </c>
      <c r="G92" s="33" t="s">
        <v>2261</v>
      </c>
      <c r="H92" s="34">
        <v>29</v>
      </c>
      <c r="I92" s="34">
        <v>30</v>
      </c>
      <c r="J92" s="34">
        <v>52</v>
      </c>
      <c r="K92" s="34">
        <v>51</v>
      </c>
      <c r="L92" s="220">
        <f t="shared" si="2"/>
        <v>162</v>
      </c>
    </row>
    <row r="93" spans="1:12" x14ac:dyDescent="0.35">
      <c r="A93" s="314"/>
      <c r="B93" s="311"/>
      <c r="C93" s="6" t="s">
        <v>1623</v>
      </c>
      <c r="D93" s="6" t="s">
        <v>2180</v>
      </c>
      <c r="E93" s="6" t="s">
        <v>3309</v>
      </c>
      <c r="F93" s="6" t="s">
        <v>1964</v>
      </c>
      <c r="G93" s="33" t="s">
        <v>1964</v>
      </c>
      <c r="H93" s="34">
        <v>20</v>
      </c>
      <c r="I93" s="34">
        <v>30</v>
      </c>
      <c r="J93" s="34">
        <v>39</v>
      </c>
      <c r="K93" s="34">
        <v>50</v>
      </c>
      <c r="L93" s="220">
        <f t="shared" si="2"/>
        <v>139</v>
      </c>
    </row>
    <row r="94" spans="1:12" x14ac:dyDescent="0.35">
      <c r="A94" s="314"/>
      <c r="B94" s="311"/>
      <c r="C94" s="6" t="s">
        <v>1623</v>
      </c>
      <c r="D94" s="6" t="s">
        <v>2180</v>
      </c>
      <c r="E94" s="6" t="s">
        <v>3309</v>
      </c>
      <c r="F94" s="6" t="s">
        <v>1964</v>
      </c>
      <c r="G94" s="33" t="s">
        <v>2465</v>
      </c>
      <c r="H94" s="34">
        <v>7</v>
      </c>
      <c r="I94" s="34">
        <v>8</v>
      </c>
      <c r="J94" s="34">
        <v>26</v>
      </c>
      <c r="K94" s="34">
        <v>34</v>
      </c>
      <c r="L94" s="220">
        <f t="shared" si="2"/>
        <v>75</v>
      </c>
    </row>
    <row r="95" spans="1:12" x14ac:dyDescent="0.35">
      <c r="A95" s="314"/>
      <c r="B95" s="311"/>
      <c r="C95" s="6" t="s">
        <v>1623</v>
      </c>
      <c r="D95" s="6" t="s">
        <v>2180</v>
      </c>
      <c r="E95" s="6" t="s">
        <v>3309</v>
      </c>
      <c r="F95" s="6" t="s">
        <v>1964</v>
      </c>
      <c r="G95" s="33" t="s">
        <v>2261</v>
      </c>
      <c r="H95" s="34">
        <v>14</v>
      </c>
      <c r="I95" s="34">
        <v>16</v>
      </c>
      <c r="J95" s="34">
        <v>29</v>
      </c>
      <c r="K95" s="34">
        <v>21</v>
      </c>
      <c r="L95" s="220">
        <f t="shared" si="2"/>
        <v>80</v>
      </c>
    </row>
    <row r="96" spans="1:12" x14ac:dyDescent="0.35">
      <c r="A96" s="314"/>
      <c r="B96" s="311"/>
      <c r="C96" s="6" t="s">
        <v>1623</v>
      </c>
      <c r="D96" s="6" t="s">
        <v>2180</v>
      </c>
      <c r="E96" s="6" t="s">
        <v>3309</v>
      </c>
      <c r="F96" s="6" t="s">
        <v>1964</v>
      </c>
      <c r="G96" s="33" t="s">
        <v>2466</v>
      </c>
      <c r="H96" s="34">
        <v>7</v>
      </c>
      <c r="I96" s="34">
        <v>8</v>
      </c>
      <c r="J96" s="34">
        <v>38</v>
      </c>
      <c r="K96" s="34">
        <v>42</v>
      </c>
      <c r="L96" s="220">
        <f t="shared" si="2"/>
        <v>95</v>
      </c>
    </row>
    <row r="97" spans="1:12" x14ac:dyDescent="0.35">
      <c r="A97" s="314"/>
      <c r="B97" s="311"/>
      <c r="C97" s="6" t="s">
        <v>1623</v>
      </c>
      <c r="D97" s="6" t="s">
        <v>2180</v>
      </c>
      <c r="E97" s="6" t="s">
        <v>3309</v>
      </c>
      <c r="F97" s="6" t="s">
        <v>1964</v>
      </c>
      <c r="G97" s="33" t="s">
        <v>2467</v>
      </c>
      <c r="H97" s="34">
        <v>23</v>
      </c>
      <c r="I97" s="34">
        <v>22</v>
      </c>
      <c r="J97" s="34">
        <v>53</v>
      </c>
      <c r="K97" s="34">
        <v>57</v>
      </c>
      <c r="L97" s="220">
        <f t="shared" si="2"/>
        <v>155</v>
      </c>
    </row>
    <row r="98" spans="1:12" x14ac:dyDescent="0.35">
      <c r="A98" s="314"/>
      <c r="B98" s="311"/>
      <c r="C98" s="6" t="s">
        <v>1623</v>
      </c>
      <c r="D98" s="6" t="s">
        <v>2180</v>
      </c>
      <c r="E98" s="6" t="s">
        <v>3309</v>
      </c>
      <c r="F98" s="6" t="s">
        <v>1964</v>
      </c>
      <c r="G98" s="33" t="s">
        <v>2468</v>
      </c>
      <c r="H98" s="34">
        <v>22</v>
      </c>
      <c r="I98" s="34">
        <v>23</v>
      </c>
      <c r="J98" s="34">
        <v>19</v>
      </c>
      <c r="K98" s="34">
        <v>37</v>
      </c>
      <c r="L98" s="220">
        <f t="shared" si="2"/>
        <v>101</v>
      </c>
    </row>
    <row r="99" spans="1:12" x14ac:dyDescent="0.35">
      <c r="A99" s="314"/>
      <c r="B99" s="311"/>
      <c r="C99" s="6" t="s">
        <v>1623</v>
      </c>
      <c r="D99" s="6" t="s">
        <v>2180</v>
      </c>
      <c r="E99" s="6" t="s">
        <v>3309</v>
      </c>
      <c r="F99" s="6" t="s">
        <v>1964</v>
      </c>
      <c r="G99" s="6" t="s">
        <v>2468</v>
      </c>
      <c r="H99" s="34">
        <v>8</v>
      </c>
      <c r="I99" s="34">
        <v>12</v>
      </c>
      <c r="J99" s="34">
        <v>58</v>
      </c>
      <c r="K99" s="34">
        <v>67</v>
      </c>
      <c r="L99" s="220">
        <f t="shared" si="2"/>
        <v>145</v>
      </c>
    </row>
    <row r="100" spans="1:12" x14ac:dyDescent="0.35">
      <c r="A100" s="314"/>
      <c r="B100" s="311"/>
      <c r="C100" s="6" t="s">
        <v>1623</v>
      </c>
      <c r="D100" s="6" t="s">
        <v>2180</v>
      </c>
      <c r="E100" s="6" t="s">
        <v>3309</v>
      </c>
      <c r="F100" s="6" t="s">
        <v>1964</v>
      </c>
      <c r="G100" s="33" t="s">
        <v>2468</v>
      </c>
      <c r="H100" s="34">
        <v>6</v>
      </c>
      <c r="I100" s="34">
        <v>9</v>
      </c>
      <c r="J100" s="34">
        <v>4</v>
      </c>
      <c r="K100" s="34">
        <v>6</v>
      </c>
      <c r="L100" s="220">
        <f t="shared" si="2"/>
        <v>25</v>
      </c>
    </row>
    <row r="101" spans="1:12" x14ac:dyDescent="0.35">
      <c r="A101" s="314"/>
      <c r="B101" s="311"/>
      <c r="C101" s="6" t="s">
        <v>1623</v>
      </c>
      <c r="D101" s="6" t="s">
        <v>2180</v>
      </c>
      <c r="E101" s="6" t="s">
        <v>2239</v>
      </c>
      <c r="F101" s="6" t="s">
        <v>1964</v>
      </c>
      <c r="G101" s="33" t="s">
        <v>2464</v>
      </c>
      <c r="H101" s="34">
        <v>20</v>
      </c>
      <c r="I101" s="34">
        <v>20</v>
      </c>
      <c r="J101" s="34">
        <v>48</v>
      </c>
      <c r="K101" s="34">
        <v>72</v>
      </c>
      <c r="L101" s="220">
        <f t="shared" si="2"/>
        <v>160</v>
      </c>
    </row>
    <row r="102" spans="1:12" x14ac:dyDescent="0.35">
      <c r="A102" s="314"/>
      <c r="B102" s="311"/>
      <c r="C102" s="6" t="s">
        <v>1623</v>
      </c>
      <c r="D102" s="6" t="s">
        <v>2180</v>
      </c>
      <c r="E102" s="6" t="s">
        <v>3309</v>
      </c>
      <c r="F102" s="6" t="s">
        <v>2498</v>
      </c>
      <c r="G102" s="33" t="s">
        <v>2499</v>
      </c>
      <c r="H102" s="34">
        <v>10</v>
      </c>
      <c r="I102" s="34">
        <v>7</v>
      </c>
      <c r="J102" s="34">
        <v>19</v>
      </c>
      <c r="K102" s="34">
        <v>39</v>
      </c>
      <c r="L102" s="220">
        <f t="shared" si="2"/>
        <v>75</v>
      </c>
    </row>
    <row r="103" spans="1:12" x14ac:dyDescent="0.35">
      <c r="A103" s="314"/>
      <c r="B103" s="311"/>
      <c r="C103" s="6" t="s">
        <v>1623</v>
      </c>
      <c r="D103" s="6" t="s">
        <v>2180</v>
      </c>
      <c r="E103" s="6" t="s">
        <v>2239</v>
      </c>
      <c r="F103" s="6" t="s">
        <v>2220</v>
      </c>
      <c r="G103" s="6" t="s">
        <v>2222</v>
      </c>
      <c r="H103" s="6">
        <v>14</v>
      </c>
      <c r="I103" s="6">
        <v>4</v>
      </c>
      <c r="J103" s="6">
        <v>15</v>
      </c>
      <c r="K103" s="6">
        <v>13</v>
      </c>
      <c r="L103" s="220">
        <f t="shared" si="2"/>
        <v>46</v>
      </c>
    </row>
    <row r="104" spans="1:12" x14ac:dyDescent="0.35">
      <c r="A104" s="314"/>
      <c r="B104" s="311"/>
      <c r="C104" s="6" t="s">
        <v>1623</v>
      </c>
      <c r="D104" s="6" t="s">
        <v>2180</v>
      </c>
      <c r="E104" s="6" t="s">
        <v>2189</v>
      </c>
      <c r="F104" s="6" t="s">
        <v>2220</v>
      </c>
      <c r="G104" s="6" t="s">
        <v>2262</v>
      </c>
      <c r="H104" s="6">
        <v>18</v>
      </c>
      <c r="I104" s="6">
        <v>24</v>
      </c>
      <c r="J104" s="6">
        <v>90</v>
      </c>
      <c r="K104" s="6">
        <v>90</v>
      </c>
      <c r="L104" s="220">
        <f t="shared" si="2"/>
        <v>222</v>
      </c>
    </row>
    <row r="105" spans="1:12" x14ac:dyDescent="0.35">
      <c r="A105" s="314"/>
      <c r="B105" s="311"/>
      <c r="C105" s="6" t="s">
        <v>1623</v>
      </c>
      <c r="D105" s="6" t="s">
        <v>2180</v>
      </c>
      <c r="E105" s="6" t="s">
        <v>2221</v>
      </c>
      <c r="F105" s="6" t="s">
        <v>2220</v>
      </c>
      <c r="G105" s="6" t="s">
        <v>1994</v>
      </c>
      <c r="H105" s="6">
        <v>26</v>
      </c>
      <c r="I105" s="6">
        <v>21</v>
      </c>
      <c r="J105" s="6">
        <v>86</v>
      </c>
      <c r="K105" s="6">
        <v>84</v>
      </c>
      <c r="L105" s="220">
        <f t="shared" si="2"/>
        <v>217</v>
      </c>
    </row>
    <row r="106" spans="1:12" x14ac:dyDescent="0.35">
      <c r="A106" s="315"/>
      <c r="B106" s="312"/>
      <c r="C106" s="6" t="s">
        <v>1623</v>
      </c>
      <c r="D106" s="6" t="s">
        <v>2180</v>
      </c>
      <c r="E106" s="6" t="s">
        <v>2221</v>
      </c>
      <c r="F106" s="6" t="s">
        <v>2220</v>
      </c>
      <c r="G106" s="6" t="s">
        <v>2264</v>
      </c>
      <c r="H106" s="6">
        <v>11</v>
      </c>
      <c r="I106" s="6">
        <v>13</v>
      </c>
      <c r="J106" s="6">
        <v>66</v>
      </c>
      <c r="K106" s="6">
        <v>69</v>
      </c>
      <c r="L106" s="220">
        <f t="shared" si="2"/>
        <v>159</v>
      </c>
    </row>
    <row r="107" spans="1:12" x14ac:dyDescent="0.35">
      <c r="A107" s="188"/>
      <c r="B107" s="188"/>
      <c r="C107" s="188"/>
      <c r="D107" s="188"/>
      <c r="E107" s="188"/>
      <c r="F107" s="188"/>
      <c r="G107" s="227" t="s">
        <v>2</v>
      </c>
      <c r="H107" s="227">
        <f>SUM(H75:H106)</f>
        <v>394</v>
      </c>
      <c r="I107" s="227">
        <f t="shared" ref="I107:K107" si="4">SUM(I75:I106)</f>
        <v>437</v>
      </c>
      <c r="J107" s="227">
        <f t="shared" si="4"/>
        <v>1287</v>
      </c>
      <c r="K107" s="227">
        <f t="shared" si="4"/>
        <v>1519</v>
      </c>
      <c r="L107" s="225">
        <f t="shared" si="2"/>
        <v>3637</v>
      </c>
    </row>
    <row r="108" spans="1:12" ht="15.75" customHeight="1" x14ac:dyDescent="0.35">
      <c r="A108" s="313">
        <v>4</v>
      </c>
      <c r="B108" s="316" t="s">
        <v>3252</v>
      </c>
      <c r="C108" s="6" t="s">
        <v>1623</v>
      </c>
      <c r="D108" s="6" t="s">
        <v>2180</v>
      </c>
      <c r="E108" s="6" t="s">
        <v>2388</v>
      </c>
      <c r="F108" s="6" t="s">
        <v>2389</v>
      </c>
      <c r="G108" s="6" t="s">
        <v>2390</v>
      </c>
      <c r="H108" s="6">
        <v>11</v>
      </c>
      <c r="I108" s="34">
        <v>39</v>
      </c>
      <c r="J108" s="34">
        <v>37</v>
      </c>
      <c r="K108" s="34">
        <v>108</v>
      </c>
      <c r="L108" s="220">
        <f t="shared" si="2"/>
        <v>195</v>
      </c>
    </row>
    <row r="109" spans="1:12" ht="15.75" customHeight="1" x14ac:dyDescent="0.35">
      <c r="A109" s="314"/>
      <c r="B109" s="317"/>
      <c r="C109" s="6" t="s">
        <v>1623</v>
      </c>
      <c r="D109" s="6" t="s">
        <v>2180</v>
      </c>
      <c r="E109" s="6" t="s">
        <v>2388</v>
      </c>
      <c r="F109" s="6" t="s">
        <v>2389</v>
      </c>
      <c r="G109" s="6" t="s">
        <v>2391</v>
      </c>
      <c r="H109" s="6">
        <v>6</v>
      </c>
      <c r="I109" s="34">
        <v>50</v>
      </c>
      <c r="J109" s="34">
        <v>48</v>
      </c>
      <c r="K109" s="34">
        <v>109</v>
      </c>
      <c r="L109" s="220">
        <f t="shared" si="2"/>
        <v>213</v>
      </c>
    </row>
    <row r="110" spans="1:12" ht="15.75" customHeight="1" x14ac:dyDescent="0.35">
      <c r="A110" s="314"/>
      <c r="B110" s="317"/>
      <c r="C110" s="6" t="s">
        <v>1623</v>
      </c>
      <c r="D110" s="6" t="s">
        <v>2180</v>
      </c>
      <c r="E110" s="6" t="s">
        <v>2388</v>
      </c>
      <c r="F110" s="6" t="s">
        <v>2389</v>
      </c>
      <c r="G110" s="33" t="s">
        <v>2392</v>
      </c>
      <c r="H110" s="34">
        <v>8</v>
      </c>
      <c r="I110" s="34">
        <v>7</v>
      </c>
      <c r="J110" s="34">
        <v>4</v>
      </c>
      <c r="K110" s="34">
        <v>50</v>
      </c>
      <c r="L110" s="220">
        <f t="shared" si="2"/>
        <v>69</v>
      </c>
    </row>
    <row r="111" spans="1:12" ht="15.75" customHeight="1" x14ac:dyDescent="0.35">
      <c r="A111" s="314"/>
      <c r="B111" s="317"/>
      <c r="C111" s="6" t="s">
        <v>1623</v>
      </c>
      <c r="D111" s="6" t="s">
        <v>2180</v>
      </c>
      <c r="E111" s="6" t="s">
        <v>2388</v>
      </c>
      <c r="F111" s="6" t="s">
        <v>2389</v>
      </c>
      <c r="G111" s="228" t="s">
        <v>2393</v>
      </c>
      <c r="H111" s="34">
        <v>13</v>
      </c>
      <c r="I111" s="34">
        <v>9</v>
      </c>
      <c r="J111" s="34">
        <v>71</v>
      </c>
      <c r="K111" s="34">
        <v>89</v>
      </c>
      <c r="L111" s="220">
        <f t="shared" si="2"/>
        <v>182</v>
      </c>
    </row>
    <row r="112" spans="1:12" ht="15.75" customHeight="1" x14ac:dyDescent="0.35">
      <c r="A112" s="314"/>
      <c r="B112" s="317"/>
      <c r="C112" s="6" t="s">
        <v>1623</v>
      </c>
      <c r="D112" s="6" t="s">
        <v>2180</v>
      </c>
      <c r="E112" s="6" t="s">
        <v>2388</v>
      </c>
      <c r="F112" s="6" t="s">
        <v>2389</v>
      </c>
      <c r="G112" s="33" t="s">
        <v>2394</v>
      </c>
      <c r="H112" s="34">
        <v>8</v>
      </c>
      <c r="I112" s="34">
        <v>7</v>
      </c>
      <c r="J112" s="34">
        <v>35</v>
      </c>
      <c r="K112" s="34">
        <v>25</v>
      </c>
      <c r="L112" s="220">
        <f t="shared" si="2"/>
        <v>75</v>
      </c>
    </row>
    <row r="113" spans="1:12" ht="15.75" customHeight="1" x14ac:dyDescent="0.35">
      <c r="A113" s="314"/>
      <c r="B113" s="317"/>
      <c r="C113" s="6" t="s">
        <v>1623</v>
      </c>
      <c r="D113" s="6" t="s">
        <v>2180</v>
      </c>
      <c r="E113" s="6" t="s">
        <v>2388</v>
      </c>
      <c r="F113" s="6" t="s">
        <v>2389</v>
      </c>
      <c r="G113" s="33" t="s">
        <v>2529</v>
      </c>
      <c r="H113" s="34">
        <v>10</v>
      </c>
      <c r="I113" s="34">
        <v>11</v>
      </c>
      <c r="J113" s="34">
        <v>71</v>
      </c>
      <c r="K113" s="34">
        <v>67</v>
      </c>
      <c r="L113" s="220">
        <f t="shared" si="2"/>
        <v>159</v>
      </c>
    </row>
    <row r="114" spans="1:12" ht="15.75" customHeight="1" x14ac:dyDescent="0.35">
      <c r="A114" s="314"/>
      <c r="B114" s="317"/>
      <c r="C114" s="6" t="s">
        <v>1623</v>
      </c>
      <c r="D114" s="6" t="s">
        <v>2180</v>
      </c>
      <c r="E114" s="6" t="s">
        <v>2388</v>
      </c>
      <c r="F114" s="6" t="s">
        <v>2389</v>
      </c>
      <c r="G114" s="33" t="s">
        <v>2395</v>
      </c>
      <c r="H114" s="34">
        <v>25</v>
      </c>
      <c r="I114" s="34">
        <v>23</v>
      </c>
      <c r="J114" s="34">
        <v>64</v>
      </c>
      <c r="K114" s="34">
        <v>41</v>
      </c>
      <c r="L114" s="220">
        <f t="shared" si="2"/>
        <v>153</v>
      </c>
    </row>
    <row r="115" spans="1:12" ht="15.75" customHeight="1" x14ac:dyDescent="0.35">
      <c r="A115" s="314"/>
      <c r="B115" s="317"/>
      <c r="C115" s="6" t="s">
        <v>1623</v>
      </c>
      <c r="D115" s="6" t="s">
        <v>2180</v>
      </c>
      <c r="E115" s="6" t="s">
        <v>2388</v>
      </c>
      <c r="F115" s="6" t="s">
        <v>2389</v>
      </c>
      <c r="G115" s="6" t="s">
        <v>2224</v>
      </c>
      <c r="H115" s="6">
        <v>18</v>
      </c>
      <c r="I115" s="6">
        <v>14</v>
      </c>
      <c r="J115" s="6">
        <v>48</v>
      </c>
      <c r="K115" s="6">
        <v>37</v>
      </c>
      <c r="L115" s="220">
        <f t="shared" si="2"/>
        <v>117</v>
      </c>
    </row>
    <row r="116" spans="1:12" ht="15.75" customHeight="1" x14ac:dyDescent="0.35">
      <c r="A116" s="314"/>
      <c r="B116" s="317"/>
      <c r="C116" s="6" t="s">
        <v>1623</v>
      </c>
      <c r="D116" s="6" t="s">
        <v>2180</v>
      </c>
      <c r="E116" s="6" t="s">
        <v>2388</v>
      </c>
      <c r="F116" s="6" t="s">
        <v>2493</v>
      </c>
      <c r="G116" s="33" t="s">
        <v>2494</v>
      </c>
      <c r="H116" s="34">
        <v>6</v>
      </c>
      <c r="I116" s="34">
        <v>6</v>
      </c>
      <c r="J116" s="34">
        <v>54</v>
      </c>
      <c r="K116" s="34">
        <v>45</v>
      </c>
      <c r="L116" s="220">
        <f t="shared" si="2"/>
        <v>111</v>
      </c>
    </row>
    <row r="117" spans="1:12" ht="15.75" customHeight="1" x14ac:dyDescent="0.35">
      <c r="A117" s="314"/>
      <c r="B117" s="317"/>
      <c r="C117" s="6" t="s">
        <v>1623</v>
      </c>
      <c r="D117" s="6" t="s">
        <v>2180</v>
      </c>
      <c r="E117" s="6" t="s">
        <v>2388</v>
      </c>
      <c r="F117" s="6" t="s">
        <v>2493</v>
      </c>
      <c r="G117" s="33" t="s">
        <v>2495</v>
      </c>
      <c r="H117" s="34">
        <v>14</v>
      </c>
      <c r="I117" s="34">
        <v>12</v>
      </c>
      <c r="J117" s="34">
        <v>73</v>
      </c>
      <c r="K117" s="34">
        <v>72</v>
      </c>
      <c r="L117" s="220">
        <f t="shared" si="2"/>
        <v>171</v>
      </c>
    </row>
    <row r="118" spans="1:12" ht="15.75" customHeight="1" x14ac:dyDescent="0.35">
      <c r="A118" s="314"/>
      <c r="B118" s="317"/>
      <c r="C118" s="6" t="s">
        <v>1623</v>
      </c>
      <c r="D118" s="6" t="s">
        <v>2180</v>
      </c>
      <c r="E118" s="6" t="s">
        <v>2388</v>
      </c>
      <c r="F118" s="6" t="s">
        <v>2493</v>
      </c>
      <c r="G118" s="6" t="s">
        <v>612</v>
      </c>
      <c r="H118" s="6">
        <v>37</v>
      </c>
      <c r="I118" s="6">
        <v>52</v>
      </c>
      <c r="J118" s="6">
        <v>129</v>
      </c>
      <c r="K118" s="6">
        <v>181</v>
      </c>
      <c r="L118" s="220">
        <f t="shared" si="2"/>
        <v>399</v>
      </c>
    </row>
    <row r="119" spans="1:12" ht="15.75" customHeight="1" x14ac:dyDescent="0.35">
      <c r="A119" s="314"/>
      <c r="B119" s="317"/>
      <c r="C119" s="6" t="s">
        <v>1623</v>
      </c>
      <c r="D119" s="6" t="s">
        <v>2180</v>
      </c>
      <c r="E119" s="6" t="s">
        <v>2388</v>
      </c>
      <c r="F119" s="6" t="s">
        <v>2493</v>
      </c>
      <c r="G119" s="33" t="s">
        <v>612</v>
      </c>
      <c r="H119" s="34">
        <v>15</v>
      </c>
      <c r="I119" s="34">
        <v>10</v>
      </c>
      <c r="J119" s="34">
        <v>61</v>
      </c>
      <c r="K119" s="34">
        <v>68</v>
      </c>
      <c r="L119" s="220">
        <f t="shared" si="2"/>
        <v>154</v>
      </c>
    </row>
    <row r="120" spans="1:12" ht="15.75" customHeight="1" x14ac:dyDescent="0.35">
      <c r="A120" s="314"/>
      <c r="B120" s="317"/>
      <c r="C120" s="6" t="s">
        <v>1623</v>
      </c>
      <c r="D120" s="6" t="s">
        <v>2180</v>
      </c>
      <c r="E120" s="6" t="s">
        <v>2388</v>
      </c>
      <c r="F120" s="6" t="s">
        <v>2493</v>
      </c>
      <c r="G120" s="6" t="s">
        <v>2496</v>
      </c>
      <c r="H120" s="6">
        <v>42</v>
      </c>
      <c r="I120" s="6">
        <v>57</v>
      </c>
      <c r="J120" s="6">
        <v>91</v>
      </c>
      <c r="K120" s="6">
        <v>141</v>
      </c>
      <c r="L120" s="220">
        <f t="shared" si="2"/>
        <v>331</v>
      </c>
    </row>
    <row r="121" spans="1:12" ht="15.75" customHeight="1" x14ac:dyDescent="0.35">
      <c r="A121" s="314"/>
      <c r="B121" s="317"/>
      <c r="C121" s="6" t="s">
        <v>1623</v>
      </c>
      <c r="D121" s="6" t="s">
        <v>2180</v>
      </c>
      <c r="E121" s="6" t="s">
        <v>2388</v>
      </c>
      <c r="F121" s="6" t="s">
        <v>2493</v>
      </c>
      <c r="G121" s="33" t="s">
        <v>2497</v>
      </c>
      <c r="H121" s="34">
        <v>4</v>
      </c>
      <c r="I121" s="34">
        <v>3</v>
      </c>
      <c r="J121" s="34">
        <v>20</v>
      </c>
      <c r="K121" s="34">
        <v>43</v>
      </c>
      <c r="L121" s="220">
        <f t="shared" si="2"/>
        <v>70</v>
      </c>
    </row>
    <row r="122" spans="1:12" ht="15.75" customHeight="1" x14ac:dyDescent="0.35">
      <c r="A122" s="314"/>
      <c r="B122" s="317"/>
      <c r="C122" s="6" t="s">
        <v>1623</v>
      </c>
      <c r="D122" s="6" t="s">
        <v>2180</v>
      </c>
      <c r="E122" s="6" t="s">
        <v>2388</v>
      </c>
      <c r="F122" s="6" t="s">
        <v>2545</v>
      </c>
      <c r="G122" s="33" t="s">
        <v>2546</v>
      </c>
      <c r="H122" s="34">
        <v>2</v>
      </c>
      <c r="I122" s="34">
        <v>5</v>
      </c>
      <c r="J122" s="34">
        <v>24</v>
      </c>
      <c r="K122" s="34">
        <v>33</v>
      </c>
      <c r="L122" s="220">
        <f t="shared" si="2"/>
        <v>64</v>
      </c>
    </row>
    <row r="123" spans="1:12" ht="15.75" customHeight="1" x14ac:dyDescent="0.35">
      <c r="A123" s="314"/>
      <c r="B123" s="317"/>
      <c r="C123" s="6" t="s">
        <v>1623</v>
      </c>
      <c r="D123" s="6" t="s">
        <v>2180</v>
      </c>
      <c r="E123" s="6" t="s">
        <v>2388</v>
      </c>
      <c r="F123" s="6" t="s">
        <v>2545</v>
      </c>
      <c r="G123" s="33" t="s">
        <v>2547</v>
      </c>
      <c r="H123" s="34">
        <v>13</v>
      </c>
      <c r="I123" s="34">
        <v>19</v>
      </c>
      <c r="J123" s="34">
        <v>98</v>
      </c>
      <c r="K123" s="34">
        <v>86</v>
      </c>
      <c r="L123" s="220">
        <f t="shared" si="2"/>
        <v>216</v>
      </c>
    </row>
    <row r="124" spans="1:12" ht="15.75" customHeight="1" x14ac:dyDescent="0.35">
      <c r="A124" s="314"/>
      <c r="B124" s="317"/>
      <c r="C124" s="6" t="s">
        <v>1623</v>
      </c>
      <c r="D124" s="6" t="s">
        <v>2180</v>
      </c>
      <c r="E124" s="6" t="s">
        <v>2388</v>
      </c>
      <c r="F124" s="6" t="s">
        <v>2545</v>
      </c>
      <c r="G124" s="6" t="s">
        <v>2548</v>
      </c>
      <c r="H124" s="34">
        <v>10</v>
      </c>
      <c r="I124" s="34">
        <v>10</v>
      </c>
      <c r="J124" s="34">
        <v>15</v>
      </c>
      <c r="K124" s="34">
        <v>16</v>
      </c>
      <c r="L124" s="220">
        <f t="shared" si="2"/>
        <v>51</v>
      </c>
    </row>
    <row r="125" spans="1:12" ht="15.75" customHeight="1" x14ac:dyDescent="0.35">
      <c r="A125" s="314"/>
      <c r="B125" s="317"/>
      <c r="C125" s="6" t="s">
        <v>1623</v>
      </c>
      <c r="D125" s="6" t="s">
        <v>2180</v>
      </c>
      <c r="E125" s="6" t="s">
        <v>2388</v>
      </c>
      <c r="F125" s="6" t="s">
        <v>2545</v>
      </c>
      <c r="G125" s="33" t="s">
        <v>2549</v>
      </c>
      <c r="H125" s="34">
        <v>7</v>
      </c>
      <c r="I125" s="34">
        <v>7</v>
      </c>
      <c r="J125" s="34">
        <v>23</v>
      </c>
      <c r="K125" s="34">
        <v>19</v>
      </c>
      <c r="L125" s="220">
        <f t="shared" si="2"/>
        <v>56</v>
      </c>
    </row>
    <row r="126" spans="1:12" ht="15.75" customHeight="1" x14ac:dyDescent="0.35">
      <c r="A126" s="314"/>
      <c r="B126" s="317"/>
      <c r="C126" s="6" t="s">
        <v>1623</v>
      </c>
      <c r="D126" s="6" t="s">
        <v>2180</v>
      </c>
      <c r="E126" s="6" t="s">
        <v>2388</v>
      </c>
      <c r="F126" s="6" t="s">
        <v>2545</v>
      </c>
      <c r="G126" s="228" t="s">
        <v>32</v>
      </c>
      <c r="H126" s="34">
        <v>23</v>
      </c>
      <c r="I126" s="34">
        <v>24</v>
      </c>
      <c r="J126" s="34">
        <v>30</v>
      </c>
      <c r="K126" s="34">
        <v>28</v>
      </c>
      <c r="L126" s="220">
        <f t="shared" si="2"/>
        <v>105</v>
      </c>
    </row>
    <row r="127" spans="1:12" ht="15.75" customHeight="1" x14ac:dyDescent="0.35">
      <c r="A127" s="314"/>
      <c r="B127" s="317"/>
      <c r="C127" s="6" t="s">
        <v>1623</v>
      </c>
      <c r="D127" s="6" t="s">
        <v>2180</v>
      </c>
      <c r="E127" s="6" t="s">
        <v>2388</v>
      </c>
      <c r="F127" s="6" t="s">
        <v>2545</v>
      </c>
      <c r="G127" s="33" t="s">
        <v>2550</v>
      </c>
      <c r="H127" s="34">
        <v>8</v>
      </c>
      <c r="I127" s="34">
        <v>9</v>
      </c>
      <c r="J127" s="34">
        <v>61</v>
      </c>
      <c r="K127" s="34">
        <v>49</v>
      </c>
      <c r="L127" s="220">
        <f t="shared" si="2"/>
        <v>127</v>
      </c>
    </row>
    <row r="128" spans="1:12" ht="29" x14ac:dyDescent="0.35">
      <c r="A128" s="314"/>
      <c r="B128" s="317"/>
      <c r="C128" s="6" t="s">
        <v>1623</v>
      </c>
      <c r="D128" s="6" t="s">
        <v>2180</v>
      </c>
      <c r="E128" s="6" t="s">
        <v>2388</v>
      </c>
      <c r="F128" s="6" t="s">
        <v>2563</v>
      </c>
      <c r="G128" s="33" t="s">
        <v>2564</v>
      </c>
      <c r="H128" s="34">
        <v>4</v>
      </c>
      <c r="I128" s="34">
        <v>7</v>
      </c>
      <c r="J128" s="34">
        <v>30</v>
      </c>
      <c r="K128" s="34">
        <v>38</v>
      </c>
      <c r="L128" s="220">
        <f t="shared" si="2"/>
        <v>79</v>
      </c>
    </row>
    <row r="129" spans="1:12" ht="15.75" customHeight="1" x14ac:dyDescent="0.35">
      <c r="A129" s="314"/>
      <c r="B129" s="317"/>
      <c r="C129" s="6" t="s">
        <v>1623</v>
      </c>
      <c r="D129" s="6" t="s">
        <v>2180</v>
      </c>
      <c r="E129" s="6" t="s">
        <v>2388</v>
      </c>
      <c r="F129" s="6" t="s">
        <v>2563</v>
      </c>
      <c r="G129" s="33" t="s">
        <v>2565</v>
      </c>
      <c r="H129" s="34">
        <v>14</v>
      </c>
      <c r="I129" s="34">
        <v>12</v>
      </c>
      <c r="J129" s="34">
        <v>66</v>
      </c>
      <c r="K129" s="34">
        <v>63</v>
      </c>
      <c r="L129" s="220">
        <f t="shared" si="2"/>
        <v>155</v>
      </c>
    </row>
    <row r="130" spans="1:12" ht="15.75" customHeight="1" x14ac:dyDescent="0.35">
      <c r="A130" s="314"/>
      <c r="B130" s="317"/>
      <c r="C130" s="6" t="s">
        <v>1623</v>
      </c>
      <c r="D130" s="6" t="s">
        <v>2180</v>
      </c>
      <c r="E130" s="6" t="s">
        <v>2388</v>
      </c>
      <c r="F130" s="6" t="s">
        <v>2563</v>
      </c>
      <c r="G130" s="33" t="s">
        <v>2538</v>
      </c>
      <c r="H130" s="34">
        <v>9</v>
      </c>
      <c r="I130" s="34">
        <v>11</v>
      </c>
      <c r="J130" s="34">
        <v>31</v>
      </c>
      <c r="K130" s="34">
        <v>70</v>
      </c>
      <c r="L130" s="220">
        <f t="shared" si="2"/>
        <v>121</v>
      </c>
    </row>
    <row r="131" spans="1:12" ht="15.75" customHeight="1" x14ac:dyDescent="0.35">
      <c r="A131" s="314"/>
      <c r="B131" s="317"/>
      <c r="C131" s="6" t="s">
        <v>1623</v>
      </c>
      <c r="D131" s="6" t="s">
        <v>2180</v>
      </c>
      <c r="E131" s="6" t="s">
        <v>2388</v>
      </c>
      <c r="F131" s="6" t="s">
        <v>2563</v>
      </c>
      <c r="G131" s="33" t="s">
        <v>2312</v>
      </c>
      <c r="H131" s="34">
        <v>3</v>
      </c>
      <c r="I131" s="34">
        <v>6</v>
      </c>
      <c r="J131" s="34">
        <v>23</v>
      </c>
      <c r="K131" s="34">
        <v>30</v>
      </c>
      <c r="L131" s="220">
        <f t="shared" si="2"/>
        <v>62</v>
      </c>
    </row>
    <row r="132" spans="1:12" ht="15.75" customHeight="1" x14ac:dyDescent="0.35">
      <c r="A132" s="314"/>
      <c r="B132" s="317"/>
      <c r="C132" s="6" t="s">
        <v>1623</v>
      </c>
      <c r="D132" s="6" t="s">
        <v>2180</v>
      </c>
      <c r="E132" s="6" t="s">
        <v>2388</v>
      </c>
      <c r="F132" s="6" t="s">
        <v>2563</v>
      </c>
      <c r="G132" s="33" t="s">
        <v>2566</v>
      </c>
      <c r="H132" s="34">
        <v>10</v>
      </c>
      <c r="I132" s="34">
        <v>10</v>
      </c>
      <c r="J132" s="34">
        <v>37</v>
      </c>
      <c r="K132" s="34">
        <v>45</v>
      </c>
      <c r="L132" s="220">
        <f t="shared" si="2"/>
        <v>102</v>
      </c>
    </row>
    <row r="133" spans="1:12" ht="15.75" customHeight="1" x14ac:dyDescent="0.35">
      <c r="A133" s="314"/>
      <c r="B133" s="317"/>
      <c r="C133" s="6" t="s">
        <v>1623</v>
      </c>
      <c r="D133" s="6" t="s">
        <v>2180</v>
      </c>
      <c r="E133" s="6" t="s">
        <v>2388</v>
      </c>
      <c r="F133" s="6" t="s">
        <v>2563</v>
      </c>
      <c r="G133" s="33" t="s">
        <v>2567</v>
      </c>
      <c r="H133" s="34">
        <v>5</v>
      </c>
      <c r="I133" s="34">
        <v>4</v>
      </c>
      <c r="J133" s="34">
        <v>30</v>
      </c>
      <c r="K133" s="34">
        <v>30</v>
      </c>
      <c r="L133" s="220">
        <f t="shared" si="2"/>
        <v>69</v>
      </c>
    </row>
    <row r="134" spans="1:12" ht="15.75" customHeight="1" x14ac:dyDescent="0.35">
      <c r="A134" s="314"/>
      <c r="B134" s="318"/>
      <c r="C134" s="6" t="s">
        <v>1623</v>
      </c>
      <c r="D134" s="6" t="s">
        <v>2180</v>
      </c>
      <c r="E134" s="6" t="s">
        <v>2388</v>
      </c>
      <c r="F134" s="6" t="s">
        <v>2563</v>
      </c>
      <c r="G134" s="33" t="s">
        <v>2568</v>
      </c>
      <c r="H134" s="34">
        <v>2</v>
      </c>
      <c r="I134" s="34">
        <v>5</v>
      </c>
      <c r="J134" s="34">
        <v>15</v>
      </c>
      <c r="K134" s="34">
        <v>12</v>
      </c>
      <c r="L134" s="220">
        <f t="shared" ref="L134:L197" si="5">H134+I134+J134+K134</f>
        <v>34</v>
      </c>
    </row>
    <row r="135" spans="1:12" x14ac:dyDescent="0.35">
      <c r="A135" s="315"/>
      <c r="B135" s="188"/>
      <c r="C135" s="188"/>
      <c r="D135" s="188"/>
      <c r="E135" s="188"/>
      <c r="F135" s="188"/>
      <c r="G135" s="227" t="s">
        <v>2</v>
      </c>
      <c r="H135" s="227">
        <f>SUM(H108:H134)</f>
        <v>327</v>
      </c>
      <c r="I135" s="227">
        <f t="shared" ref="I135:K135" si="6">SUM(I108:I134)</f>
        <v>429</v>
      </c>
      <c r="J135" s="227">
        <f t="shared" si="6"/>
        <v>1289</v>
      </c>
      <c r="K135" s="227">
        <f t="shared" si="6"/>
        <v>1595</v>
      </c>
      <c r="L135" s="225">
        <f t="shared" si="5"/>
        <v>3640</v>
      </c>
    </row>
    <row r="136" spans="1:12" ht="29" x14ac:dyDescent="0.35">
      <c r="A136" s="313">
        <v>5</v>
      </c>
      <c r="B136" s="310" t="s">
        <v>3255</v>
      </c>
      <c r="C136" s="6" t="s">
        <v>1623</v>
      </c>
      <c r="D136" s="6" t="s">
        <v>2180</v>
      </c>
      <c r="E136" s="6" t="s">
        <v>2293</v>
      </c>
      <c r="F136" s="6" t="s">
        <v>2314</v>
      </c>
      <c r="G136" s="33" t="s">
        <v>2315</v>
      </c>
      <c r="H136" s="34">
        <v>8</v>
      </c>
      <c r="I136" s="34">
        <v>7</v>
      </c>
      <c r="J136" s="34">
        <v>62</v>
      </c>
      <c r="K136" s="34">
        <v>41</v>
      </c>
      <c r="L136" s="220">
        <f t="shared" si="5"/>
        <v>118</v>
      </c>
    </row>
    <row r="137" spans="1:12" x14ac:dyDescent="0.35">
      <c r="A137" s="314"/>
      <c r="B137" s="311"/>
      <c r="C137" s="6" t="s">
        <v>1623</v>
      </c>
      <c r="D137" s="6" t="s">
        <v>2180</v>
      </c>
      <c r="E137" s="6" t="s">
        <v>2293</v>
      </c>
      <c r="F137" s="6" t="s">
        <v>2294</v>
      </c>
      <c r="G137" s="33" t="s">
        <v>2295</v>
      </c>
      <c r="H137" s="34">
        <v>17</v>
      </c>
      <c r="I137" s="34">
        <v>17</v>
      </c>
      <c r="J137" s="34">
        <v>83</v>
      </c>
      <c r="K137" s="34">
        <v>96</v>
      </c>
      <c r="L137" s="220">
        <f t="shared" si="5"/>
        <v>213</v>
      </c>
    </row>
    <row r="138" spans="1:12" x14ac:dyDescent="0.35">
      <c r="A138" s="314"/>
      <c r="B138" s="311"/>
      <c r="C138" s="6" t="s">
        <v>1623</v>
      </c>
      <c r="D138" s="6" t="s">
        <v>2180</v>
      </c>
      <c r="E138" s="6" t="s">
        <v>2293</v>
      </c>
      <c r="F138" s="6" t="s">
        <v>2297</v>
      </c>
      <c r="G138" s="6" t="s">
        <v>2298</v>
      </c>
      <c r="H138" s="34">
        <v>10</v>
      </c>
      <c r="I138" s="34">
        <v>8</v>
      </c>
      <c r="J138" s="34">
        <v>56</v>
      </c>
      <c r="K138" s="34">
        <v>35</v>
      </c>
      <c r="L138" s="220">
        <f t="shared" si="5"/>
        <v>109</v>
      </c>
    </row>
    <row r="139" spans="1:12" x14ac:dyDescent="0.35">
      <c r="A139" s="314"/>
      <c r="B139" s="311"/>
      <c r="C139" s="6" t="s">
        <v>1623</v>
      </c>
      <c r="D139" s="6" t="s">
        <v>2180</v>
      </c>
      <c r="E139" s="6" t="s">
        <v>2293</v>
      </c>
      <c r="F139" s="6" t="s">
        <v>2304</v>
      </c>
      <c r="G139" s="33" t="s">
        <v>2309</v>
      </c>
      <c r="H139" s="34">
        <v>56</v>
      </c>
      <c r="I139" s="34">
        <v>44</v>
      </c>
      <c r="J139" s="34">
        <v>159</v>
      </c>
      <c r="K139" s="34">
        <v>194</v>
      </c>
      <c r="L139" s="220">
        <f t="shared" si="5"/>
        <v>453</v>
      </c>
    </row>
    <row r="140" spans="1:12" x14ac:dyDescent="0.35">
      <c r="A140" s="314"/>
      <c r="B140" s="311"/>
      <c r="C140" s="6" t="s">
        <v>1623</v>
      </c>
      <c r="D140" s="6" t="s">
        <v>2180</v>
      </c>
      <c r="E140" s="6" t="s">
        <v>2293</v>
      </c>
      <c r="F140" s="6" t="s">
        <v>2304</v>
      </c>
      <c r="G140" s="33" t="s">
        <v>2309</v>
      </c>
      <c r="H140" s="34">
        <v>9</v>
      </c>
      <c r="I140" s="34">
        <v>10</v>
      </c>
      <c r="J140" s="34">
        <v>30</v>
      </c>
      <c r="K140" s="34">
        <v>39</v>
      </c>
      <c r="L140" s="220">
        <f t="shared" si="5"/>
        <v>88</v>
      </c>
    </row>
    <row r="141" spans="1:12" x14ac:dyDescent="0.35">
      <c r="A141" s="314"/>
      <c r="B141" s="311"/>
      <c r="C141" s="6" t="s">
        <v>1623</v>
      </c>
      <c r="D141" s="6" t="s">
        <v>2180</v>
      </c>
      <c r="E141" s="6" t="s">
        <v>2293</v>
      </c>
      <c r="F141" s="6" t="s">
        <v>2314</v>
      </c>
      <c r="G141" s="33" t="s">
        <v>2317</v>
      </c>
      <c r="H141" s="34">
        <v>8</v>
      </c>
      <c r="I141" s="34">
        <v>13</v>
      </c>
      <c r="J141" s="34">
        <v>55</v>
      </c>
      <c r="K141" s="34">
        <v>64</v>
      </c>
      <c r="L141" s="220">
        <f t="shared" si="5"/>
        <v>140</v>
      </c>
    </row>
    <row r="142" spans="1:12" x14ac:dyDescent="0.35">
      <c r="A142" s="314"/>
      <c r="B142" s="312"/>
      <c r="C142" s="6" t="s">
        <v>1623</v>
      </c>
      <c r="D142" s="6" t="s">
        <v>2180</v>
      </c>
      <c r="E142" s="6" t="s">
        <v>2293</v>
      </c>
      <c r="F142" s="6" t="s">
        <v>2304</v>
      </c>
      <c r="G142" s="33" t="s">
        <v>1772</v>
      </c>
      <c r="H142" s="34">
        <v>34</v>
      </c>
      <c r="I142" s="34">
        <v>20</v>
      </c>
      <c r="J142" s="34">
        <v>121</v>
      </c>
      <c r="K142" s="34">
        <v>111</v>
      </c>
      <c r="L142" s="220">
        <f t="shared" si="5"/>
        <v>286</v>
      </c>
    </row>
    <row r="143" spans="1:12" x14ac:dyDescent="0.35">
      <c r="A143" s="315"/>
      <c r="B143" s="188"/>
      <c r="C143" s="188"/>
      <c r="D143" s="188"/>
      <c r="E143" s="188"/>
      <c r="F143" s="188"/>
      <c r="G143" s="227" t="s">
        <v>2</v>
      </c>
      <c r="H143" s="227">
        <f>SUM(H136:H142)</f>
        <v>142</v>
      </c>
      <c r="I143" s="227">
        <f t="shared" ref="I143:K143" si="7">SUM(I136:I142)</f>
        <v>119</v>
      </c>
      <c r="J143" s="227">
        <f t="shared" si="7"/>
        <v>566</v>
      </c>
      <c r="K143" s="227">
        <f t="shared" si="7"/>
        <v>580</v>
      </c>
      <c r="L143" s="225">
        <f t="shared" si="5"/>
        <v>1407</v>
      </c>
    </row>
    <row r="144" spans="1:12" x14ac:dyDescent="0.35">
      <c r="A144" s="313">
        <v>6</v>
      </c>
      <c r="B144" s="310" t="s">
        <v>3311</v>
      </c>
      <c r="C144" s="6" t="s">
        <v>1623</v>
      </c>
      <c r="D144" s="6" t="s">
        <v>2180</v>
      </c>
      <c r="E144" s="6" t="s">
        <v>2293</v>
      </c>
      <c r="F144" s="6" t="s">
        <v>2294</v>
      </c>
      <c r="G144" s="6" t="s">
        <v>2296</v>
      </c>
      <c r="H144" s="34">
        <v>3</v>
      </c>
      <c r="I144" s="34">
        <v>5</v>
      </c>
      <c r="J144" s="34">
        <v>23</v>
      </c>
      <c r="K144" s="34">
        <v>19</v>
      </c>
      <c r="L144" s="220">
        <f t="shared" si="5"/>
        <v>50</v>
      </c>
    </row>
    <row r="145" spans="1:12" x14ac:dyDescent="0.35">
      <c r="A145" s="314"/>
      <c r="B145" s="311"/>
      <c r="C145" s="6" t="s">
        <v>1623</v>
      </c>
      <c r="D145" s="6" t="s">
        <v>2180</v>
      </c>
      <c r="E145" s="6" t="s">
        <v>2293</v>
      </c>
      <c r="F145" s="6" t="s">
        <v>2301</v>
      </c>
      <c r="G145" s="6" t="s">
        <v>2302</v>
      </c>
      <c r="H145" s="6">
        <v>17</v>
      </c>
      <c r="I145" s="6">
        <v>91</v>
      </c>
      <c r="J145" s="6">
        <v>91</v>
      </c>
      <c r="K145" s="6">
        <v>88</v>
      </c>
      <c r="L145" s="220">
        <f t="shared" si="5"/>
        <v>287</v>
      </c>
    </row>
    <row r="146" spans="1:12" x14ac:dyDescent="0.35">
      <c r="A146" s="314"/>
      <c r="B146" s="311"/>
      <c r="C146" s="6" t="s">
        <v>1623</v>
      </c>
      <c r="D146" s="6" t="s">
        <v>2180</v>
      </c>
      <c r="E146" s="6" t="s">
        <v>2293</v>
      </c>
      <c r="F146" s="6" t="s">
        <v>2301</v>
      </c>
      <c r="G146" s="6" t="s">
        <v>2302</v>
      </c>
      <c r="H146" s="6">
        <v>22</v>
      </c>
      <c r="I146" s="6">
        <v>58</v>
      </c>
      <c r="J146" s="6">
        <v>108</v>
      </c>
      <c r="K146" s="6">
        <v>141</v>
      </c>
      <c r="L146" s="220">
        <f t="shared" si="5"/>
        <v>329</v>
      </c>
    </row>
    <row r="147" spans="1:12" x14ac:dyDescent="0.35">
      <c r="A147" s="314"/>
      <c r="B147" s="311"/>
      <c r="C147" s="6" t="s">
        <v>1623</v>
      </c>
      <c r="D147" s="6" t="s">
        <v>2180</v>
      </c>
      <c r="E147" s="6" t="s">
        <v>2293</v>
      </c>
      <c r="F147" s="6" t="s">
        <v>2301</v>
      </c>
      <c r="G147" s="33" t="s">
        <v>2302</v>
      </c>
      <c r="H147" s="34">
        <v>10</v>
      </c>
      <c r="I147" s="34">
        <v>15</v>
      </c>
      <c r="J147" s="34">
        <v>26</v>
      </c>
      <c r="K147" s="34">
        <v>17</v>
      </c>
      <c r="L147" s="220">
        <f t="shared" si="5"/>
        <v>68</v>
      </c>
    </row>
    <row r="148" spans="1:12" x14ac:dyDescent="0.35">
      <c r="A148" s="314"/>
      <c r="B148" s="311"/>
      <c r="C148" s="6" t="s">
        <v>1623</v>
      </c>
      <c r="D148" s="6" t="s">
        <v>2180</v>
      </c>
      <c r="E148" s="6" t="s">
        <v>2293</v>
      </c>
      <c r="F148" s="6" t="s">
        <v>2301</v>
      </c>
      <c r="G148" s="6" t="s">
        <v>2302</v>
      </c>
      <c r="H148" s="34">
        <v>15</v>
      </c>
      <c r="I148" s="34">
        <v>10</v>
      </c>
      <c r="J148" s="34">
        <v>47</v>
      </c>
      <c r="K148" s="34">
        <v>62</v>
      </c>
      <c r="L148" s="220">
        <f t="shared" si="5"/>
        <v>134</v>
      </c>
    </row>
    <row r="149" spans="1:12" x14ac:dyDescent="0.35">
      <c r="A149" s="314"/>
      <c r="B149" s="311"/>
      <c r="C149" s="6" t="s">
        <v>1623</v>
      </c>
      <c r="D149" s="6" t="s">
        <v>2180</v>
      </c>
      <c r="E149" s="6" t="s">
        <v>2293</v>
      </c>
      <c r="F149" s="6" t="s">
        <v>2301</v>
      </c>
      <c r="G149" s="6" t="s">
        <v>2303</v>
      </c>
      <c r="H149" s="34">
        <v>9</v>
      </c>
      <c r="I149" s="34">
        <v>9</v>
      </c>
      <c r="J149" s="34">
        <v>27</v>
      </c>
      <c r="K149" s="34">
        <v>29</v>
      </c>
      <c r="L149" s="220">
        <f t="shared" si="5"/>
        <v>74</v>
      </c>
    </row>
    <row r="150" spans="1:12" x14ac:dyDescent="0.35">
      <c r="A150" s="314"/>
      <c r="B150" s="311"/>
      <c r="C150" s="6" t="s">
        <v>1623</v>
      </c>
      <c r="D150" s="6" t="s">
        <v>2180</v>
      </c>
      <c r="E150" s="6" t="s">
        <v>2293</v>
      </c>
      <c r="F150" s="6" t="s">
        <v>2304</v>
      </c>
      <c r="G150" s="33" t="s">
        <v>2305</v>
      </c>
      <c r="H150" s="34">
        <v>13</v>
      </c>
      <c r="I150" s="34">
        <v>21</v>
      </c>
      <c r="J150" s="34">
        <v>83</v>
      </c>
      <c r="K150" s="34">
        <v>101</v>
      </c>
      <c r="L150" s="220">
        <f t="shared" si="5"/>
        <v>218</v>
      </c>
    </row>
    <row r="151" spans="1:12" x14ac:dyDescent="0.35">
      <c r="A151" s="314"/>
      <c r="B151" s="311"/>
      <c r="C151" s="3" t="s">
        <v>1623</v>
      </c>
      <c r="D151" s="3" t="s">
        <v>2180</v>
      </c>
      <c r="E151" s="3" t="s">
        <v>2293</v>
      </c>
      <c r="F151" s="3" t="s">
        <v>2304</v>
      </c>
      <c r="G151" s="117" t="s">
        <v>2306</v>
      </c>
      <c r="H151" s="34">
        <v>3</v>
      </c>
      <c r="I151" s="34">
        <v>6</v>
      </c>
      <c r="J151" s="34">
        <v>24</v>
      </c>
      <c r="K151" s="34">
        <v>36</v>
      </c>
      <c r="L151" s="220">
        <f t="shared" si="5"/>
        <v>69</v>
      </c>
    </row>
    <row r="152" spans="1:12" x14ac:dyDescent="0.35">
      <c r="A152" s="314"/>
      <c r="B152" s="311"/>
      <c r="C152" s="6" t="s">
        <v>1623</v>
      </c>
      <c r="D152" s="6" t="s">
        <v>2180</v>
      </c>
      <c r="E152" s="6" t="s">
        <v>2293</v>
      </c>
      <c r="F152" s="6" t="s">
        <v>2304</v>
      </c>
      <c r="G152" s="6" t="s">
        <v>2307</v>
      </c>
      <c r="H152" s="34">
        <v>7</v>
      </c>
      <c r="I152" s="34">
        <v>6</v>
      </c>
      <c r="J152" s="34">
        <v>37</v>
      </c>
      <c r="K152" s="34">
        <v>25</v>
      </c>
      <c r="L152" s="220">
        <f t="shared" si="5"/>
        <v>75</v>
      </c>
    </row>
    <row r="153" spans="1:12" x14ac:dyDescent="0.35">
      <c r="A153" s="314"/>
      <c r="B153" s="311"/>
      <c r="C153" s="6" t="s">
        <v>1623</v>
      </c>
      <c r="D153" s="6" t="s">
        <v>2180</v>
      </c>
      <c r="E153" s="6" t="s">
        <v>2293</v>
      </c>
      <c r="F153" s="6" t="s">
        <v>2304</v>
      </c>
      <c r="G153" s="6" t="s">
        <v>2308</v>
      </c>
      <c r="H153" s="34">
        <v>9</v>
      </c>
      <c r="I153" s="34">
        <v>6</v>
      </c>
      <c r="J153" s="34">
        <v>62</v>
      </c>
      <c r="K153" s="34">
        <v>58</v>
      </c>
      <c r="L153" s="220">
        <f t="shared" si="5"/>
        <v>135</v>
      </c>
    </row>
    <row r="154" spans="1:12" x14ac:dyDescent="0.35">
      <c r="A154" s="314"/>
      <c r="B154" s="311"/>
      <c r="C154" s="6" t="s">
        <v>1623</v>
      </c>
      <c r="D154" s="6" t="s">
        <v>2180</v>
      </c>
      <c r="E154" s="6" t="s">
        <v>2293</v>
      </c>
      <c r="F154" s="6" t="s">
        <v>2304</v>
      </c>
      <c r="G154" s="6" t="s">
        <v>245</v>
      </c>
      <c r="H154" s="34">
        <v>9</v>
      </c>
      <c r="I154" s="34">
        <v>23</v>
      </c>
      <c r="J154" s="34">
        <v>46</v>
      </c>
      <c r="K154" s="34">
        <v>56</v>
      </c>
      <c r="L154" s="220">
        <f t="shared" si="5"/>
        <v>134</v>
      </c>
    </row>
    <row r="155" spans="1:12" x14ac:dyDescent="0.35">
      <c r="A155" s="314"/>
      <c r="B155" s="311"/>
      <c r="C155" s="6" t="s">
        <v>1623</v>
      </c>
      <c r="D155" s="6" t="s">
        <v>2180</v>
      </c>
      <c r="E155" s="6" t="s">
        <v>2293</v>
      </c>
      <c r="F155" s="6" t="s">
        <v>2304</v>
      </c>
      <c r="G155" s="33" t="s">
        <v>245</v>
      </c>
      <c r="H155" s="34">
        <v>10</v>
      </c>
      <c r="I155" s="34">
        <v>10</v>
      </c>
      <c r="J155" s="34">
        <v>35</v>
      </c>
      <c r="K155" s="34">
        <v>48</v>
      </c>
      <c r="L155" s="220">
        <f t="shared" si="5"/>
        <v>103</v>
      </c>
    </row>
    <row r="156" spans="1:12" x14ac:dyDescent="0.35">
      <c r="A156" s="314"/>
      <c r="B156" s="311"/>
      <c r="C156" s="6" t="s">
        <v>1623</v>
      </c>
      <c r="D156" s="6" t="s">
        <v>2180</v>
      </c>
      <c r="E156" s="6" t="s">
        <v>2293</v>
      </c>
      <c r="F156" s="6" t="s">
        <v>2304</v>
      </c>
      <c r="G156" s="6" t="s">
        <v>2310</v>
      </c>
      <c r="H156" s="34">
        <v>29</v>
      </c>
      <c r="I156" s="34">
        <v>21</v>
      </c>
      <c r="J156" s="34">
        <v>111</v>
      </c>
      <c r="K156" s="34">
        <v>89</v>
      </c>
      <c r="L156" s="220">
        <f t="shared" si="5"/>
        <v>250</v>
      </c>
    </row>
    <row r="157" spans="1:12" x14ac:dyDescent="0.35">
      <c r="A157" s="314"/>
      <c r="B157" s="311"/>
      <c r="C157" s="3" t="s">
        <v>1623</v>
      </c>
      <c r="D157" s="3" t="s">
        <v>2180</v>
      </c>
      <c r="E157" s="3" t="s">
        <v>2293</v>
      </c>
      <c r="F157" s="3" t="s">
        <v>2304</v>
      </c>
      <c r="G157" s="117" t="s">
        <v>2311</v>
      </c>
      <c r="H157" s="34">
        <v>8</v>
      </c>
      <c r="I157" s="34">
        <v>8</v>
      </c>
      <c r="J157" s="34">
        <v>49</v>
      </c>
      <c r="K157" s="34">
        <v>42</v>
      </c>
      <c r="L157" s="220">
        <f t="shared" si="5"/>
        <v>107</v>
      </c>
    </row>
    <row r="158" spans="1:12" x14ac:dyDescent="0.35">
      <c r="A158" s="314"/>
      <c r="B158" s="311"/>
      <c r="C158" s="6" t="s">
        <v>1623</v>
      </c>
      <c r="D158" s="6" t="s">
        <v>2180</v>
      </c>
      <c r="E158" s="6" t="s">
        <v>2293</v>
      </c>
      <c r="F158" s="6" t="s">
        <v>2304</v>
      </c>
      <c r="G158" s="6" t="s">
        <v>2313</v>
      </c>
      <c r="H158" s="34">
        <v>15</v>
      </c>
      <c r="I158" s="34">
        <v>6</v>
      </c>
      <c r="J158" s="34">
        <v>46</v>
      </c>
      <c r="K158" s="34">
        <v>40</v>
      </c>
      <c r="L158" s="220">
        <f t="shared" si="5"/>
        <v>107</v>
      </c>
    </row>
    <row r="159" spans="1:12" x14ac:dyDescent="0.35">
      <c r="A159" s="314"/>
      <c r="B159" s="311"/>
      <c r="C159" s="6" t="s">
        <v>1623</v>
      </c>
      <c r="D159" s="6" t="s">
        <v>2180</v>
      </c>
      <c r="E159" s="6" t="s">
        <v>2293</v>
      </c>
      <c r="F159" s="6" t="s">
        <v>2314</v>
      </c>
      <c r="G159" s="33" t="s">
        <v>2316</v>
      </c>
      <c r="H159" s="34">
        <v>4</v>
      </c>
      <c r="I159" s="34">
        <v>4</v>
      </c>
      <c r="J159" s="34">
        <v>31</v>
      </c>
      <c r="K159" s="34">
        <v>28</v>
      </c>
      <c r="L159" s="220">
        <f t="shared" si="5"/>
        <v>67</v>
      </c>
    </row>
    <row r="160" spans="1:12" x14ac:dyDescent="0.35">
      <c r="A160" s="314"/>
      <c r="B160" s="311"/>
      <c r="C160" s="6" t="s">
        <v>1623</v>
      </c>
      <c r="D160" s="6" t="s">
        <v>2180</v>
      </c>
      <c r="E160" s="6" t="s">
        <v>2293</v>
      </c>
      <c r="F160" s="6" t="s">
        <v>2519</v>
      </c>
      <c r="G160" s="6" t="s">
        <v>2520</v>
      </c>
      <c r="H160" s="34">
        <v>1</v>
      </c>
      <c r="I160" s="34">
        <v>0</v>
      </c>
      <c r="J160" s="34">
        <v>12</v>
      </c>
      <c r="K160" s="34">
        <v>12</v>
      </c>
      <c r="L160" s="220">
        <f t="shared" si="5"/>
        <v>25</v>
      </c>
    </row>
    <row r="161" spans="1:12" x14ac:dyDescent="0.35">
      <c r="A161" s="314"/>
      <c r="B161" s="311"/>
      <c r="C161" s="6" t="s">
        <v>1623</v>
      </c>
      <c r="D161" s="6" t="s">
        <v>2180</v>
      </c>
      <c r="E161" s="6" t="s">
        <v>2293</v>
      </c>
      <c r="F161" s="6" t="s">
        <v>2519</v>
      </c>
      <c r="G161" s="6" t="s">
        <v>494</v>
      </c>
      <c r="H161" s="6">
        <v>33</v>
      </c>
      <c r="I161" s="6">
        <v>47</v>
      </c>
      <c r="J161" s="6">
        <v>112</v>
      </c>
      <c r="K161" s="6">
        <v>130</v>
      </c>
      <c r="L161" s="220">
        <f t="shared" si="5"/>
        <v>322</v>
      </c>
    </row>
    <row r="162" spans="1:12" x14ac:dyDescent="0.35">
      <c r="A162" s="314"/>
      <c r="B162" s="311"/>
      <c r="C162" s="6" t="s">
        <v>1623</v>
      </c>
      <c r="D162" s="6" t="s">
        <v>2180</v>
      </c>
      <c r="E162" s="6" t="s">
        <v>2293</v>
      </c>
      <c r="F162" s="6" t="s">
        <v>2519</v>
      </c>
      <c r="G162" s="6" t="s">
        <v>494</v>
      </c>
      <c r="H162" s="6">
        <v>17</v>
      </c>
      <c r="I162" s="6">
        <v>53</v>
      </c>
      <c r="J162" s="6">
        <v>53</v>
      </c>
      <c r="K162" s="6">
        <v>47</v>
      </c>
      <c r="L162" s="220">
        <f t="shared" si="5"/>
        <v>170</v>
      </c>
    </row>
    <row r="163" spans="1:12" x14ac:dyDescent="0.35">
      <c r="A163" s="314"/>
      <c r="B163" s="311"/>
      <c r="C163" s="6" t="s">
        <v>1623</v>
      </c>
      <c r="D163" s="6" t="s">
        <v>2180</v>
      </c>
      <c r="E163" s="6" t="s">
        <v>2293</v>
      </c>
      <c r="F163" s="6" t="s">
        <v>2519</v>
      </c>
      <c r="G163" s="6" t="s">
        <v>494</v>
      </c>
      <c r="H163" s="34">
        <v>25</v>
      </c>
      <c r="I163" s="34">
        <v>35</v>
      </c>
      <c r="J163" s="34">
        <v>57</v>
      </c>
      <c r="K163" s="34">
        <v>58</v>
      </c>
      <c r="L163" s="220">
        <f t="shared" si="5"/>
        <v>175</v>
      </c>
    </row>
    <row r="164" spans="1:12" x14ac:dyDescent="0.35">
      <c r="A164" s="314"/>
      <c r="B164" s="311"/>
      <c r="C164" s="6" t="s">
        <v>1623</v>
      </c>
      <c r="D164" s="6" t="s">
        <v>2180</v>
      </c>
      <c r="E164" s="6" t="s">
        <v>2293</v>
      </c>
      <c r="F164" s="6" t="s">
        <v>2519</v>
      </c>
      <c r="G164" s="6" t="s">
        <v>2522</v>
      </c>
      <c r="H164" s="34">
        <v>2</v>
      </c>
      <c r="I164" s="34">
        <v>2</v>
      </c>
      <c r="J164" s="34">
        <v>11</v>
      </c>
      <c r="K164" s="34">
        <v>13</v>
      </c>
      <c r="L164" s="220">
        <f t="shared" si="5"/>
        <v>28</v>
      </c>
    </row>
    <row r="165" spans="1:12" x14ac:dyDescent="0.35">
      <c r="A165" s="314"/>
      <c r="B165" s="311"/>
      <c r="C165" s="6" t="s">
        <v>1623</v>
      </c>
      <c r="D165" s="6" t="s">
        <v>2180</v>
      </c>
      <c r="E165" s="6" t="s">
        <v>2293</v>
      </c>
      <c r="F165" s="6" t="s">
        <v>2519</v>
      </c>
      <c r="G165" s="6" t="s">
        <v>280</v>
      </c>
      <c r="H165" s="34">
        <v>5</v>
      </c>
      <c r="I165" s="34">
        <v>3</v>
      </c>
      <c r="J165" s="34">
        <v>16</v>
      </c>
      <c r="K165" s="34">
        <v>18</v>
      </c>
      <c r="L165" s="220">
        <f t="shared" si="5"/>
        <v>42</v>
      </c>
    </row>
    <row r="166" spans="1:12" x14ac:dyDescent="0.35">
      <c r="A166" s="314"/>
      <c r="B166" s="311"/>
      <c r="C166" s="6" t="s">
        <v>1623</v>
      </c>
      <c r="D166" s="6" t="s">
        <v>2180</v>
      </c>
      <c r="E166" s="6" t="s">
        <v>2293</v>
      </c>
      <c r="F166" s="6" t="s">
        <v>2304</v>
      </c>
      <c r="G166" s="6" t="s">
        <v>2312</v>
      </c>
      <c r="H166" s="34">
        <v>7</v>
      </c>
      <c r="I166" s="34">
        <v>6</v>
      </c>
      <c r="J166" s="34">
        <v>24</v>
      </c>
      <c r="K166" s="34">
        <v>27</v>
      </c>
      <c r="L166" s="220">
        <f t="shared" si="5"/>
        <v>64</v>
      </c>
    </row>
    <row r="167" spans="1:12" x14ac:dyDescent="0.35">
      <c r="A167" s="314"/>
      <c r="B167" s="311"/>
      <c r="C167" s="6" t="s">
        <v>1623</v>
      </c>
      <c r="D167" s="6" t="s">
        <v>2180</v>
      </c>
      <c r="E167" s="6" t="s">
        <v>2293</v>
      </c>
      <c r="F167" s="6" t="s">
        <v>2304</v>
      </c>
      <c r="G167" s="6" t="s">
        <v>2312</v>
      </c>
      <c r="H167" s="34">
        <v>5</v>
      </c>
      <c r="I167" s="34">
        <v>3</v>
      </c>
      <c r="J167" s="34">
        <v>19</v>
      </c>
      <c r="K167" s="34">
        <v>19</v>
      </c>
      <c r="L167" s="220">
        <f t="shared" si="5"/>
        <v>46</v>
      </c>
    </row>
    <row r="168" spans="1:12" x14ac:dyDescent="0.35">
      <c r="A168" s="314"/>
      <c r="B168" s="311"/>
      <c r="C168" s="6" t="s">
        <v>1623</v>
      </c>
      <c r="D168" s="6" t="s">
        <v>2180</v>
      </c>
      <c r="E168" s="6" t="s">
        <v>2293</v>
      </c>
      <c r="F168" s="6" t="s">
        <v>2304</v>
      </c>
      <c r="G168" s="33" t="s">
        <v>2312</v>
      </c>
      <c r="H168" s="34">
        <v>3</v>
      </c>
      <c r="I168" s="34">
        <v>6</v>
      </c>
      <c r="J168" s="34">
        <v>23</v>
      </c>
      <c r="K168" s="34">
        <v>30</v>
      </c>
      <c r="L168" s="220">
        <f t="shared" si="5"/>
        <v>62</v>
      </c>
    </row>
    <row r="169" spans="1:12" x14ac:dyDescent="0.35">
      <c r="A169" s="314"/>
      <c r="B169" s="311"/>
      <c r="C169" s="6" t="s">
        <v>1623</v>
      </c>
      <c r="D169" s="6" t="s">
        <v>2180</v>
      </c>
      <c r="E169" s="6" t="s">
        <v>2293</v>
      </c>
      <c r="F169" s="6" t="s">
        <v>2304</v>
      </c>
      <c r="G169" s="33" t="s">
        <v>2312</v>
      </c>
      <c r="H169" s="34">
        <v>15</v>
      </c>
      <c r="I169" s="34">
        <v>27</v>
      </c>
      <c r="J169" s="34">
        <v>41</v>
      </c>
      <c r="K169" s="34">
        <v>60</v>
      </c>
      <c r="L169" s="220">
        <f t="shared" si="5"/>
        <v>143</v>
      </c>
    </row>
    <row r="170" spans="1:12" x14ac:dyDescent="0.35">
      <c r="A170" s="314"/>
      <c r="B170" s="311"/>
      <c r="C170" s="6" t="s">
        <v>1623</v>
      </c>
      <c r="D170" s="6" t="s">
        <v>2180</v>
      </c>
      <c r="E170" s="6" t="s">
        <v>2293</v>
      </c>
      <c r="F170" s="6" t="s">
        <v>2304</v>
      </c>
      <c r="G170" s="6" t="s">
        <v>2312</v>
      </c>
      <c r="H170" s="34">
        <v>23</v>
      </c>
      <c r="I170" s="34">
        <v>27</v>
      </c>
      <c r="J170" s="34">
        <v>52</v>
      </c>
      <c r="K170" s="34">
        <v>48</v>
      </c>
      <c r="L170" s="220">
        <f t="shared" si="5"/>
        <v>150</v>
      </c>
    </row>
    <row r="171" spans="1:12" x14ac:dyDescent="0.35">
      <c r="A171" s="314"/>
      <c r="B171" s="311"/>
      <c r="C171" s="6" t="s">
        <v>1623</v>
      </c>
      <c r="D171" s="6" t="s">
        <v>2180</v>
      </c>
      <c r="E171" s="6" t="s">
        <v>2293</v>
      </c>
      <c r="F171" s="6" t="s">
        <v>2304</v>
      </c>
      <c r="G171" s="33" t="s">
        <v>2312</v>
      </c>
      <c r="H171" s="34">
        <v>10</v>
      </c>
      <c r="I171" s="34">
        <v>10</v>
      </c>
      <c r="J171" s="34">
        <v>60</v>
      </c>
      <c r="K171" s="34">
        <v>120</v>
      </c>
      <c r="L171" s="220">
        <f t="shared" si="5"/>
        <v>200</v>
      </c>
    </row>
    <row r="172" spans="1:12" x14ac:dyDescent="0.35">
      <c r="A172" s="314"/>
      <c r="B172" s="311"/>
      <c r="C172" s="6" t="s">
        <v>1623</v>
      </c>
      <c r="D172" s="6" t="s">
        <v>2180</v>
      </c>
      <c r="E172" s="6" t="s">
        <v>2293</v>
      </c>
      <c r="F172" s="6" t="s">
        <v>2519</v>
      </c>
      <c r="G172" s="6" t="s">
        <v>2521</v>
      </c>
      <c r="H172" s="34">
        <v>11</v>
      </c>
      <c r="I172" s="34">
        <v>12</v>
      </c>
      <c r="J172" s="34">
        <v>46</v>
      </c>
      <c r="K172" s="34">
        <v>53</v>
      </c>
      <c r="L172" s="220">
        <f t="shared" si="5"/>
        <v>122</v>
      </c>
    </row>
    <row r="173" spans="1:12" x14ac:dyDescent="0.35">
      <c r="A173" s="314"/>
      <c r="B173" s="311"/>
      <c r="C173" s="6" t="s">
        <v>1623</v>
      </c>
      <c r="D173" s="6" t="s">
        <v>2180</v>
      </c>
      <c r="E173" s="6" t="s">
        <v>2293</v>
      </c>
      <c r="F173" s="6" t="s">
        <v>2297</v>
      </c>
      <c r="G173" s="6" t="s">
        <v>2299</v>
      </c>
      <c r="H173" s="34">
        <v>6</v>
      </c>
      <c r="I173" s="34">
        <v>10</v>
      </c>
      <c r="J173" s="34">
        <v>34</v>
      </c>
      <c r="K173" s="34">
        <v>41</v>
      </c>
      <c r="L173" s="220">
        <f t="shared" si="5"/>
        <v>91</v>
      </c>
    </row>
    <row r="174" spans="1:12" x14ac:dyDescent="0.35">
      <c r="A174" s="314"/>
      <c r="B174" s="312"/>
      <c r="C174" s="6" t="s">
        <v>1623</v>
      </c>
      <c r="D174" s="6" t="s">
        <v>2180</v>
      </c>
      <c r="E174" s="6" t="s">
        <v>2293</v>
      </c>
      <c r="F174" s="6" t="s">
        <v>2297</v>
      </c>
      <c r="G174" s="6" t="s">
        <v>2300</v>
      </c>
      <c r="H174" s="34">
        <v>44</v>
      </c>
      <c r="I174" s="34">
        <v>56</v>
      </c>
      <c r="J174" s="34">
        <v>72</v>
      </c>
      <c r="K174" s="34">
        <v>78</v>
      </c>
      <c r="L174" s="220">
        <f t="shared" si="5"/>
        <v>250</v>
      </c>
    </row>
    <row r="175" spans="1:12" x14ac:dyDescent="0.35">
      <c r="A175" s="315"/>
      <c r="B175" s="188"/>
      <c r="C175" s="188"/>
      <c r="D175" s="188"/>
      <c r="E175" s="188"/>
      <c r="F175" s="188"/>
      <c r="G175" s="227" t="s">
        <v>2</v>
      </c>
      <c r="H175" s="227">
        <f>SUM(H144:H174)</f>
        <v>390</v>
      </c>
      <c r="I175" s="227">
        <f t="shared" ref="I175:K175" si="8">SUM(I144:I174)</f>
        <v>596</v>
      </c>
      <c r="J175" s="227">
        <f t="shared" si="8"/>
        <v>1478</v>
      </c>
      <c r="K175" s="227">
        <f t="shared" si="8"/>
        <v>1633</v>
      </c>
      <c r="L175" s="225">
        <f t="shared" si="5"/>
        <v>4097</v>
      </c>
    </row>
    <row r="176" spans="1:12" ht="15.75" customHeight="1" x14ac:dyDescent="0.35">
      <c r="A176" s="313">
        <v>7</v>
      </c>
      <c r="B176" s="316" t="s">
        <v>3312</v>
      </c>
      <c r="C176" s="6" t="s">
        <v>1623</v>
      </c>
      <c r="D176" s="6" t="s">
        <v>2180</v>
      </c>
      <c r="E176" s="6" t="s">
        <v>2269</v>
      </c>
      <c r="F176" s="6" t="s">
        <v>2325</v>
      </c>
      <c r="G176" s="33" t="s">
        <v>2326</v>
      </c>
      <c r="H176" s="34">
        <v>20</v>
      </c>
      <c r="I176" s="34">
        <v>18</v>
      </c>
      <c r="J176" s="34">
        <v>21</v>
      </c>
      <c r="K176" s="34">
        <v>30</v>
      </c>
      <c r="L176" s="220">
        <f t="shared" si="5"/>
        <v>89</v>
      </c>
    </row>
    <row r="177" spans="1:12" x14ac:dyDescent="0.35">
      <c r="A177" s="314"/>
      <c r="B177" s="317"/>
      <c r="C177" s="6" t="s">
        <v>1623</v>
      </c>
      <c r="D177" s="6" t="s">
        <v>2180</v>
      </c>
      <c r="E177" s="6" t="s">
        <v>2269</v>
      </c>
      <c r="F177" s="6" t="s">
        <v>2443</v>
      </c>
      <c r="G177" s="33" t="s">
        <v>2446</v>
      </c>
      <c r="H177" s="34">
        <v>22</v>
      </c>
      <c r="I177" s="34">
        <v>26</v>
      </c>
      <c r="J177" s="34">
        <v>97</v>
      </c>
      <c r="K177" s="34">
        <v>116</v>
      </c>
      <c r="L177" s="220">
        <f t="shared" si="5"/>
        <v>261</v>
      </c>
    </row>
    <row r="178" spans="1:12" x14ac:dyDescent="0.35">
      <c r="A178" s="314"/>
      <c r="B178" s="317"/>
      <c r="C178" s="6" t="s">
        <v>1623</v>
      </c>
      <c r="D178" s="6" t="s">
        <v>2180</v>
      </c>
      <c r="E178" s="6" t="s">
        <v>2269</v>
      </c>
      <c r="F178" s="6" t="s">
        <v>2443</v>
      </c>
      <c r="G178" s="33" t="s">
        <v>2443</v>
      </c>
      <c r="H178" s="34">
        <v>17</v>
      </c>
      <c r="I178" s="34">
        <v>21</v>
      </c>
      <c r="J178" s="34">
        <v>67</v>
      </c>
      <c r="K178" s="34">
        <v>65</v>
      </c>
      <c r="L178" s="220">
        <f t="shared" si="5"/>
        <v>170</v>
      </c>
    </row>
    <row r="179" spans="1:12" x14ac:dyDescent="0.35">
      <c r="A179" s="314"/>
      <c r="B179" s="317"/>
      <c r="C179" s="6" t="s">
        <v>1623</v>
      </c>
      <c r="D179" s="6" t="s">
        <v>2180</v>
      </c>
      <c r="E179" s="6" t="s">
        <v>2269</v>
      </c>
      <c r="F179" s="6" t="s">
        <v>2443</v>
      </c>
      <c r="G179" s="33" t="s">
        <v>2447</v>
      </c>
      <c r="H179" s="34">
        <v>25</v>
      </c>
      <c r="I179" s="34">
        <v>15</v>
      </c>
      <c r="J179" s="34">
        <v>80</v>
      </c>
      <c r="K179" s="34">
        <v>55</v>
      </c>
      <c r="L179" s="220">
        <f t="shared" si="5"/>
        <v>175</v>
      </c>
    </row>
    <row r="180" spans="1:12" ht="15.75" customHeight="1" x14ac:dyDescent="0.35">
      <c r="A180" s="314"/>
      <c r="B180" s="317"/>
      <c r="C180" s="6" t="s">
        <v>1623</v>
      </c>
      <c r="D180" s="6" t="s">
        <v>2180</v>
      </c>
      <c r="E180" s="6" t="s">
        <v>2269</v>
      </c>
      <c r="F180" s="6" t="s">
        <v>2325</v>
      </c>
      <c r="G180" s="228" t="s">
        <v>2327</v>
      </c>
      <c r="H180" s="34">
        <v>4</v>
      </c>
      <c r="I180" s="34">
        <v>6</v>
      </c>
      <c r="J180" s="34">
        <v>28</v>
      </c>
      <c r="K180" s="34">
        <v>30</v>
      </c>
      <c r="L180" s="220">
        <f t="shared" si="5"/>
        <v>68</v>
      </c>
    </row>
    <row r="181" spans="1:12" ht="15.75" customHeight="1" x14ac:dyDescent="0.35">
      <c r="A181" s="314"/>
      <c r="B181" s="317"/>
      <c r="C181" s="6" t="s">
        <v>1623</v>
      </c>
      <c r="D181" s="6" t="s">
        <v>2180</v>
      </c>
      <c r="E181" s="6" t="s">
        <v>2269</v>
      </c>
      <c r="F181" s="6" t="s">
        <v>2325</v>
      </c>
      <c r="G181" s="33" t="s">
        <v>2328</v>
      </c>
      <c r="H181" s="34">
        <v>2</v>
      </c>
      <c r="I181" s="34">
        <v>7</v>
      </c>
      <c r="J181" s="34">
        <v>45</v>
      </c>
      <c r="K181" s="34">
        <v>11</v>
      </c>
      <c r="L181" s="220">
        <f t="shared" si="5"/>
        <v>65</v>
      </c>
    </row>
    <row r="182" spans="1:12" ht="15.75" customHeight="1" x14ac:dyDescent="0.35">
      <c r="A182" s="314"/>
      <c r="B182" s="317"/>
      <c r="C182" s="6" t="s">
        <v>1623</v>
      </c>
      <c r="D182" s="6" t="s">
        <v>2180</v>
      </c>
      <c r="E182" s="6" t="s">
        <v>2269</v>
      </c>
      <c r="F182" s="6" t="s">
        <v>2325</v>
      </c>
      <c r="G182" s="6" t="s">
        <v>2333</v>
      </c>
      <c r="H182" s="34">
        <v>5</v>
      </c>
      <c r="I182" s="34">
        <v>7</v>
      </c>
      <c r="J182" s="34">
        <v>34</v>
      </c>
      <c r="K182" s="34">
        <v>48</v>
      </c>
      <c r="L182" s="220">
        <f t="shared" si="5"/>
        <v>94</v>
      </c>
    </row>
    <row r="183" spans="1:12" ht="15.75" customHeight="1" x14ac:dyDescent="0.35">
      <c r="A183" s="314"/>
      <c r="B183" s="317"/>
      <c r="C183" s="6" t="s">
        <v>1623</v>
      </c>
      <c r="D183" s="6" t="s">
        <v>2180</v>
      </c>
      <c r="E183" s="6" t="s">
        <v>2269</v>
      </c>
      <c r="F183" s="6" t="s">
        <v>2325</v>
      </c>
      <c r="G183" s="33" t="s">
        <v>2329</v>
      </c>
      <c r="H183" s="34">
        <v>20</v>
      </c>
      <c r="I183" s="34">
        <v>18</v>
      </c>
      <c r="J183" s="34">
        <v>40</v>
      </c>
      <c r="K183" s="34">
        <v>32</v>
      </c>
      <c r="L183" s="220">
        <f t="shared" si="5"/>
        <v>110</v>
      </c>
    </row>
    <row r="184" spans="1:12" ht="15.75" customHeight="1" x14ac:dyDescent="0.35">
      <c r="A184" s="314"/>
      <c r="B184" s="317"/>
      <c r="C184" s="6" t="s">
        <v>1623</v>
      </c>
      <c r="D184" s="6" t="s">
        <v>2180</v>
      </c>
      <c r="E184" s="6" t="s">
        <v>2269</v>
      </c>
      <c r="F184" s="6" t="s">
        <v>2325</v>
      </c>
      <c r="G184" s="33" t="s">
        <v>2325</v>
      </c>
      <c r="H184" s="34">
        <v>15</v>
      </c>
      <c r="I184" s="34">
        <v>18</v>
      </c>
      <c r="J184" s="34">
        <v>50</v>
      </c>
      <c r="K184" s="34">
        <v>55</v>
      </c>
      <c r="L184" s="220">
        <f t="shared" si="5"/>
        <v>138</v>
      </c>
    </row>
    <row r="185" spans="1:12" ht="15.75" customHeight="1" x14ac:dyDescent="0.35">
      <c r="A185" s="314"/>
      <c r="B185" s="317"/>
      <c r="C185" s="6" t="s">
        <v>1623</v>
      </c>
      <c r="D185" s="6" t="s">
        <v>2180</v>
      </c>
      <c r="E185" s="6" t="s">
        <v>2269</v>
      </c>
      <c r="F185" s="6" t="s">
        <v>2325</v>
      </c>
      <c r="G185" s="6" t="s">
        <v>2330</v>
      </c>
      <c r="H185" s="6">
        <v>8</v>
      </c>
      <c r="I185" s="34">
        <v>29</v>
      </c>
      <c r="J185" s="34">
        <v>28</v>
      </c>
      <c r="K185" s="34">
        <v>71</v>
      </c>
      <c r="L185" s="220">
        <f t="shared" si="5"/>
        <v>136</v>
      </c>
    </row>
    <row r="186" spans="1:12" ht="15.75" customHeight="1" x14ac:dyDescent="0.35">
      <c r="A186" s="314"/>
      <c r="B186" s="317"/>
      <c r="C186" s="6" t="s">
        <v>1623</v>
      </c>
      <c r="D186" s="6" t="s">
        <v>2180</v>
      </c>
      <c r="E186" s="6" t="s">
        <v>2269</v>
      </c>
      <c r="F186" s="6" t="s">
        <v>2325</v>
      </c>
      <c r="G186" s="33" t="s">
        <v>2330</v>
      </c>
      <c r="H186" s="34">
        <v>18</v>
      </c>
      <c r="I186" s="34">
        <v>20</v>
      </c>
      <c r="J186" s="34">
        <v>42</v>
      </c>
      <c r="K186" s="34">
        <v>30</v>
      </c>
      <c r="L186" s="220">
        <f t="shared" si="5"/>
        <v>110</v>
      </c>
    </row>
    <row r="187" spans="1:12" x14ac:dyDescent="0.35">
      <c r="A187" s="314"/>
      <c r="B187" s="317"/>
      <c r="C187" s="6" t="s">
        <v>1623</v>
      </c>
      <c r="D187" s="6" t="s">
        <v>2180</v>
      </c>
      <c r="E187" s="6" t="s">
        <v>2269</v>
      </c>
      <c r="F187" s="6" t="s">
        <v>2325</v>
      </c>
      <c r="G187" s="6" t="s">
        <v>2330</v>
      </c>
      <c r="H187" s="6">
        <v>10</v>
      </c>
      <c r="I187" s="34">
        <v>45</v>
      </c>
      <c r="J187" s="34">
        <v>51</v>
      </c>
      <c r="K187" s="34">
        <v>117</v>
      </c>
      <c r="L187" s="220">
        <f t="shared" si="5"/>
        <v>223</v>
      </c>
    </row>
    <row r="188" spans="1:12" x14ac:dyDescent="0.35">
      <c r="A188" s="314"/>
      <c r="B188" s="317"/>
      <c r="C188" s="6" t="s">
        <v>1623</v>
      </c>
      <c r="D188" s="6" t="s">
        <v>2180</v>
      </c>
      <c r="E188" s="6" t="s">
        <v>2269</v>
      </c>
      <c r="F188" s="6" t="s">
        <v>2325</v>
      </c>
      <c r="G188" s="33" t="s">
        <v>2331</v>
      </c>
      <c r="H188" s="6">
        <v>34</v>
      </c>
      <c r="I188" s="6">
        <v>16</v>
      </c>
      <c r="J188" s="34">
        <v>131</v>
      </c>
      <c r="K188" s="34">
        <v>119</v>
      </c>
      <c r="L188" s="220">
        <f t="shared" si="5"/>
        <v>300</v>
      </c>
    </row>
    <row r="189" spans="1:12" x14ac:dyDescent="0.35">
      <c r="A189" s="314"/>
      <c r="B189" s="317"/>
      <c r="C189" s="6" t="s">
        <v>1623</v>
      </c>
      <c r="D189" s="6" t="s">
        <v>2180</v>
      </c>
      <c r="E189" s="6" t="s">
        <v>2269</v>
      </c>
      <c r="F189" s="6" t="s">
        <v>2325</v>
      </c>
      <c r="G189" s="33" t="s">
        <v>2331</v>
      </c>
      <c r="H189" s="34">
        <v>28</v>
      </c>
      <c r="I189" s="34">
        <v>29</v>
      </c>
      <c r="J189" s="34">
        <v>49</v>
      </c>
      <c r="K189" s="34">
        <v>93</v>
      </c>
      <c r="L189" s="220">
        <f t="shared" si="5"/>
        <v>199</v>
      </c>
    </row>
    <row r="190" spans="1:12" x14ac:dyDescent="0.35">
      <c r="A190" s="314"/>
      <c r="B190" s="318"/>
      <c r="C190" s="6" t="s">
        <v>1623</v>
      </c>
      <c r="D190" s="6" t="s">
        <v>2180</v>
      </c>
      <c r="E190" s="6" t="s">
        <v>2269</v>
      </c>
      <c r="F190" s="6" t="s">
        <v>2325</v>
      </c>
      <c r="G190" s="33" t="s">
        <v>2332</v>
      </c>
      <c r="H190" s="34">
        <v>6</v>
      </c>
      <c r="I190" s="34">
        <v>6</v>
      </c>
      <c r="J190" s="34">
        <v>23</v>
      </c>
      <c r="K190" s="34">
        <v>22</v>
      </c>
      <c r="L190" s="220">
        <f t="shared" si="5"/>
        <v>57</v>
      </c>
    </row>
    <row r="191" spans="1:12" x14ac:dyDescent="0.35">
      <c r="A191" s="315"/>
      <c r="B191" s="188"/>
      <c r="C191" s="188"/>
      <c r="D191" s="188"/>
      <c r="E191" s="188"/>
      <c r="F191" s="188"/>
      <c r="G191" s="227" t="s">
        <v>2</v>
      </c>
      <c r="H191" s="227">
        <f>SUM(H176:H190)</f>
        <v>234</v>
      </c>
      <c r="I191" s="227">
        <f t="shared" ref="I191:K191" si="9">SUM(I176:I190)</f>
        <v>281</v>
      </c>
      <c r="J191" s="227">
        <f t="shared" si="9"/>
        <v>786</v>
      </c>
      <c r="K191" s="227">
        <f t="shared" si="9"/>
        <v>894</v>
      </c>
      <c r="L191" s="225">
        <f t="shared" si="5"/>
        <v>2195</v>
      </c>
    </row>
    <row r="192" spans="1:12" x14ac:dyDescent="0.35">
      <c r="A192" s="313">
        <v>8</v>
      </c>
      <c r="B192" s="310" t="s">
        <v>3313</v>
      </c>
      <c r="C192" s="6" t="s">
        <v>1623</v>
      </c>
      <c r="D192" s="6" t="s">
        <v>2180</v>
      </c>
      <c r="E192" s="6" t="s">
        <v>3314</v>
      </c>
      <c r="F192" s="6" t="s">
        <v>2470</v>
      </c>
      <c r="G192" s="33" t="s">
        <v>113</v>
      </c>
      <c r="H192" s="34">
        <v>11</v>
      </c>
      <c r="I192" s="34">
        <v>9</v>
      </c>
      <c r="J192" s="34">
        <v>47</v>
      </c>
      <c r="K192" s="34">
        <v>53</v>
      </c>
      <c r="L192" s="220">
        <f t="shared" si="5"/>
        <v>120</v>
      </c>
    </row>
    <row r="193" spans="1:12" x14ac:dyDescent="0.35">
      <c r="A193" s="314"/>
      <c r="B193" s="311"/>
      <c r="C193" s="6" t="s">
        <v>1623</v>
      </c>
      <c r="D193" s="6" t="s">
        <v>2180</v>
      </c>
      <c r="E193" s="6" t="s">
        <v>3314</v>
      </c>
      <c r="F193" s="6" t="s">
        <v>2470</v>
      </c>
      <c r="G193" s="33" t="s">
        <v>2470</v>
      </c>
      <c r="H193" s="34">
        <v>21</v>
      </c>
      <c r="I193" s="34">
        <v>29</v>
      </c>
      <c r="J193" s="34">
        <v>43</v>
      </c>
      <c r="K193" s="34">
        <v>57</v>
      </c>
      <c r="L193" s="220">
        <f t="shared" si="5"/>
        <v>150</v>
      </c>
    </row>
    <row r="194" spans="1:12" x14ac:dyDescent="0.35">
      <c r="A194" s="314"/>
      <c r="B194" s="311"/>
      <c r="C194" s="6" t="s">
        <v>1623</v>
      </c>
      <c r="D194" s="6" t="s">
        <v>2180</v>
      </c>
      <c r="E194" s="6" t="s">
        <v>2293</v>
      </c>
      <c r="F194" s="6" t="s">
        <v>405</v>
      </c>
      <c r="G194" s="33" t="s">
        <v>2485</v>
      </c>
      <c r="H194" s="34">
        <v>11</v>
      </c>
      <c r="I194" s="34">
        <v>13</v>
      </c>
      <c r="J194" s="34">
        <v>62</v>
      </c>
      <c r="K194" s="34">
        <v>68</v>
      </c>
      <c r="L194" s="220">
        <f t="shared" si="5"/>
        <v>154</v>
      </c>
    </row>
    <row r="195" spans="1:12" x14ac:dyDescent="0.35">
      <c r="A195" s="314"/>
      <c r="B195" s="311"/>
      <c r="C195" s="6" t="s">
        <v>1623</v>
      </c>
      <c r="D195" s="6" t="s">
        <v>2180</v>
      </c>
      <c r="E195" s="6" t="s">
        <v>2293</v>
      </c>
      <c r="F195" s="6" t="s">
        <v>405</v>
      </c>
      <c r="G195" s="33" t="s">
        <v>2486</v>
      </c>
      <c r="H195" s="34">
        <v>7</v>
      </c>
      <c r="I195" s="34">
        <v>18</v>
      </c>
      <c r="J195" s="34">
        <v>60</v>
      </c>
      <c r="K195" s="34">
        <v>50</v>
      </c>
      <c r="L195" s="220">
        <f t="shared" si="5"/>
        <v>135</v>
      </c>
    </row>
    <row r="196" spans="1:12" x14ac:dyDescent="0.35">
      <c r="A196" s="314"/>
      <c r="B196" s="311"/>
      <c r="C196" s="6" t="s">
        <v>1623</v>
      </c>
      <c r="D196" s="6" t="s">
        <v>2180</v>
      </c>
      <c r="E196" s="6" t="s">
        <v>2293</v>
      </c>
      <c r="F196" s="6" t="s">
        <v>405</v>
      </c>
      <c r="G196" s="33" t="s">
        <v>2487</v>
      </c>
      <c r="H196" s="34">
        <v>5</v>
      </c>
      <c r="I196" s="34">
        <v>10</v>
      </c>
      <c r="J196" s="34">
        <v>40</v>
      </c>
      <c r="K196" s="34">
        <v>30</v>
      </c>
      <c r="L196" s="220">
        <f t="shared" si="5"/>
        <v>85</v>
      </c>
    </row>
    <row r="197" spans="1:12" x14ac:dyDescent="0.35">
      <c r="A197" s="314"/>
      <c r="B197" s="311"/>
      <c r="C197" s="6" t="s">
        <v>1623</v>
      </c>
      <c r="D197" s="6" t="s">
        <v>2180</v>
      </c>
      <c r="E197" s="6" t="s">
        <v>3314</v>
      </c>
      <c r="F197" s="6" t="s">
        <v>2498</v>
      </c>
      <c r="G197" s="33" t="s">
        <v>3315</v>
      </c>
      <c r="H197" s="34">
        <v>18</v>
      </c>
      <c r="I197" s="34">
        <v>32</v>
      </c>
      <c r="J197" s="34">
        <v>70</v>
      </c>
      <c r="K197" s="34">
        <v>110</v>
      </c>
      <c r="L197" s="220">
        <f t="shared" si="5"/>
        <v>230</v>
      </c>
    </row>
    <row r="198" spans="1:12" x14ac:dyDescent="0.35">
      <c r="A198" s="314"/>
      <c r="B198" s="311"/>
      <c r="C198" s="6" t="s">
        <v>1623</v>
      </c>
      <c r="D198" s="6" t="s">
        <v>2180</v>
      </c>
      <c r="E198" s="6" t="s">
        <v>3314</v>
      </c>
      <c r="F198" s="6" t="s">
        <v>2498</v>
      </c>
      <c r="G198" s="228" t="s">
        <v>2500</v>
      </c>
      <c r="H198" s="34">
        <v>7</v>
      </c>
      <c r="I198" s="34">
        <v>4</v>
      </c>
      <c r="J198" s="34">
        <v>45</v>
      </c>
      <c r="K198" s="34">
        <v>46</v>
      </c>
      <c r="L198" s="220">
        <f t="shared" ref="L198:L261" si="10">H198+I198+J198+K198</f>
        <v>102</v>
      </c>
    </row>
    <row r="199" spans="1:12" x14ac:dyDescent="0.35">
      <c r="A199" s="314"/>
      <c r="B199" s="311"/>
      <c r="C199" s="6" t="s">
        <v>1623</v>
      </c>
      <c r="D199" s="6" t="s">
        <v>2180</v>
      </c>
      <c r="E199" s="6" t="s">
        <v>3314</v>
      </c>
      <c r="F199" s="6" t="s">
        <v>2498</v>
      </c>
      <c r="G199" s="33" t="s">
        <v>2501</v>
      </c>
      <c r="H199" s="34">
        <v>23</v>
      </c>
      <c r="I199" s="34">
        <v>20</v>
      </c>
      <c r="J199" s="34">
        <v>33</v>
      </c>
      <c r="K199" s="34">
        <v>23</v>
      </c>
      <c r="L199" s="220">
        <f t="shared" si="10"/>
        <v>99</v>
      </c>
    </row>
    <row r="200" spans="1:12" x14ac:dyDescent="0.35">
      <c r="A200" s="314"/>
      <c r="B200" s="311"/>
      <c r="C200" s="6" t="s">
        <v>1623</v>
      </c>
      <c r="D200" s="6" t="s">
        <v>2180</v>
      </c>
      <c r="E200" s="6" t="s">
        <v>3314</v>
      </c>
      <c r="F200" s="6" t="s">
        <v>2498</v>
      </c>
      <c r="G200" s="33" t="s">
        <v>2498</v>
      </c>
      <c r="H200" s="34">
        <v>16</v>
      </c>
      <c r="I200" s="34">
        <v>14</v>
      </c>
      <c r="J200" s="34">
        <v>47</v>
      </c>
      <c r="K200" s="34">
        <v>53</v>
      </c>
      <c r="L200" s="220">
        <f t="shared" si="10"/>
        <v>130</v>
      </c>
    </row>
    <row r="201" spans="1:12" x14ac:dyDescent="0.35">
      <c r="A201" s="314"/>
      <c r="B201" s="311"/>
      <c r="C201" s="6" t="s">
        <v>1623</v>
      </c>
      <c r="D201" s="6" t="s">
        <v>2180</v>
      </c>
      <c r="E201" s="6" t="s">
        <v>2181</v>
      </c>
      <c r="F201" s="6" t="s">
        <v>2095</v>
      </c>
      <c r="G201" s="6" t="s">
        <v>2095</v>
      </c>
      <c r="H201" s="6">
        <v>44</v>
      </c>
      <c r="I201" s="6">
        <v>61</v>
      </c>
      <c r="J201" s="6">
        <v>141</v>
      </c>
      <c r="K201" s="6">
        <v>239</v>
      </c>
      <c r="L201" s="220">
        <f t="shared" si="10"/>
        <v>485</v>
      </c>
    </row>
    <row r="202" spans="1:12" x14ac:dyDescent="0.35">
      <c r="A202" s="314"/>
      <c r="B202" s="311"/>
      <c r="C202" s="6" t="s">
        <v>1623</v>
      </c>
      <c r="D202" s="6" t="s">
        <v>2180</v>
      </c>
      <c r="E202" s="6" t="s">
        <v>2355</v>
      </c>
      <c r="F202" s="6" t="s">
        <v>2503</v>
      </c>
      <c r="G202" s="6" t="s">
        <v>2506</v>
      </c>
      <c r="H202" s="34">
        <v>16</v>
      </c>
      <c r="I202" s="34">
        <v>13</v>
      </c>
      <c r="J202" s="34">
        <v>57</v>
      </c>
      <c r="K202" s="34">
        <v>45</v>
      </c>
      <c r="L202" s="220">
        <f t="shared" si="10"/>
        <v>131</v>
      </c>
    </row>
    <row r="203" spans="1:12" x14ac:dyDescent="0.35">
      <c r="A203" s="314"/>
      <c r="B203" s="311"/>
      <c r="C203" s="6" t="s">
        <v>1623</v>
      </c>
      <c r="D203" s="6" t="s">
        <v>2180</v>
      </c>
      <c r="E203" s="6" t="s">
        <v>2355</v>
      </c>
      <c r="F203" s="6" t="s">
        <v>2503</v>
      </c>
      <c r="G203" s="6" t="s">
        <v>2507</v>
      </c>
      <c r="H203" s="34">
        <v>15</v>
      </c>
      <c r="I203" s="34">
        <v>10</v>
      </c>
      <c r="J203" s="34">
        <v>65</v>
      </c>
      <c r="K203" s="34">
        <v>35</v>
      </c>
      <c r="L203" s="220">
        <f t="shared" si="10"/>
        <v>125</v>
      </c>
    </row>
    <row r="204" spans="1:12" x14ac:dyDescent="0.35">
      <c r="A204" s="314"/>
      <c r="B204" s="312"/>
      <c r="C204" s="6" t="s">
        <v>1623</v>
      </c>
      <c r="D204" s="6" t="s">
        <v>2180</v>
      </c>
      <c r="E204" s="6" t="s">
        <v>2355</v>
      </c>
      <c r="F204" s="6" t="s">
        <v>2503</v>
      </c>
      <c r="G204" s="6" t="s">
        <v>40</v>
      </c>
      <c r="H204" s="34">
        <v>8</v>
      </c>
      <c r="I204" s="34">
        <v>10</v>
      </c>
      <c r="J204" s="34">
        <v>37</v>
      </c>
      <c r="K204" s="34">
        <v>40</v>
      </c>
      <c r="L204" s="220">
        <f t="shared" si="10"/>
        <v>95</v>
      </c>
    </row>
    <row r="205" spans="1:12" x14ac:dyDescent="0.35">
      <c r="A205" s="315"/>
      <c r="B205" s="188"/>
      <c r="C205" s="188"/>
      <c r="D205" s="188"/>
      <c r="E205" s="188"/>
      <c r="F205" s="188"/>
      <c r="G205" s="227" t="s">
        <v>2</v>
      </c>
      <c r="H205" s="227">
        <f>SUM(H192:H204)</f>
        <v>202</v>
      </c>
      <c r="I205" s="227">
        <f t="shared" ref="I205:K205" si="11">SUM(I192:I204)</f>
        <v>243</v>
      </c>
      <c r="J205" s="227">
        <f t="shared" si="11"/>
        <v>747</v>
      </c>
      <c r="K205" s="227">
        <f t="shared" si="11"/>
        <v>849</v>
      </c>
      <c r="L205" s="225">
        <f t="shared" si="10"/>
        <v>2041</v>
      </c>
    </row>
    <row r="206" spans="1:12" x14ac:dyDescent="0.35">
      <c r="A206" s="313">
        <v>9</v>
      </c>
      <c r="B206" s="310" t="s">
        <v>3316</v>
      </c>
      <c r="C206" s="6" t="s">
        <v>1623</v>
      </c>
      <c r="D206" s="6" t="s">
        <v>2180</v>
      </c>
      <c r="E206" s="6" t="s">
        <v>3314</v>
      </c>
      <c r="F206" s="6" t="s">
        <v>2470</v>
      </c>
      <c r="G206" s="33" t="s">
        <v>2472</v>
      </c>
      <c r="H206" s="34">
        <v>19</v>
      </c>
      <c r="I206" s="34">
        <v>31</v>
      </c>
      <c r="J206" s="34">
        <v>72</v>
      </c>
      <c r="K206" s="34">
        <v>78</v>
      </c>
      <c r="L206" s="220">
        <f t="shared" si="10"/>
        <v>200</v>
      </c>
    </row>
    <row r="207" spans="1:12" x14ac:dyDescent="0.35">
      <c r="A207" s="314"/>
      <c r="B207" s="311"/>
      <c r="C207" s="6" t="s">
        <v>1623</v>
      </c>
      <c r="D207" s="6" t="s">
        <v>2180</v>
      </c>
      <c r="E207" s="6" t="s">
        <v>3314</v>
      </c>
      <c r="F207" s="6" t="s">
        <v>2470</v>
      </c>
      <c r="G207" s="33" t="s">
        <v>2473</v>
      </c>
      <c r="H207" s="34">
        <v>20</v>
      </c>
      <c r="I207" s="34">
        <v>30</v>
      </c>
      <c r="J207" s="34">
        <v>51</v>
      </c>
      <c r="K207" s="34">
        <v>49</v>
      </c>
      <c r="L207" s="220">
        <f t="shared" si="10"/>
        <v>150</v>
      </c>
    </row>
    <row r="208" spans="1:12" x14ac:dyDescent="0.35">
      <c r="A208" s="314"/>
      <c r="B208" s="311"/>
      <c r="C208" s="6" t="s">
        <v>1623</v>
      </c>
      <c r="D208" s="6" t="s">
        <v>2180</v>
      </c>
      <c r="E208" s="6" t="s">
        <v>2372</v>
      </c>
      <c r="F208" s="6" t="s">
        <v>2377</v>
      </c>
      <c r="G208" s="33" t="s">
        <v>2379</v>
      </c>
      <c r="H208" s="6">
        <v>15</v>
      </c>
      <c r="I208" s="6">
        <v>21</v>
      </c>
      <c r="J208" s="34">
        <v>51</v>
      </c>
      <c r="K208" s="34">
        <v>65</v>
      </c>
      <c r="L208" s="220">
        <f t="shared" si="10"/>
        <v>152</v>
      </c>
    </row>
    <row r="209" spans="1:12" x14ac:dyDescent="0.35">
      <c r="A209" s="314"/>
      <c r="B209" s="311"/>
      <c r="C209" s="6" t="s">
        <v>1623</v>
      </c>
      <c r="D209" s="6" t="s">
        <v>2180</v>
      </c>
      <c r="E209" s="6" t="s">
        <v>2372</v>
      </c>
      <c r="F209" s="6" t="s">
        <v>2381</v>
      </c>
      <c r="G209" s="6" t="s">
        <v>332</v>
      </c>
      <c r="H209" s="34">
        <v>26</v>
      </c>
      <c r="I209" s="34">
        <v>23</v>
      </c>
      <c r="J209" s="34">
        <v>50</v>
      </c>
      <c r="K209" s="34">
        <v>55</v>
      </c>
      <c r="L209" s="220">
        <f t="shared" si="10"/>
        <v>154</v>
      </c>
    </row>
    <row r="210" spans="1:12" ht="15.75" customHeight="1" x14ac:dyDescent="0.35">
      <c r="A210" s="314"/>
      <c r="B210" s="311"/>
      <c r="C210" s="6" t="s">
        <v>1623</v>
      </c>
      <c r="D210" s="6" t="s">
        <v>2180</v>
      </c>
      <c r="E210" s="6" t="s">
        <v>2372</v>
      </c>
      <c r="F210" s="6" t="s">
        <v>2381</v>
      </c>
      <c r="G210" s="33" t="s">
        <v>332</v>
      </c>
      <c r="H210" s="34">
        <v>20</v>
      </c>
      <c r="I210" s="34">
        <v>25</v>
      </c>
      <c r="J210" s="34">
        <v>105</v>
      </c>
      <c r="K210" s="34">
        <v>100</v>
      </c>
      <c r="L210" s="220">
        <f t="shared" si="10"/>
        <v>250</v>
      </c>
    </row>
    <row r="211" spans="1:12" ht="15.75" customHeight="1" x14ac:dyDescent="0.35">
      <c r="A211" s="314"/>
      <c r="B211" s="311"/>
      <c r="C211" s="6" t="s">
        <v>1623</v>
      </c>
      <c r="D211" s="6" t="s">
        <v>2180</v>
      </c>
      <c r="E211" s="6" t="s">
        <v>2372</v>
      </c>
      <c r="F211" s="6" t="s">
        <v>2381</v>
      </c>
      <c r="G211" s="117" t="s">
        <v>332</v>
      </c>
      <c r="H211" s="34">
        <v>3</v>
      </c>
      <c r="I211" s="34">
        <v>7</v>
      </c>
      <c r="J211" s="34">
        <v>45</v>
      </c>
      <c r="K211" s="34">
        <v>59</v>
      </c>
      <c r="L211" s="220">
        <f t="shared" si="10"/>
        <v>114</v>
      </c>
    </row>
    <row r="212" spans="1:12" x14ac:dyDescent="0.35">
      <c r="A212" s="314"/>
      <c r="B212" s="311"/>
      <c r="C212" s="6" t="s">
        <v>1623</v>
      </c>
      <c r="D212" s="6" t="s">
        <v>2180</v>
      </c>
      <c r="E212" s="6" t="s">
        <v>2372</v>
      </c>
      <c r="F212" s="6" t="s">
        <v>2373</v>
      </c>
      <c r="G212" s="33" t="s">
        <v>2374</v>
      </c>
      <c r="H212" s="34">
        <v>18</v>
      </c>
      <c r="I212" s="34">
        <v>34</v>
      </c>
      <c r="J212" s="34">
        <v>50</v>
      </c>
      <c r="K212" s="34">
        <v>93</v>
      </c>
      <c r="L212" s="220">
        <f t="shared" si="10"/>
        <v>195</v>
      </c>
    </row>
    <row r="213" spans="1:12" x14ac:dyDescent="0.35">
      <c r="A213" s="314"/>
      <c r="B213" s="311"/>
      <c r="C213" s="6" t="s">
        <v>1623</v>
      </c>
      <c r="D213" s="6" t="s">
        <v>2180</v>
      </c>
      <c r="E213" s="6" t="s">
        <v>2372</v>
      </c>
      <c r="F213" s="6" t="s">
        <v>2373</v>
      </c>
      <c r="G213" s="33" t="s">
        <v>2375</v>
      </c>
      <c r="H213" s="34">
        <v>20</v>
      </c>
      <c r="I213" s="34">
        <v>25</v>
      </c>
      <c r="J213" s="34">
        <v>62</v>
      </c>
      <c r="K213" s="34">
        <v>67</v>
      </c>
      <c r="L213" s="220">
        <f t="shared" si="10"/>
        <v>174</v>
      </c>
    </row>
    <row r="214" spans="1:12" x14ac:dyDescent="0.35">
      <c r="A214" s="314"/>
      <c r="B214" s="311"/>
      <c r="C214" s="6" t="s">
        <v>1623</v>
      </c>
      <c r="D214" s="6" t="s">
        <v>2180</v>
      </c>
      <c r="E214" s="6" t="s">
        <v>2372</v>
      </c>
      <c r="F214" s="6" t="s">
        <v>2373</v>
      </c>
      <c r="G214" s="33" t="s">
        <v>2375</v>
      </c>
      <c r="H214" s="6">
        <v>15</v>
      </c>
      <c r="I214" s="6">
        <v>15</v>
      </c>
      <c r="J214" s="34">
        <v>106</v>
      </c>
      <c r="K214" s="34">
        <v>124</v>
      </c>
      <c r="L214" s="220">
        <f t="shared" si="10"/>
        <v>260</v>
      </c>
    </row>
    <row r="215" spans="1:12" x14ac:dyDescent="0.35">
      <c r="A215" s="314"/>
      <c r="B215" s="311"/>
      <c r="C215" s="6" t="s">
        <v>1623</v>
      </c>
      <c r="D215" s="6" t="s">
        <v>2180</v>
      </c>
      <c r="E215" s="6" t="s">
        <v>2372</v>
      </c>
      <c r="F215" s="6" t="s">
        <v>2373</v>
      </c>
      <c r="G215" s="33" t="s">
        <v>2376</v>
      </c>
      <c r="H215" s="34">
        <v>10</v>
      </c>
      <c r="I215" s="34">
        <v>18</v>
      </c>
      <c r="J215" s="34">
        <v>44</v>
      </c>
      <c r="K215" s="34">
        <v>49</v>
      </c>
      <c r="L215" s="220">
        <f t="shared" si="10"/>
        <v>121</v>
      </c>
    </row>
    <row r="216" spans="1:12" x14ac:dyDescent="0.35">
      <c r="A216" s="314"/>
      <c r="B216" s="311"/>
      <c r="C216" s="6" t="s">
        <v>1623</v>
      </c>
      <c r="D216" s="6" t="s">
        <v>2180</v>
      </c>
      <c r="E216" s="6" t="s">
        <v>2372</v>
      </c>
      <c r="F216" s="6" t="s">
        <v>2377</v>
      </c>
      <c r="G216" s="33" t="s">
        <v>2378</v>
      </c>
      <c r="H216" s="34">
        <v>29</v>
      </c>
      <c r="I216" s="34">
        <v>18</v>
      </c>
      <c r="J216" s="34">
        <v>96</v>
      </c>
      <c r="K216" s="34">
        <v>90</v>
      </c>
      <c r="L216" s="220">
        <f t="shared" si="10"/>
        <v>233</v>
      </c>
    </row>
    <row r="217" spans="1:12" x14ac:dyDescent="0.35">
      <c r="A217" s="314"/>
      <c r="B217" s="311"/>
      <c r="C217" s="6" t="s">
        <v>1623</v>
      </c>
      <c r="D217" s="6" t="s">
        <v>2180</v>
      </c>
      <c r="E217" s="6" t="s">
        <v>2372</v>
      </c>
      <c r="F217" s="6" t="s">
        <v>2377</v>
      </c>
      <c r="G217" s="33" t="s">
        <v>2380</v>
      </c>
      <c r="H217" s="34">
        <v>6</v>
      </c>
      <c r="I217" s="34">
        <v>9</v>
      </c>
      <c r="J217" s="34">
        <v>41</v>
      </c>
      <c r="K217" s="34">
        <v>36</v>
      </c>
      <c r="L217" s="220">
        <f t="shared" si="10"/>
        <v>92</v>
      </c>
    </row>
    <row r="218" spans="1:12" x14ac:dyDescent="0.35">
      <c r="A218" s="314"/>
      <c r="B218" s="311"/>
      <c r="C218" s="6" t="s">
        <v>1623</v>
      </c>
      <c r="D218" s="6" t="s">
        <v>2180</v>
      </c>
      <c r="E218" s="6" t="s">
        <v>2372</v>
      </c>
      <c r="F218" s="6" t="s">
        <v>2381</v>
      </c>
      <c r="G218" s="33" t="s">
        <v>2382</v>
      </c>
      <c r="H218" s="34">
        <v>7</v>
      </c>
      <c r="I218" s="34">
        <v>8</v>
      </c>
      <c r="J218" s="34">
        <v>14</v>
      </c>
      <c r="K218" s="34">
        <v>21</v>
      </c>
      <c r="L218" s="220">
        <f t="shared" si="10"/>
        <v>50</v>
      </c>
    </row>
    <row r="219" spans="1:12" x14ac:dyDescent="0.35">
      <c r="A219" s="314"/>
      <c r="B219" s="311"/>
      <c r="C219" s="6" t="s">
        <v>1623</v>
      </c>
      <c r="D219" s="6" t="s">
        <v>2180</v>
      </c>
      <c r="E219" s="6" t="s">
        <v>2372</v>
      </c>
      <c r="F219" s="6" t="s">
        <v>2381</v>
      </c>
      <c r="G219" s="6" t="s">
        <v>2383</v>
      </c>
      <c r="H219" s="34">
        <v>15</v>
      </c>
      <c r="I219" s="34">
        <v>17</v>
      </c>
      <c r="J219" s="34">
        <v>53</v>
      </c>
      <c r="K219" s="34">
        <v>49</v>
      </c>
      <c r="L219" s="220">
        <f t="shared" si="10"/>
        <v>134</v>
      </c>
    </row>
    <row r="220" spans="1:12" x14ac:dyDescent="0.35">
      <c r="A220" s="314"/>
      <c r="B220" s="311"/>
      <c r="C220" s="6" t="s">
        <v>1623</v>
      </c>
      <c r="D220" s="6" t="s">
        <v>2180</v>
      </c>
      <c r="E220" s="6" t="s">
        <v>3314</v>
      </c>
      <c r="F220" s="6" t="s">
        <v>2414</v>
      </c>
      <c r="G220" s="6" t="s">
        <v>2415</v>
      </c>
      <c r="H220" s="34">
        <v>15</v>
      </c>
      <c r="I220" s="34">
        <v>18</v>
      </c>
      <c r="J220" s="34">
        <v>70</v>
      </c>
      <c r="K220" s="34">
        <v>89</v>
      </c>
      <c r="L220" s="220">
        <f t="shared" si="10"/>
        <v>192</v>
      </c>
    </row>
    <row r="221" spans="1:12" x14ac:dyDescent="0.35">
      <c r="A221" s="315"/>
      <c r="B221" s="312"/>
      <c r="C221" s="6" t="s">
        <v>1623</v>
      </c>
      <c r="D221" s="6" t="s">
        <v>2180</v>
      </c>
      <c r="E221" s="6" t="s">
        <v>3314</v>
      </c>
      <c r="F221" s="6" t="s">
        <v>2414</v>
      </c>
      <c r="G221" s="33" t="s">
        <v>2416</v>
      </c>
      <c r="H221" s="34">
        <v>9</v>
      </c>
      <c r="I221" s="34">
        <v>7</v>
      </c>
      <c r="J221" s="34">
        <v>37</v>
      </c>
      <c r="K221" s="34">
        <v>63</v>
      </c>
      <c r="L221" s="220">
        <f t="shared" si="10"/>
        <v>116</v>
      </c>
    </row>
    <row r="222" spans="1:12" x14ac:dyDescent="0.35">
      <c r="A222" s="101"/>
      <c r="B222" s="188"/>
      <c r="C222" s="188"/>
      <c r="D222" s="188"/>
      <c r="E222" s="188"/>
      <c r="F222" s="188"/>
      <c r="G222" s="227" t="s">
        <v>2</v>
      </c>
      <c r="H222" s="227">
        <f>SUM(H206:H221)</f>
        <v>247</v>
      </c>
      <c r="I222" s="227">
        <f t="shared" ref="I222:K222" si="12">SUM(I206:I221)</f>
        <v>306</v>
      </c>
      <c r="J222" s="227">
        <f t="shared" si="12"/>
        <v>947</v>
      </c>
      <c r="K222" s="227">
        <f t="shared" si="12"/>
        <v>1087</v>
      </c>
      <c r="L222" s="225">
        <f t="shared" si="10"/>
        <v>2587</v>
      </c>
    </row>
    <row r="223" spans="1:12" x14ac:dyDescent="0.35">
      <c r="A223" s="313">
        <v>10</v>
      </c>
      <c r="B223" s="310" t="s">
        <v>3257</v>
      </c>
      <c r="C223" s="6" t="s">
        <v>1623</v>
      </c>
      <c r="D223" s="6" t="s">
        <v>2180</v>
      </c>
      <c r="E223" s="6" t="s">
        <v>2289</v>
      </c>
      <c r="F223" s="6" t="s">
        <v>2422</v>
      </c>
      <c r="G223" s="33" t="s">
        <v>2427</v>
      </c>
      <c r="H223" s="34">
        <v>41</v>
      </c>
      <c r="I223" s="34">
        <v>34</v>
      </c>
      <c r="J223" s="34">
        <v>17</v>
      </c>
      <c r="K223" s="34">
        <v>43</v>
      </c>
      <c r="L223" s="220">
        <f t="shared" si="10"/>
        <v>135</v>
      </c>
    </row>
    <row r="224" spans="1:12" x14ac:dyDescent="0.35">
      <c r="A224" s="314"/>
      <c r="B224" s="311"/>
      <c r="C224" s="6" t="s">
        <v>1623</v>
      </c>
      <c r="D224" s="6" t="s">
        <v>2180</v>
      </c>
      <c r="E224" s="6" t="s">
        <v>2289</v>
      </c>
      <c r="F224" s="6" t="s">
        <v>2422</v>
      </c>
      <c r="G224" s="6" t="s">
        <v>2427</v>
      </c>
      <c r="H224" s="6">
        <v>20</v>
      </c>
      <c r="I224" s="34">
        <v>53</v>
      </c>
      <c r="J224" s="34">
        <v>59</v>
      </c>
      <c r="K224" s="34">
        <v>148</v>
      </c>
      <c r="L224" s="220">
        <f t="shared" si="10"/>
        <v>280</v>
      </c>
    </row>
    <row r="225" spans="1:12" x14ac:dyDescent="0.35">
      <c r="A225" s="314"/>
      <c r="B225" s="311"/>
      <c r="C225" s="6" t="s">
        <v>1623</v>
      </c>
      <c r="D225" s="6" t="s">
        <v>2180</v>
      </c>
      <c r="E225" s="6" t="s">
        <v>2289</v>
      </c>
      <c r="F225" s="6" t="s">
        <v>2422</v>
      </c>
      <c r="G225" s="33" t="s">
        <v>2427</v>
      </c>
      <c r="H225" s="34">
        <v>12</v>
      </c>
      <c r="I225" s="34">
        <v>16</v>
      </c>
      <c r="J225" s="34">
        <v>56</v>
      </c>
      <c r="K225" s="34">
        <v>89</v>
      </c>
      <c r="L225" s="220">
        <f t="shared" si="10"/>
        <v>173</v>
      </c>
    </row>
    <row r="226" spans="1:12" x14ac:dyDescent="0.35">
      <c r="A226" s="314"/>
      <c r="B226" s="311"/>
      <c r="C226" s="6" t="s">
        <v>1623</v>
      </c>
      <c r="D226" s="6" t="s">
        <v>2180</v>
      </c>
      <c r="E226" s="6" t="s">
        <v>2289</v>
      </c>
      <c r="F226" s="6" t="s">
        <v>2422</v>
      </c>
      <c r="G226" s="33" t="s">
        <v>2427</v>
      </c>
      <c r="H226" s="34">
        <v>8</v>
      </c>
      <c r="I226" s="34">
        <v>8</v>
      </c>
      <c r="J226" s="34">
        <v>71</v>
      </c>
      <c r="K226" s="34">
        <v>79</v>
      </c>
      <c r="L226" s="220">
        <f t="shared" si="10"/>
        <v>166</v>
      </c>
    </row>
    <row r="227" spans="1:12" ht="29" x14ac:dyDescent="0.35">
      <c r="A227" s="314"/>
      <c r="B227" s="311"/>
      <c r="C227" s="6" t="s">
        <v>1623</v>
      </c>
      <c r="D227" s="6" t="s">
        <v>2180</v>
      </c>
      <c r="E227" s="6" t="s">
        <v>2289</v>
      </c>
      <c r="F227" s="6" t="s">
        <v>2422</v>
      </c>
      <c r="G227" s="33" t="s">
        <v>2426</v>
      </c>
      <c r="H227" s="34">
        <v>6</v>
      </c>
      <c r="I227" s="34">
        <v>5</v>
      </c>
      <c r="J227" s="34">
        <v>19</v>
      </c>
      <c r="K227" s="34">
        <v>16</v>
      </c>
      <c r="L227" s="220">
        <f t="shared" si="10"/>
        <v>46</v>
      </c>
    </row>
    <row r="228" spans="1:12" ht="15.75" customHeight="1" x14ac:dyDescent="0.35">
      <c r="A228" s="314"/>
      <c r="B228" s="311"/>
      <c r="C228" s="6" t="s">
        <v>1623</v>
      </c>
      <c r="D228" s="6" t="s">
        <v>2180</v>
      </c>
      <c r="E228" s="6" t="s">
        <v>2289</v>
      </c>
      <c r="F228" s="6" t="s">
        <v>2342</v>
      </c>
      <c r="G228" s="33" t="s">
        <v>2342</v>
      </c>
      <c r="H228" s="34">
        <v>12</v>
      </c>
      <c r="I228" s="34">
        <v>13</v>
      </c>
      <c r="J228" s="34">
        <v>34</v>
      </c>
      <c r="K228" s="34">
        <v>85</v>
      </c>
      <c r="L228" s="220">
        <f t="shared" si="10"/>
        <v>144</v>
      </c>
    </row>
    <row r="229" spans="1:12" ht="15.75" customHeight="1" x14ac:dyDescent="0.35">
      <c r="A229" s="314"/>
      <c r="B229" s="311"/>
      <c r="C229" s="6" t="s">
        <v>1623</v>
      </c>
      <c r="D229" s="6" t="s">
        <v>2180</v>
      </c>
      <c r="E229" s="6" t="s">
        <v>2289</v>
      </c>
      <c r="F229" s="6" t="s">
        <v>2404</v>
      </c>
      <c r="G229" s="33" t="s">
        <v>2412</v>
      </c>
      <c r="H229" s="34">
        <v>7</v>
      </c>
      <c r="I229" s="34">
        <v>8</v>
      </c>
      <c r="J229" s="34">
        <v>30</v>
      </c>
      <c r="K229" s="34">
        <v>39</v>
      </c>
      <c r="L229" s="220">
        <f t="shared" si="10"/>
        <v>84</v>
      </c>
    </row>
    <row r="230" spans="1:12" ht="15.75" customHeight="1" x14ac:dyDescent="0.35">
      <c r="A230" s="314"/>
      <c r="B230" s="311"/>
      <c r="C230" s="6" t="s">
        <v>1623</v>
      </c>
      <c r="D230" s="6" t="s">
        <v>2180</v>
      </c>
      <c r="E230" s="6" t="s">
        <v>2289</v>
      </c>
      <c r="F230" s="6" t="s">
        <v>2422</v>
      </c>
      <c r="G230" s="33" t="s">
        <v>2423</v>
      </c>
      <c r="H230" s="34">
        <v>10</v>
      </c>
      <c r="I230" s="34">
        <v>10</v>
      </c>
      <c r="J230" s="34">
        <v>25</v>
      </c>
      <c r="K230" s="34">
        <v>49</v>
      </c>
      <c r="L230" s="220">
        <f t="shared" si="10"/>
        <v>94</v>
      </c>
    </row>
    <row r="231" spans="1:12" ht="15.75" customHeight="1" x14ac:dyDescent="0.35">
      <c r="A231" s="314"/>
      <c r="B231" s="311"/>
      <c r="C231" s="6" t="s">
        <v>1623</v>
      </c>
      <c r="D231" s="6" t="s">
        <v>2180</v>
      </c>
      <c r="E231" s="6" t="s">
        <v>2289</v>
      </c>
      <c r="F231" s="6" t="s">
        <v>2422</v>
      </c>
      <c r="G231" s="33" t="s">
        <v>2424</v>
      </c>
      <c r="H231" s="34">
        <v>8</v>
      </c>
      <c r="I231" s="34">
        <v>10</v>
      </c>
      <c r="J231" s="34">
        <v>20</v>
      </c>
      <c r="K231" s="34">
        <v>31</v>
      </c>
      <c r="L231" s="220">
        <f t="shared" si="10"/>
        <v>69</v>
      </c>
    </row>
    <row r="232" spans="1:12" ht="15.75" customHeight="1" x14ac:dyDescent="0.35">
      <c r="A232" s="314"/>
      <c r="B232" s="311"/>
      <c r="C232" s="6" t="s">
        <v>1623</v>
      </c>
      <c r="D232" s="6" t="s">
        <v>2180</v>
      </c>
      <c r="E232" s="6" t="s">
        <v>2289</v>
      </c>
      <c r="F232" s="6" t="s">
        <v>2422</v>
      </c>
      <c r="G232" s="33" t="s">
        <v>2425</v>
      </c>
      <c r="H232" s="34">
        <v>8</v>
      </c>
      <c r="I232" s="34">
        <v>8</v>
      </c>
      <c r="J232" s="34">
        <v>25</v>
      </c>
      <c r="K232" s="34">
        <v>22</v>
      </c>
      <c r="L232" s="220">
        <f t="shared" si="10"/>
        <v>63</v>
      </c>
    </row>
    <row r="233" spans="1:12" ht="15.75" customHeight="1" x14ac:dyDescent="0.35">
      <c r="A233" s="314"/>
      <c r="B233" s="311"/>
      <c r="C233" s="6" t="s">
        <v>1623</v>
      </c>
      <c r="D233" s="6" t="s">
        <v>2180</v>
      </c>
      <c r="E233" s="6" t="s">
        <v>2289</v>
      </c>
      <c r="F233" s="6" t="s">
        <v>2422</v>
      </c>
      <c r="G233" s="33" t="s">
        <v>2428</v>
      </c>
      <c r="H233" s="34">
        <v>5</v>
      </c>
      <c r="I233" s="34">
        <v>7</v>
      </c>
      <c r="J233" s="34">
        <v>31</v>
      </c>
      <c r="K233" s="34">
        <v>25</v>
      </c>
      <c r="L233" s="220">
        <f t="shared" si="10"/>
        <v>68</v>
      </c>
    </row>
    <row r="234" spans="1:12" ht="15.75" customHeight="1" x14ac:dyDescent="0.35">
      <c r="A234" s="314"/>
      <c r="B234" s="311"/>
      <c r="C234" s="6" t="s">
        <v>1623</v>
      </c>
      <c r="D234" s="6" t="s">
        <v>2180</v>
      </c>
      <c r="E234" s="6" t="s">
        <v>2289</v>
      </c>
      <c r="F234" s="6" t="s">
        <v>2574</v>
      </c>
      <c r="G234" s="33" t="s">
        <v>2575</v>
      </c>
      <c r="H234" s="34">
        <v>28</v>
      </c>
      <c r="I234" s="34">
        <v>36</v>
      </c>
      <c r="J234" s="34">
        <v>70</v>
      </c>
      <c r="K234" s="34">
        <v>79</v>
      </c>
      <c r="L234" s="220">
        <f t="shared" si="10"/>
        <v>213</v>
      </c>
    </row>
    <row r="235" spans="1:12" ht="15.75" customHeight="1" x14ac:dyDescent="0.35">
      <c r="A235" s="314"/>
      <c r="B235" s="311"/>
      <c r="C235" s="6" t="s">
        <v>1623</v>
      </c>
      <c r="D235" s="6" t="s">
        <v>2180</v>
      </c>
      <c r="E235" s="6" t="s">
        <v>2289</v>
      </c>
      <c r="F235" s="6" t="s">
        <v>2574</v>
      </c>
      <c r="G235" s="33" t="s">
        <v>1836</v>
      </c>
      <c r="H235" s="34">
        <v>7</v>
      </c>
      <c r="I235" s="34">
        <v>8</v>
      </c>
      <c r="J235" s="34">
        <v>22</v>
      </c>
      <c r="K235" s="34">
        <v>28</v>
      </c>
      <c r="L235" s="220">
        <f t="shared" si="10"/>
        <v>65</v>
      </c>
    </row>
    <row r="236" spans="1:12" x14ac:dyDescent="0.35">
      <c r="A236" s="314"/>
      <c r="B236" s="311"/>
      <c r="C236" s="6" t="s">
        <v>1623</v>
      </c>
      <c r="D236" s="6" t="s">
        <v>2180</v>
      </c>
      <c r="E236" s="6" t="s">
        <v>2289</v>
      </c>
      <c r="F236" s="6" t="s">
        <v>2290</v>
      </c>
      <c r="G236" s="33" t="s">
        <v>2291</v>
      </c>
      <c r="H236" s="34">
        <v>5</v>
      </c>
      <c r="I236" s="34">
        <v>8</v>
      </c>
      <c r="J236" s="34">
        <v>41</v>
      </c>
      <c r="K236" s="34">
        <v>57</v>
      </c>
      <c r="L236" s="220">
        <f t="shared" si="10"/>
        <v>111</v>
      </c>
    </row>
    <row r="237" spans="1:12" x14ac:dyDescent="0.35">
      <c r="A237" s="314"/>
      <c r="B237" s="312"/>
      <c r="C237" s="6" t="s">
        <v>1623</v>
      </c>
      <c r="D237" s="6" t="s">
        <v>2180</v>
      </c>
      <c r="E237" s="6" t="s">
        <v>2289</v>
      </c>
      <c r="F237" s="6" t="s">
        <v>2290</v>
      </c>
      <c r="G237" s="33" t="s">
        <v>2292</v>
      </c>
      <c r="H237" s="34">
        <v>8</v>
      </c>
      <c r="I237" s="34">
        <v>3</v>
      </c>
      <c r="J237" s="34">
        <v>27</v>
      </c>
      <c r="K237" s="34">
        <v>30</v>
      </c>
      <c r="L237" s="220">
        <f t="shared" si="10"/>
        <v>68</v>
      </c>
    </row>
    <row r="238" spans="1:12" x14ac:dyDescent="0.35">
      <c r="A238" s="315"/>
      <c r="B238" s="188"/>
      <c r="C238" s="188"/>
      <c r="D238" s="188"/>
      <c r="E238" s="188"/>
      <c r="F238" s="188"/>
      <c r="G238" s="227" t="s">
        <v>2</v>
      </c>
      <c r="H238" s="227">
        <f>SUM(H223:H237)</f>
        <v>185</v>
      </c>
      <c r="I238" s="227">
        <f t="shared" ref="I238:K238" si="13">SUM(I223:I237)</f>
        <v>227</v>
      </c>
      <c r="J238" s="227">
        <f t="shared" si="13"/>
        <v>547</v>
      </c>
      <c r="K238" s="227">
        <f t="shared" si="13"/>
        <v>820</v>
      </c>
      <c r="L238" s="225">
        <f t="shared" si="10"/>
        <v>1779</v>
      </c>
    </row>
    <row r="239" spans="1:12" x14ac:dyDescent="0.35">
      <c r="A239" s="313">
        <v>11</v>
      </c>
      <c r="B239" s="310" t="s">
        <v>3254</v>
      </c>
      <c r="C239" s="6" t="s">
        <v>1623</v>
      </c>
      <c r="D239" s="6" t="s">
        <v>2180</v>
      </c>
      <c r="E239" s="6" t="s">
        <v>2355</v>
      </c>
      <c r="F239" s="6" t="s">
        <v>2488</v>
      </c>
      <c r="G239" s="6" t="s">
        <v>2489</v>
      </c>
      <c r="H239" s="34">
        <v>18</v>
      </c>
      <c r="I239" s="34">
        <v>12</v>
      </c>
      <c r="J239" s="34">
        <v>50</v>
      </c>
      <c r="K239" s="34">
        <v>59</v>
      </c>
      <c r="L239" s="220">
        <f t="shared" si="10"/>
        <v>139</v>
      </c>
    </row>
    <row r="240" spans="1:12" x14ac:dyDescent="0.35">
      <c r="A240" s="314"/>
      <c r="B240" s="311"/>
      <c r="C240" s="6" t="s">
        <v>1623</v>
      </c>
      <c r="D240" s="6" t="s">
        <v>2180</v>
      </c>
      <c r="E240" s="6" t="s">
        <v>2355</v>
      </c>
      <c r="F240" s="6" t="s">
        <v>2488</v>
      </c>
      <c r="G240" s="6" t="s">
        <v>2490</v>
      </c>
      <c r="H240" s="34">
        <v>11</v>
      </c>
      <c r="I240" s="34">
        <v>4</v>
      </c>
      <c r="J240" s="34">
        <v>31</v>
      </c>
      <c r="K240" s="34">
        <v>39</v>
      </c>
      <c r="L240" s="220">
        <f t="shared" si="10"/>
        <v>85</v>
      </c>
    </row>
    <row r="241" spans="1:12" ht="15.75" customHeight="1" x14ac:dyDescent="0.35">
      <c r="A241" s="314"/>
      <c r="B241" s="311"/>
      <c r="C241" s="6" t="s">
        <v>1623</v>
      </c>
      <c r="D241" s="6" t="s">
        <v>2180</v>
      </c>
      <c r="E241" s="6" t="s">
        <v>2355</v>
      </c>
      <c r="F241" s="6" t="s">
        <v>2356</v>
      </c>
      <c r="G241" s="6" t="s">
        <v>2357</v>
      </c>
      <c r="H241" s="6">
        <v>48</v>
      </c>
      <c r="I241" s="6">
        <v>62</v>
      </c>
      <c r="J241" s="6">
        <v>201</v>
      </c>
      <c r="K241" s="6">
        <v>189</v>
      </c>
      <c r="L241" s="220">
        <f t="shared" si="10"/>
        <v>500</v>
      </c>
    </row>
    <row r="242" spans="1:12" ht="15.75" customHeight="1" x14ac:dyDescent="0.35">
      <c r="A242" s="314"/>
      <c r="B242" s="311"/>
      <c r="C242" s="6" t="s">
        <v>1623</v>
      </c>
      <c r="D242" s="6" t="s">
        <v>2180</v>
      </c>
      <c r="E242" s="6" t="s">
        <v>2355</v>
      </c>
      <c r="F242" s="6" t="s">
        <v>2356</v>
      </c>
      <c r="G242" s="6" t="s">
        <v>2357</v>
      </c>
      <c r="H242" s="34">
        <v>5</v>
      </c>
      <c r="I242" s="34">
        <v>7</v>
      </c>
      <c r="J242" s="34">
        <v>52</v>
      </c>
      <c r="K242" s="34">
        <v>48</v>
      </c>
      <c r="L242" s="220">
        <f t="shared" si="10"/>
        <v>112</v>
      </c>
    </row>
    <row r="243" spans="1:12" ht="15.75" customHeight="1" x14ac:dyDescent="0.35">
      <c r="A243" s="314"/>
      <c r="B243" s="311"/>
      <c r="C243" s="6" t="s">
        <v>1623</v>
      </c>
      <c r="D243" s="6" t="s">
        <v>2180</v>
      </c>
      <c r="E243" s="6" t="s">
        <v>2355</v>
      </c>
      <c r="F243" s="6" t="s">
        <v>2431</v>
      </c>
      <c r="G243" s="6" t="s">
        <v>2432</v>
      </c>
      <c r="H243" s="34">
        <v>21</v>
      </c>
      <c r="I243" s="34">
        <v>22</v>
      </c>
      <c r="J243" s="34">
        <v>52</v>
      </c>
      <c r="K243" s="34">
        <v>68</v>
      </c>
      <c r="L243" s="220">
        <f t="shared" si="10"/>
        <v>163</v>
      </c>
    </row>
    <row r="244" spans="1:12" ht="15.75" customHeight="1" x14ac:dyDescent="0.35">
      <c r="A244" s="314"/>
      <c r="B244" s="311"/>
      <c r="C244" s="6" t="s">
        <v>1623</v>
      </c>
      <c r="D244" s="6" t="s">
        <v>2180</v>
      </c>
      <c r="E244" s="6" t="s">
        <v>2180</v>
      </c>
      <c r="F244" s="6" t="s">
        <v>2470</v>
      </c>
      <c r="G244" s="33" t="s">
        <v>2471</v>
      </c>
      <c r="H244" s="6">
        <v>25</v>
      </c>
      <c r="I244" s="6">
        <v>35</v>
      </c>
      <c r="J244" s="34">
        <v>73</v>
      </c>
      <c r="K244" s="34">
        <v>62</v>
      </c>
      <c r="L244" s="220">
        <f t="shared" si="10"/>
        <v>195</v>
      </c>
    </row>
    <row r="245" spans="1:12" ht="15.75" customHeight="1" x14ac:dyDescent="0.35">
      <c r="A245" s="314"/>
      <c r="B245" s="311"/>
      <c r="C245" s="6" t="s">
        <v>1623</v>
      </c>
      <c r="D245" s="6" t="s">
        <v>2180</v>
      </c>
      <c r="E245" s="6" t="s">
        <v>2355</v>
      </c>
      <c r="F245" s="6" t="s">
        <v>2503</v>
      </c>
      <c r="G245" s="6" t="s">
        <v>2504</v>
      </c>
      <c r="H245" s="34">
        <v>15</v>
      </c>
      <c r="I245" s="34">
        <v>11</v>
      </c>
      <c r="J245" s="34">
        <v>72</v>
      </c>
      <c r="K245" s="34">
        <v>62</v>
      </c>
      <c r="L245" s="220">
        <f t="shared" si="10"/>
        <v>160</v>
      </c>
    </row>
    <row r="246" spans="1:12" ht="15.75" customHeight="1" x14ac:dyDescent="0.35">
      <c r="A246" s="314"/>
      <c r="B246" s="311"/>
      <c r="C246" s="6" t="s">
        <v>1623</v>
      </c>
      <c r="D246" s="6" t="s">
        <v>2180</v>
      </c>
      <c r="E246" s="6" t="s">
        <v>2355</v>
      </c>
      <c r="F246" s="6" t="s">
        <v>2503</v>
      </c>
      <c r="G246" s="6" t="s">
        <v>2505</v>
      </c>
      <c r="H246" s="34">
        <v>28</v>
      </c>
      <c r="I246" s="34">
        <v>22</v>
      </c>
      <c r="J246" s="34">
        <v>112</v>
      </c>
      <c r="K246" s="34">
        <v>128</v>
      </c>
      <c r="L246" s="220">
        <f t="shared" si="10"/>
        <v>290</v>
      </c>
    </row>
    <row r="247" spans="1:12" x14ac:dyDescent="0.35">
      <c r="A247" s="314"/>
      <c r="B247" s="311"/>
      <c r="C247" s="6" t="s">
        <v>1623</v>
      </c>
      <c r="D247" s="6" t="s">
        <v>2180</v>
      </c>
      <c r="E247" s="6" t="s">
        <v>2355</v>
      </c>
      <c r="F247" s="6" t="s">
        <v>2431</v>
      </c>
      <c r="G247" s="6" t="s">
        <v>2434</v>
      </c>
      <c r="H247" s="34">
        <v>25</v>
      </c>
      <c r="I247" s="34">
        <v>25</v>
      </c>
      <c r="J247" s="34">
        <v>115</v>
      </c>
      <c r="K247" s="34">
        <v>135</v>
      </c>
      <c r="L247" s="220">
        <f t="shared" si="10"/>
        <v>300</v>
      </c>
    </row>
    <row r="248" spans="1:12" x14ac:dyDescent="0.35">
      <c r="A248" s="314"/>
      <c r="B248" s="311"/>
      <c r="C248" s="6" t="s">
        <v>1623</v>
      </c>
      <c r="D248" s="6" t="s">
        <v>2180</v>
      </c>
      <c r="E248" s="6" t="s">
        <v>2355</v>
      </c>
      <c r="F248" s="6" t="s">
        <v>2431</v>
      </c>
      <c r="G248" s="6" t="s">
        <v>2435</v>
      </c>
      <c r="H248" s="34">
        <v>38</v>
      </c>
      <c r="I248" s="34">
        <v>58</v>
      </c>
      <c r="J248" s="34">
        <v>51</v>
      </c>
      <c r="K248" s="34">
        <v>81</v>
      </c>
      <c r="L248" s="220">
        <f t="shared" si="10"/>
        <v>228</v>
      </c>
    </row>
    <row r="249" spans="1:12" x14ac:dyDescent="0.35">
      <c r="A249" s="314"/>
      <c r="B249" s="311"/>
      <c r="C249" s="6" t="s">
        <v>1623</v>
      </c>
      <c r="D249" s="6" t="s">
        <v>2180</v>
      </c>
      <c r="E249" s="6" t="s">
        <v>2355</v>
      </c>
      <c r="F249" s="6" t="s">
        <v>2431</v>
      </c>
      <c r="G249" s="6" t="s">
        <v>1963</v>
      </c>
      <c r="H249" s="6">
        <v>14</v>
      </c>
      <c r="I249" s="6">
        <v>15</v>
      </c>
      <c r="J249" s="6">
        <v>33</v>
      </c>
      <c r="K249" s="6">
        <v>40</v>
      </c>
      <c r="L249" s="220">
        <f t="shared" si="10"/>
        <v>102</v>
      </c>
    </row>
    <row r="250" spans="1:12" x14ac:dyDescent="0.35">
      <c r="A250" s="314"/>
      <c r="B250" s="311"/>
      <c r="C250" s="6" t="s">
        <v>1623</v>
      </c>
      <c r="D250" s="6" t="s">
        <v>2180</v>
      </c>
      <c r="E250" s="6" t="s">
        <v>2355</v>
      </c>
      <c r="F250" s="6" t="s">
        <v>2431</v>
      </c>
      <c r="G250" s="6" t="s">
        <v>1963</v>
      </c>
      <c r="H250" s="34">
        <v>25</v>
      </c>
      <c r="I250" s="34">
        <v>25</v>
      </c>
      <c r="J250" s="34">
        <v>41</v>
      </c>
      <c r="K250" s="34">
        <v>59</v>
      </c>
      <c r="L250" s="220">
        <f t="shared" si="10"/>
        <v>150</v>
      </c>
    </row>
    <row r="251" spans="1:12" x14ac:dyDescent="0.35">
      <c r="A251" s="314"/>
      <c r="B251" s="311"/>
      <c r="C251" s="6" t="s">
        <v>1623</v>
      </c>
      <c r="D251" s="6" t="s">
        <v>2180</v>
      </c>
      <c r="E251" s="6" t="s">
        <v>2355</v>
      </c>
      <c r="F251" s="6" t="s">
        <v>2431</v>
      </c>
      <c r="G251" s="33" t="s">
        <v>1963</v>
      </c>
      <c r="H251" s="34">
        <v>17</v>
      </c>
      <c r="I251" s="34">
        <v>21</v>
      </c>
      <c r="J251" s="34">
        <v>20</v>
      </c>
      <c r="K251" s="34">
        <v>30</v>
      </c>
      <c r="L251" s="220">
        <f t="shared" si="10"/>
        <v>88</v>
      </c>
    </row>
    <row r="252" spans="1:12" x14ac:dyDescent="0.35">
      <c r="A252" s="314"/>
      <c r="B252" s="311"/>
      <c r="C252" s="6" t="s">
        <v>1623</v>
      </c>
      <c r="D252" s="6" t="s">
        <v>2180</v>
      </c>
      <c r="E252" s="6" t="s">
        <v>2355</v>
      </c>
      <c r="F252" s="6" t="s">
        <v>2431</v>
      </c>
      <c r="G252" s="6" t="s">
        <v>2433</v>
      </c>
      <c r="H252" s="6">
        <v>7</v>
      </c>
      <c r="I252" s="6">
        <v>7</v>
      </c>
      <c r="J252" s="6">
        <v>77</v>
      </c>
      <c r="K252" s="6">
        <v>50</v>
      </c>
      <c r="L252" s="220">
        <f t="shared" si="10"/>
        <v>141</v>
      </c>
    </row>
    <row r="253" spans="1:12" x14ac:dyDescent="0.35">
      <c r="A253" s="314"/>
      <c r="B253" s="311"/>
      <c r="C253" s="6" t="s">
        <v>1623</v>
      </c>
      <c r="D253" s="6" t="s">
        <v>2180</v>
      </c>
      <c r="E253" s="6" t="s">
        <v>2355</v>
      </c>
      <c r="F253" s="6" t="s">
        <v>2356</v>
      </c>
      <c r="G253" s="6" t="s">
        <v>2358</v>
      </c>
      <c r="H253" s="34">
        <v>21</v>
      </c>
      <c r="I253" s="34">
        <v>19</v>
      </c>
      <c r="J253" s="34">
        <v>72</v>
      </c>
      <c r="K253" s="34">
        <v>58</v>
      </c>
      <c r="L253" s="220">
        <f t="shared" si="10"/>
        <v>170</v>
      </c>
    </row>
    <row r="254" spans="1:12" x14ac:dyDescent="0.35">
      <c r="A254" s="314"/>
      <c r="B254" s="311"/>
      <c r="C254" s="6" t="s">
        <v>1623</v>
      </c>
      <c r="D254" s="6" t="s">
        <v>2180</v>
      </c>
      <c r="E254" s="6" t="s">
        <v>2355</v>
      </c>
      <c r="F254" s="6" t="s">
        <v>2356</v>
      </c>
      <c r="G254" s="6" t="s">
        <v>2359</v>
      </c>
      <c r="H254" s="34">
        <v>9</v>
      </c>
      <c r="I254" s="34">
        <v>11</v>
      </c>
      <c r="J254" s="34">
        <v>109</v>
      </c>
      <c r="K254" s="34">
        <v>91</v>
      </c>
      <c r="L254" s="220">
        <f t="shared" si="10"/>
        <v>220</v>
      </c>
    </row>
    <row r="255" spans="1:12" x14ac:dyDescent="0.35">
      <c r="A255" s="314"/>
      <c r="B255" s="311"/>
      <c r="C255" s="6" t="s">
        <v>1623</v>
      </c>
      <c r="D255" s="6" t="s">
        <v>2180</v>
      </c>
      <c r="E255" s="6" t="s">
        <v>2355</v>
      </c>
      <c r="F255" s="6" t="s">
        <v>2356</v>
      </c>
      <c r="G255" s="33" t="s">
        <v>2360</v>
      </c>
      <c r="H255" s="34">
        <v>11</v>
      </c>
      <c r="I255" s="34">
        <v>11</v>
      </c>
      <c r="J255" s="34">
        <v>44</v>
      </c>
      <c r="K255" s="34">
        <v>50</v>
      </c>
      <c r="L255" s="220">
        <f t="shared" si="10"/>
        <v>116</v>
      </c>
    </row>
    <row r="256" spans="1:12" x14ac:dyDescent="0.35">
      <c r="A256" s="315"/>
      <c r="B256" s="312"/>
      <c r="C256" s="188"/>
      <c r="D256" s="188"/>
      <c r="E256" s="188"/>
      <c r="F256" s="188"/>
      <c r="G256" s="227" t="s">
        <v>2</v>
      </c>
      <c r="H256" s="227">
        <f>SUM(H239:H255)</f>
        <v>338</v>
      </c>
      <c r="I256" s="227">
        <f t="shared" ref="I256:K256" si="14">SUM(I239:I255)</f>
        <v>367</v>
      </c>
      <c r="J256" s="227">
        <f t="shared" si="14"/>
        <v>1205</v>
      </c>
      <c r="K256" s="227">
        <f t="shared" si="14"/>
        <v>1249</v>
      </c>
      <c r="L256" s="225">
        <f t="shared" si="10"/>
        <v>3159</v>
      </c>
    </row>
    <row r="257" spans="1:12" x14ac:dyDescent="0.35">
      <c r="A257" s="319">
        <v>12</v>
      </c>
      <c r="B257" s="232" t="s">
        <v>3317</v>
      </c>
      <c r="C257" s="6" t="s">
        <v>3318</v>
      </c>
      <c r="D257" s="6" t="s">
        <v>2180</v>
      </c>
      <c r="E257" s="6" t="s">
        <v>2269</v>
      </c>
      <c r="F257" s="6" t="s">
        <v>2436</v>
      </c>
      <c r="G257" s="33" t="s">
        <v>2442</v>
      </c>
      <c r="H257" s="34">
        <v>5</v>
      </c>
      <c r="I257" s="34">
        <v>12</v>
      </c>
      <c r="J257" s="34">
        <v>47</v>
      </c>
      <c r="K257" s="34">
        <v>39</v>
      </c>
      <c r="L257" s="220">
        <f t="shared" si="10"/>
        <v>103</v>
      </c>
    </row>
    <row r="258" spans="1:12" x14ac:dyDescent="0.35">
      <c r="A258" s="319"/>
      <c r="B258" s="232"/>
      <c r="C258" s="6" t="s">
        <v>1623</v>
      </c>
      <c r="D258" s="6" t="s">
        <v>2180</v>
      </c>
      <c r="E258" s="6" t="s">
        <v>2269</v>
      </c>
      <c r="F258" s="6" t="s">
        <v>2443</v>
      </c>
      <c r="G258" s="228" t="s">
        <v>2444</v>
      </c>
      <c r="H258" s="34">
        <v>13</v>
      </c>
      <c r="I258" s="34">
        <v>17</v>
      </c>
      <c r="J258" s="34">
        <v>57</v>
      </c>
      <c r="K258" s="34">
        <v>114</v>
      </c>
      <c r="L258" s="220">
        <f t="shared" si="10"/>
        <v>201</v>
      </c>
    </row>
    <row r="259" spans="1:12" x14ac:dyDescent="0.35">
      <c r="A259" s="319"/>
      <c r="B259" s="232"/>
      <c r="C259" s="6" t="s">
        <v>1623</v>
      </c>
      <c r="D259" s="6" t="s">
        <v>2180</v>
      </c>
      <c r="E259" s="6" t="s">
        <v>2269</v>
      </c>
      <c r="F259" s="6" t="s">
        <v>2443</v>
      </c>
      <c r="G259" s="33" t="s">
        <v>2445</v>
      </c>
      <c r="H259" s="34">
        <v>2</v>
      </c>
      <c r="I259" s="34">
        <v>3</v>
      </c>
      <c r="J259" s="34">
        <v>7</v>
      </c>
      <c r="K259" s="34">
        <v>10</v>
      </c>
      <c r="L259" s="220">
        <f t="shared" si="10"/>
        <v>22</v>
      </c>
    </row>
    <row r="260" spans="1:12" x14ac:dyDescent="0.35">
      <c r="A260" s="319"/>
      <c r="B260" s="232"/>
      <c r="C260" s="6" t="s">
        <v>1623</v>
      </c>
      <c r="D260" s="6" t="s">
        <v>2180</v>
      </c>
      <c r="E260" s="6" t="s">
        <v>2269</v>
      </c>
      <c r="F260" s="6" t="s">
        <v>2270</v>
      </c>
      <c r="G260" s="117" t="s">
        <v>2271</v>
      </c>
      <c r="H260" s="34">
        <v>6</v>
      </c>
      <c r="I260" s="34">
        <v>6</v>
      </c>
      <c r="J260" s="34">
        <v>37</v>
      </c>
      <c r="K260" s="34">
        <v>41</v>
      </c>
      <c r="L260" s="220">
        <f t="shared" si="10"/>
        <v>90</v>
      </c>
    </row>
    <row r="261" spans="1:12" x14ac:dyDescent="0.35">
      <c r="A261" s="319"/>
      <c r="B261" s="232"/>
      <c r="C261" s="6" t="s">
        <v>1623</v>
      </c>
      <c r="D261" s="6" t="s">
        <v>2180</v>
      </c>
      <c r="E261" s="6" t="s">
        <v>2269</v>
      </c>
      <c r="F261" s="6" t="s">
        <v>2286</v>
      </c>
      <c r="G261" s="6" t="s">
        <v>2287</v>
      </c>
      <c r="H261" s="34">
        <v>3</v>
      </c>
      <c r="I261" s="34">
        <v>3</v>
      </c>
      <c r="J261" s="34">
        <v>38</v>
      </c>
      <c r="K261" s="34">
        <v>25</v>
      </c>
      <c r="L261" s="220">
        <f t="shared" si="10"/>
        <v>69</v>
      </c>
    </row>
    <row r="262" spans="1:12" x14ac:dyDescent="0.35">
      <c r="A262" s="319"/>
      <c r="B262" s="232"/>
      <c r="C262" s="6" t="s">
        <v>1623</v>
      </c>
      <c r="D262" s="6" t="s">
        <v>2180</v>
      </c>
      <c r="E262" s="6" t="s">
        <v>2269</v>
      </c>
      <c r="F262" s="6" t="s">
        <v>2436</v>
      </c>
      <c r="G262" s="6" t="s">
        <v>2437</v>
      </c>
      <c r="H262" s="6">
        <v>63</v>
      </c>
      <c r="I262" s="6">
        <v>77</v>
      </c>
      <c r="J262" s="6">
        <v>126</v>
      </c>
      <c r="K262" s="6">
        <v>252</v>
      </c>
      <c r="L262" s="220">
        <f t="shared" ref="L262:L325" si="15">H262+I262+J262+K262</f>
        <v>518</v>
      </c>
    </row>
    <row r="263" spans="1:12" x14ac:dyDescent="0.35">
      <c r="A263" s="319"/>
      <c r="B263" s="232"/>
      <c r="C263" s="6" t="s">
        <v>1623</v>
      </c>
      <c r="D263" s="6" t="s">
        <v>2180</v>
      </c>
      <c r="E263" s="6" t="s">
        <v>2269</v>
      </c>
      <c r="F263" s="6" t="s">
        <v>2436</v>
      </c>
      <c r="G263" s="6" t="s">
        <v>2438</v>
      </c>
      <c r="H263" s="34">
        <v>10</v>
      </c>
      <c r="I263" s="34">
        <v>3</v>
      </c>
      <c r="J263" s="34">
        <v>38</v>
      </c>
      <c r="K263" s="34">
        <v>30</v>
      </c>
      <c r="L263" s="220">
        <f t="shared" si="15"/>
        <v>81</v>
      </c>
    </row>
    <row r="264" spans="1:12" x14ac:dyDescent="0.35">
      <c r="A264" s="319"/>
      <c r="B264" s="232"/>
      <c r="C264" s="6" t="s">
        <v>1623</v>
      </c>
      <c r="D264" s="6" t="s">
        <v>2180</v>
      </c>
      <c r="E264" s="6" t="s">
        <v>2269</v>
      </c>
      <c r="F264" s="6" t="s">
        <v>2436</v>
      </c>
      <c r="G264" s="6" t="s">
        <v>2439</v>
      </c>
      <c r="H264" s="34">
        <v>10</v>
      </c>
      <c r="I264" s="34">
        <v>9</v>
      </c>
      <c r="J264" s="34">
        <v>46</v>
      </c>
      <c r="K264" s="34">
        <v>64</v>
      </c>
      <c r="L264" s="220">
        <f t="shared" si="15"/>
        <v>129</v>
      </c>
    </row>
    <row r="265" spans="1:12" x14ac:dyDescent="0.35">
      <c r="A265" s="319"/>
      <c r="B265" s="232"/>
      <c r="C265" s="6" t="s">
        <v>1623</v>
      </c>
      <c r="D265" s="6" t="s">
        <v>2180</v>
      </c>
      <c r="E265" s="6" t="s">
        <v>2269</v>
      </c>
      <c r="F265" s="6" t="s">
        <v>2436</v>
      </c>
      <c r="G265" s="33" t="s">
        <v>2440</v>
      </c>
      <c r="H265" s="34">
        <v>13</v>
      </c>
      <c r="I265" s="34">
        <v>17</v>
      </c>
      <c r="J265" s="34">
        <v>55</v>
      </c>
      <c r="K265" s="34">
        <v>65</v>
      </c>
      <c r="L265" s="220">
        <f t="shared" si="15"/>
        <v>150</v>
      </c>
    </row>
    <row r="266" spans="1:12" x14ac:dyDescent="0.35">
      <c r="A266" s="319"/>
      <c r="B266" s="232"/>
      <c r="C266" s="6" t="s">
        <v>1623</v>
      </c>
      <c r="D266" s="6" t="s">
        <v>2180</v>
      </c>
      <c r="E266" s="6" t="s">
        <v>2269</v>
      </c>
      <c r="F266" s="6" t="s">
        <v>2270</v>
      </c>
      <c r="G266" s="6" t="s">
        <v>2272</v>
      </c>
      <c r="H266" s="34">
        <v>7</v>
      </c>
      <c r="I266" s="34">
        <v>7</v>
      </c>
      <c r="J266" s="34">
        <v>52</v>
      </c>
      <c r="K266" s="34">
        <v>45</v>
      </c>
      <c r="L266" s="220">
        <f t="shared" si="15"/>
        <v>111</v>
      </c>
    </row>
    <row r="267" spans="1:12" x14ac:dyDescent="0.35">
      <c r="A267" s="319"/>
      <c r="B267" s="232"/>
      <c r="C267" s="6" t="s">
        <v>1623</v>
      </c>
      <c r="D267" s="6" t="s">
        <v>2180</v>
      </c>
      <c r="E267" s="6" t="s">
        <v>2269</v>
      </c>
      <c r="F267" s="6" t="s">
        <v>2270</v>
      </c>
      <c r="G267" s="6" t="s">
        <v>2273</v>
      </c>
      <c r="H267" s="34">
        <v>5</v>
      </c>
      <c r="I267" s="34">
        <v>6</v>
      </c>
      <c r="J267" s="34">
        <v>53</v>
      </c>
      <c r="K267" s="34">
        <v>38</v>
      </c>
      <c r="L267" s="220">
        <f t="shared" si="15"/>
        <v>102</v>
      </c>
    </row>
    <row r="268" spans="1:12" x14ac:dyDescent="0.35">
      <c r="A268" s="319"/>
      <c r="B268" s="232"/>
      <c r="C268" s="6" t="s">
        <v>1623</v>
      </c>
      <c r="D268" s="6" t="s">
        <v>2180</v>
      </c>
      <c r="E268" s="6" t="s">
        <v>2269</v>
      </c>
      <c r="F268" s="6" t="s">
        <v>2286</v>
      </c>
      <c r="G268" s="6" t="s">
        <v>2286</v>
      </c>
      <c r="H268" s="34">
        <v>12</v>
      </c>
      <c r="I268" s="34">
        <v>10</v>
      </c>
      <c r="J268" s="34">
        <v>50</v>
      </c>
      <c r="K268" s="34">
        <v>45</v>
      </c>
      <c r="L268" s="220">
        <f t="shared" si="15"/>
        <v>117</v>
      </c>
    </row>
    <row r="269" spans="1:12" x14ac:dyDescent="0.35">
      <c r="A269" s="319"/>
      <c r="B269" s="232"/>
      <c r="C269" s="6" t="s">
        <v>1623</v>
      </c>
      <c r="D269" s="6" t="s">
        <v>2180</v>
      </c>
      <c r="E269" s="6" t="s">
        <v>2289</v>
      </c>
      <c r="F269" s="6" t="s">
        <v>2290</v>
      </c>
      <c r="G269" s="33" t="s">
        <v>2290</v>
      </c>
      <c r="H269" s="34">
        <v>10</v>
      </c>
      <c r="I269" s="34">
        <v>14</v>
      </c>
      <c r="J269" s="34">
        <v>49</v>
      </c>
      <c r="K269" s="34">
        <v>70</v>
      </c>
      <c r="L269" s="220">
        <f t="shared" si="15"/>
        <v>143</v>
      </c>
    </row>
    <row r="270" spans="1:12" x14ac:dyDescent="0.35">
      <c r="A270" s="319"/>
      <c r="B270" s="232"/>
      <c r="C270" s="6" t="s">
        <v>1623</v>
      </c>
      <c r="D270" s="6" t="s">
        <v>2180</v>
      </c>
      <c r="E270" s="6" t="s">
        <v>2269</v>
      </c>
      <c r="F270" s="6" t="s">
        <v>2436</v>
      </c>
      <c r="G270" s="6" t="s">
        <v>2441</v>
      </c>
      <c r="H270" s="34">
        <v>8</v>
      </c>
      <c r="I270" s="34">
        <v>3</v>
      </c>
      <c r="J270" s="34">
        <v>56</v>
      </c>
      <c r="K270" s="34">
        <v>63</v>
      </c>
      <c r="L270" s="220">
        <f t="shared" si="15"/>
        <v>130</v>
      </c>
    </row>
    <row r="271" spans="1:12" x14ac:dyDescent="0.35">
      <c r="A271" s="319"/>
      <c r="B271" s="232"/>
      <c r="C271" s="6" t="s">
        <v>1623</v>
      </c>
      <c r="D271" s="6" t="s">
        <v>2180</v>
      </c>
      <c r="E271" s="6" t="s">
        <v>2232</v>
      </c>
      <c r="F271" s="6" t="s">
        <v>405</v>
      </c>
      <c r="G271" s="33" t="s">
        <v>2484</v>
      </c>
      <c r="H271" s="34">
        <v>11</v>
      </c>
      <c r="I271" s="34">
        <v>23</v>
      </c>
      <c r="J271" s="34">
        <v>74</v>
      </c>
      <c r="K271" s="34">
        <v>103</v>
      </c>
      <c r="L271" s="220">
        <f t="shared" si="15"/>
        <v>211</v>
      </c>
    </row>
    <row r="272" spans="1:12" x14ac:dyDescent="0.35">
      <c r="A272" s="319"/>
      <c r="B272" s="232"/>
      <c r="C272" s="6" t="s">
        <v>1623</v>
      </c>
      <c r="D272" s="6" t="s">
        <v>2180</v>
      </c>
      <c r="E272" s="6" t="s">
        <v>2269</v>
      </c>
      <c r="F272" s="6" t="s">
        <v>2270</v>
      </c>
      <c r="G272" s="6" t="s">
        <v>2274</v>
      </c>
      <c r="H272" s="34">
        <v>6</v>
      </c>
      <c r="I272" s="34">
        <v>6</v>
      </c>
      <c r="J272" s="34">
        <v>21</v>
      </c>
      <c r="K272" s="34">
        <v>25</v>
      </c>
      <c r="L272" s="220">
        <f t="shared" si="15"/>
        <v>58</v>
      </c>
    </row>
    <row r="273" spans="1:12" x14ac:dyDescent="0.35">
      <c r="A273" s="319"/>
      <c r="B273" s="232"/>
      <c r="C273" s="6" t="s">
        <v>1623</v>
      </c>
      <c r="D273" s="6" t="s">
        <v>2180</v>
      </c>
      <c r="E273" s="6" t="s">
        <v>2269</v>
      </c>
      <c r="F273" s="6" t="s">
        <v>2286</v>
      </c>
      <c r="G273" s="6" t="s">
        <v>2288</v>
      </c>
      <c r="H273" s="34">
        <v>11</v>
      </c>
      <c r="I273" s="34">
        <v>6</v>
      </c>
      <c r="J273" s="34">
        <v>56</v>
      </c>
      <c r="K273" s="34">
        <v>44</v>
      </c>
      <c r="L273" s="220">
        <f t="shared" si="15"/>
        <v>117</v>
      </c>
    </row>
    <row r="274" spans="1:12" x14ac:dyDescent="0.35">
      <c r="A274" s="101"/>
      <c r="B274" s="101"/>
      <c r="C274" s="188"/>
      <c r="D274" s="188"/>
      <c r="E274" s="188"/>
      <c r="F274" s="188"/>
      <c r="G274" s="227" t="s">
        <v>2</v>
      </c>
      <c r="H274" s="227">
        <f>SUM(H257:H273)</f>
        <v>195</v>
      </c>
      <c r="I274" s="227">
        <f t="shared" ref="I274:K274" si="16">SUM(I257:I273)</f>
        <v>222</v>
      </c>
      <c r="J274" s="227">
        <f t="shared" si="16"/>
        <v>862</v>
      </c>
      <c r="K274" s="227">
        <f t="shared" si="16"/>
        <v>1073</v>
      </c>
      <c r="L274" s="225">
        <f t="shared" si="15"/>
        <v>2352</v>
      </c>
    </row>
    <row r="275" spans="1:12" x14ac:dyDescent="0.35">
      <c r="A275" s="313">
        <v>13</v>
      </c>
      <c r="B275" s="310" t="s">
        <v>3256</v>
      </c>
      <c r="C275" s="6" t="s">
        <v>1623</v>
      </c>
      <c r="D275" s="6" t="s">
        <v>2180</v>
      </c>
      <c r="E275" s="6" t="s">
        <v>2251</v>
      </c>
      <c r="F275" s="6" t="s">
        <v>2252</v>
      </c>
      <c r="G275" s="6" t="s">
        <v>2253</v>
      </c>
      <c r="H275" s="34">
        <v>3</v>
      </c>
      <c r="I275" s="34">
        <v>3</v>
      </c>
      <c r="J275" s="34">
        <v>19</v>
      </c>
      <c r="K275" s="34">
        <v>12</v>
      </c>
      <c r="L275" s="220">
        <f t="shared" si="15"/>
        <v>37</v>
      </c>
    </row>
    <row r="276" spans="1:12" x14ac:dyDescent="0.35">
      <c r="A276" s="314"/>
      <c r="B276" s="311"/>
      <c r="C276" s="6" t="s">
        <v>1623</v>
      </c>
      <c r="D276" s="6" t="s">
        <v>2180</v>
      </c>
      <c r="E276" s="6" t="s">
        <v>2251</v>
      </c>
      <c r="F276" s="6" t="s">
        <v>2252</v>
      </c>
      <c r="G276" s="33" t="s">
        <v>2254</v>
      </c>
      <c r="H276" s="34">
        <v>7</v>
      </c>
      <c r="I276" s="34">
        <v>8</v>
      </c>
      <c r="J276" s="34">
        <v>30</v>
      </c>
      <c r="K276" s="34">
        <v>35</v>
      </c>
      <c r="L276" s="220">
        <f t="shared" si="15"/>
        <v>80</v>
      </c>
    </row>
    <row r="277" spans="1:12" x14ac:dyDescent="0.35">
      <c r="A277" s="314"/>
      <c r="B277" s="311"/>
      <c r="C277" s="6" t="s">
        <v>1623</v>
      </c>
      <c r="D277" s="6" t="s">
        <v>2180</v>
      </c>
      <c r="E277" s="6" t="s">
        <v>2251</v>
      </c>
      <c r="F277" s="6" t="s">
        <v>2252</v>
      </c>
      <c r="G277" s="6" t="s">
        <v>2255</v>
      </c>
      <c r="H277" s="34">
        <v>3</v>
      </c>
      <c r="I277" s="34">
        <v>3</v>
      </c>
      <c r="J277" s="34">
        <v>16</v>
      </c>
      <c r="K277" s="34">
        <v>28</v>
      </c>
      <c r="L277" s="220">
        <f t="shared" si="15"/>
        <v>50</v>
      </c>
    </row>
    <row r="278" spans="1:12" x14ac:dyDescent="0.35">
      <c r="A278" s="314"/>
      <c r="B278" s="311"/>
      <c r="C278" s="6" t="s">
        <v>1623</v>
      </c>
      <c r="D278" s="6" t="s">
        <v>2180</v>
      </c>
      <c r="E278" s="6" t="s">
        <v>2251</v>
      </c>
      <c r="F278" s="6" t="s">
        <v>2252</v>
      </c>
      <c r="G278" s="6" t="s">
        <v>2256</v>
      </c>
      <c r="H278" s="34">
        <v>9</v>
      </c>
      <c r="I278" s="34">
        <v>8</v>
      </c>
      <c r="J278" s="34">
        <v>15</v>
      </c>
      <c r="K278" s="34">
        <v>12</v>
      </c>
      <c r="L278" s="220">
        <f t="shared" si="15"/>
        <v>44</v>
      </c>
    </row>
    <row r="279" spans="1:12" x14ac:dyDescent="0.35">
      <c r="A279" s="314"/>
      <c r="B279" s="311"/>
      <c r="C279" s="6" t="s">
        <v>1623</v>
      </c>
      <c r="D279" s="6" t="s">
        <v>2180</v>
      </c>
      <c r="E279" s="6" t="s">
        <v>2251</v>
      </c>
      <c r="F279" s="6" t="s">
        <v>2252</v>
      </c>
      <c r="G279" s="6" t="s">
        <v>2257</v>
      </c>
      <c r="H279" s="34">
        <v>2</v>
      </c>
      <c r="I279" s="34">
        <v>4</v>
      </c>
      <c r="J279" s="34">
        <v>14</v>
      </c>
      <c r="K279" s="34">
        <v>16</v>
      </c>
      <c r="L279" s="220">
        <f t="shared" si="15"/>
        <v>36</v>
      </c>
    </row>
    <row r="280" spans="1:12" x14ac:dyDescent="0.35">
      <c r="A280" s="314"/>
      <c r="B280" s="311"/>
      <c r="C280" s="6" t="s">
        <v>1623</v>
      </c>
      <c r="D280" s="6" t="s">
        <v>2180</v>
      </c>
      <c r="E280" s="6" t="s">
        <v>2251</v>
      </c>
      <c r="F280" s="6" t="s">
        <v>2320</v>
      </c>
      <c r="G280" s="6" t="s">
        <v>2321</v>
      </c>
      <c r="H280" s="34">
        <v>13</v>
      </c>
      <c r="I280" s="34">
        <v>12</v>
      </c>
      <c r="J280" s="34">
        <v>90</v>
      </c>
      <c r="K280" s="34">
        <v>90</v>
      </c>
      <c r="L280" s="220">
        <f t="shared" si="15"/>
        <v>205</v>
      </c>
    </row>
    <row r="281" spans="1:12" x14ac:dyDescent="0.35">
      <c r="A281" s="314"/>
      <c r="B281" s="311"/>
      <c r="C281" s="6" t="s">
        <v>1623</v>
      </c>
      <c r="D281" s="6" t="s">
        <v>2180</v>
      </c>
      <c r="E281" s="6" t="s">
        <v>2251</v>
      </c>
      <c r="F281" s="6" t="s">
        <v>2320</v>
      </c>
      <c r="G281" s="6" t="s">
        <v>2322</v>
      </c>
      <c r="H281" s="6">
        <v>3</v>
      </c>
      <c r="I281" s="6">
        <v>6</v>
      </c>
      <c r="J281" s="6">
        <v>18</v>
      </c>
      <c r="K281" s="6">
        <v>25</v>
      </c>
      <c r="L281" s="220">
        <f t="shared" si="15"/>
        <v>52</v>
      </c>
    </row>
    <row r="282" spans="1:12" x14ac:dyDescent="0.35">
      <c r="A282" s="314"/>
      <c r="B282" s="311"/>
      <c r="C282" s="6" t="s">
        <v>1623</v>
      </c>
      <c r="D282" s="6" t="s">
        <v>2180</v>
      </c>
      <c r="E282" s="6" t="s">
        <v>2251</v>
      </c>
      <c r="F282" s="6" t="s">
        <v>2320</v>
      </c>
      <c r="G282" s="6" t="s">
        <v>2323</v>
      </c>
      <c r="H282" s="34">
        <v>11</v>
      </c>
      <c r="I282" s="34">
        <v>13</v>
      </c>
      <c r="J282" s="34">
        <v>45</v>
      </c>
      <c r="K282" s="34">
        <v>44</v>
      </c>
      <c r="L282" s="220">
        <f t="shared" si="15"/>
        <v>113</v>
      </c>
    </row>
    <row r="283" spans="1:12" x14ac:dyDescent="0.35">
      <c r="A283" s="314"/>
      <c r="B283" s="311"/>
      <c r="C283" s="6" t="s">
        <v>1623</v>
      </c>
      <c r="D283" s="6" t="s">
        <v>2180</v>
      </c>
      <c r="E283" s="6" t="s">
        <v>2251</v>
      </c>
      <c r="F283" s="6" t="s">
        <v>2320</v>
      </c>
      <c r="G283" s="33" t="s">
        <v>2323</v>
      </c>
      <c r="H283" s="34">
        <v>28</v>
      </c>
      <c r="I283" s="34">
        <v>39</v>
      </c>
      <c r="J283" s="34">
        <v>69</v>
      </c>
      <c r="K283" s="34">
        <v>99</v>
      </c>
      <c r="L283" s="220">
        <f t="shared" si="15"/>
        <v>235</v>
      </c>
    </row>
    <row r="284" spans="1:12" x14ac:dyDescent="0.35">
      <c r="A284" s="314"/>
      <c r="B284" s="311"/>
      <c r="C284" s="6" t="s">
        <v>1623</v>
      </c>
      <c r="D284" s="6" t="s">
        <v>2180</v>
      </c>
      <c r="E284" s="6" t="s">
        <v>2251</v>
      </c>
      <c r="F284" s="6" t="s">
        <v>2320</v>
      </c>
      <c r="G284" s="6" t="s">
        <v>2324</v>
      </c>
      <c r="H284" s="34">
        <v>17</v>
      </c>
      <c r="I284" s="34">
        <v>25</v>
      </c>
      <c r="J284" s="34">
        <v>105</v>
      </c>
      <c r="K284" s="34">
        <v>110</v>
      </c>
      <c r="L284" s="220">
        <f t="shared" si="15"/>
        <v>257</v>
      </c>
    </row>
    <row r="285" spans="1:12" x14ac:dyDescent="0.35">
      <c r="A285" s="314"/>
      <c r="B285" s="311"/>
      <c r="C285" s="6" t="s">
        <v>1623</v>
      </c>
      <c r="D285" s="6" t="s">
        <v>2180</v>
      </c>
      <c r="E285" s="6" t="s">
        <v>2251</v>
      </c>
      <c r="F285" s="6" t="s">
        <v>2334</v>
      </c>
      <c r="G285" s="6" t="s">
        <v>2335</v>
      </c>
      <c r="H285" s="34">
        <v>3</v>
      </c>
      <c r="I285" s="34">
        <v>1</v>
      </c>
      <c r="J285" s="34">
        <v>5</v>
      </c>
      <c r="K285" s="34">
        <v>6</v>
      </c>
      <c r="L285" s="220">
        <f t="shared" si="15"/>
        <v>15</v>
      </c>
    </row>
    <row r="286" spans="1:12" x14ac:dyDescent="0.35">
      <c r="A286" s="314"/>
      <c r="B286" s="311"/>
      <c r="C286" s="6" t="s">
        <v>1623</v>
      </c>
      <c r="D286" s="6" t="s">
        <v>2180</v>
      </c>
      <c r="E286" s="6" t="s">
        <v>2251</v>
      </c>
      <c r="F286" s="6" t="s">
        <v>2334</v>
      </c>
      <c r="G286" s="6" t="s">
        <v>2336</v>
      </c>
      <c r="H286" s="34">
        <v>6</v>
      </c>
      <c r="I286" s="34">
        <v>7</v>
      </c>
      <c r="J286" s="34">
        <v>14</v>
      </c>
      <c r="K286" s="34">
        <v>15</v>
      </c>
      <c r="L286" s="220">
        <f t="shared" si="15"/>
        <v>42</v>
      </c>
    </row>
    <row r="287" spans="1:12" x14ac:dyDescent="0.35">
      <c r="A287" s="314"/>
      <c r="B287" s="311"/>
      <c r="C287" s="6" t="s">
        <v>1623</v>
      </c>
      <c r="D287" s="6" t="s">
        <v>2180</v>
      </c>
      <c r="E287" s="6" t="s">
        <v>2251</v>
      </c>
      <c r="F287" s="6" t="s">
        <v>2334</v>
      </c>
      <c r="G287" s="33" t="s">
        <v>2337</v>
      </c>
      <c r="H287" s="34">
        <v>6</v>
      </c>
      <c r="I287" s="34">
        <v>9</v>
      </c>
      <c r="J287" s="34">
        <v>20</v>
      </c>
      <c r="K287" s="34">
        <v>23</v>
      </c>
      <c r="L287" s="220">
        <f t="shared" si="15"/>
        <v>58</v>
      </c>
    </row>
    <row r="288" spans="1:12" x14ac:dyDescent="0.35">
      <c r="A288" s="314"/>
      <c r="B288" s="311"/>
      <c r="C288" s="6" t="s">
        <v>1623</v>
      </c>
      <c r="D288" s="6" t="s">
        <v>2180</v>
      </c>
      <c r="E288" s="6" t="s">
        <v>2251</v>
      </c>
      <c r="F288" s="6" t="s">
        <v>2334</v>
      </c>
      <c r="G288" s="6" t="s">
        <v>2338</v>
      </c>
      <c r="H288" s="34">
        <v>4</v>
      </c>
      <c r="I288" s="34">
        <v>5</v>
      </c>
      <c r="J288" s="34">
        <v>33</v>
      </c>
      <c r="K288" s="34">
        <v>47</v>
      </c>
      <c r="L288" s="220">
        <f t="shared" si="15"/>
        <v>89</v>
      </c>
    </row>
    <row r="289" spans="1:12" x14ac:dyDescent="0.35">
      <c r="A289" s="314"/>
      <c r="B289" s="311"/>
      <c r="C289" s="6" t="s">
        <v>1623</v>
      </c>
      <c r="D289" s="6" t="s">
        <v>2180</v>
      </c>
      <c r="E289" s="6" t="s">
        <v>2251</v>
      </c>
      <c r="F289" s="6" t="s">
        <v>2334</v>
      </c>
      <c r="G289" s="6" t="s">
        <v>2339</v>
      </c>
      <c r="H289" s="34">
        <v>11</v>
      </c>
      <c r="I289" s="34">
        <v>8</v>
      </c>
      <c r="J289" s="34">
        <v>32</v>
      </c>
      <c r="K289" s="34">
        <v>42</v>
      </c>
      <c r="L289" s="220">
        <f t="shared" si="15"/>
        <v>93</v>
      </c>
    </row>
    <row r="290" spans="1:12" x14ac:dyDescent="0.35">
      <c r="A290" s="314"/>
      <c r="B290" s="311"/>
      <c r="C290" s="6" t="s">
        <v>1623</v>
      </c>
      <c r="D290" s="6" t="s">
        <v>2180</v>
      </c>
      <c r="E290" s="6" t="s">
        <v>2251</v>
      </c>
      <c r="F290" s="6" t="s">
        <v>2361</v>
      </c>
      <c r="G290" s="6" t="s">
        <v>2362</v>
      </c>
      <c r="H290" s="34">
        <v>6</v>
      </c>
      <c r="I290" s="34">
        <v>5</v>
      </c>
      <c r="J290" s="34">
        <v>29</v>
      </c>
      <c r="K290" s="34">
        <v>24</v>
      </c>
      <c r="L290" s="220">
        <f t="shared" si="15"/>
        <v>64</v>
      </c>
    </row>
    <row r="291" spans="1:12" x14ac:dyDescent="0.35">
      <c r="A291" s="314"/>
      <c r="B291" s="311"/>
      <c r="C291" s="6" t="s">
        <v>1623</v>
      </c>
      <c r="D291" s="6" t="s">
        <v>2180</v>
      </c>
      <c r="E291" s="6" t="s">
        <v>2251</v>
      </c>
      <c r="F291" s="6" t="s">
        <v>2361</v>
      </c>
      <c r="G291" s="6" t="s">
        <v>330</v>
      </c>
      <c r="H291" s="34">
        <v>8</v>
      </c>
      <c r="I291" s="34">
        <v>11</v>
      </c>
      <c r="J291" s="34">
        <v>39</v>
      </c>
      <c r="K291" s="34">
        <v>40</v>
      </c>
      <c r="L291" s="220">
        <f t="shared" si="15"/>
        <v>98</v>
      </c>
    </row>
    <row r="292" spans="1:12" x14ac:dyDescent="0.35">
      <c r="A292" s="314"/>
      <c r="B292" s="311"/>
      <c r="C292" s="6" t="s">
        <v>1623</v>
      </c>
      <c r="D292" s="6" t="s">
        <v>2180</v>
      </c>
      <c r="E292" s="6" t="s">
        <v>2251</v>
      </c>
      <c r="F292" s="6" t="s">
        <v>2361</v>
      </c>
      <c r="G292" s="6" t="s">
        <v>2363</v>
      </c>
      <c r="H292" s="34">
        <v>4</v>
      </c>
      <c r="I292" s="34">
        <v>1</v>
      </c>
      <c r="J292" s="34">
        <v>30</v>
      </c>
      <c r="K292" s="34">
        <v>30</v>
      </c>
      <c r="L292" s="220">
        <f t="shared" si="15"/>
        <v>65</v>
      </c>
    </row>
    <row r="293" spans="1:12" x14ac:dyDescent="0.35">
      <c r="A293" s="314"/>
      <c r="B293" s="311"/>
      <c r="C293" s="6" t="s">
        <v>1623</v>
      </c>
      <c r="D293" s="6" t="s">
        <v>2180</v>
      </c>
      <c r="E293" s="6" t="s">
        <v>2251</v>
      </c>
      <c r="F293" s="6" t="s">
        <v>2448</v>
      </c>
      <c r="G293" s="6" t="s">
        <v>2449</v>
      </c>
      <c r="H293" s="34">
        <v>15</v>
      </c>
      <c r="I293" s="34">
        <v>14</v>
      </c>
      <c r="J293" s="34">
        <v>52</v>
      </c>
      <c r="K293" s="34">
        <v>53</v>
      </c>
      <c r="L293" s="220">
        <f t="shared" si="15"/>
        <v>134</v>
      </c>
    </row>
    <row r="294" spans="1:12" x14ac:dyDescent="0.35">
      <c r="A294" s="314"/>
      <c r="B294" s="311"/>
      <c r="C294" s="6" t="s">
        <v>1623</v>
      </c>
      <c r="D294" s="6" t="s">
        <v>2180</v>
      </c>
      <c r="E294" s="6" t="s">
        <v>2251</v>
      </c>
      <c r="F294" s="6" t="s">
        <v>2448</v>
      </c>
      <c r="G294" s="6" t="s">
        <v>2450</v>
      </c>
      <c r="H294" s="34">
        <v>6</v>
      </c>
      <c r="I294" s="34">
        <v>4</v>
      </c>
      <c r="J294" s="34">
        <v>43</v>
      </c>
      <c r="K294" s="34">
        <v>49</v>
      </c>
      <c r="L294" s="220">
        <f t="shared" si="15"/>
        <v>102</v>
      </c>
    </row>
    <row r="295" spans="1:12" x14ac:dyDescent="0.35">
      <c r="A295" s="314"/>
      <c r="B295" s="311"/>
      <c r="C295" s="6" t="s">
        <v>1623</v>
      </c>
      <c r="D295" s="6" t="s">
        <v>2180</v>
      </c>
      <c r="E295" s="6" t="s">
        <v>2251</v>
      </c>
      <c r="F295" s="6" t="s">
        <v>2448</v>
      </c>
      <c r="G295" s="6" t="s">
        <v>2451</v>
      </c>
      <c r="H295" s="34">
        <v>6</v>
      </c>
      <c r="I295" s="34">
        <v>8</v>
      </c>
      <c r="J295" s="34">
        <v>24</v>
      </c>
      <c r="K295" s="34">
        <v>23</v>
      </c>
      <c r="L295" s="220">
        <f t="shared" si="15"/>
        <v>61</v>
      </c>
    </row>
    <row r="296" spans="1:12" x14ac:dyDescent="0.35">
      <c r="A296" s="314"/>
      <c r="B296" s="311"/>
      <c r="C296" s="6" t="s">
        <v>1623</v>
      </c>
      <c r="D296" s="6" t="s">
        <v>2180</v>
      </c>
      <c r="E296" s="6" t="s">
        <v>2251</v>
      </c>
      <c r="F296" s="6" t="s">
        <v>2448</v>
      </c>
      <c r="G296" s="6" t="s">
        <v>2451</v>
      </c>
      <c r="H296" s="6">
        <v>20</v>
      </c>
      <c r="I296" s="6">
        <v>36</v>
      </c>
      <c r="J296" s="6">
        <v>81</v>
      </c>
      <c r="K296" s="6">
        <v>146</v>
      </c>
      <c r="L296" s="220">
        <f t="shared" si="15"/>
        <v>283</v>
      </c>
    </row>
    <row r="297" spans="1:12" x14ac:dyDescent="0.35">
      <c r="A297" s="314"/>
      <c r="B297" s="311"/>
      <c r="C297" s="6" t="s">
        <v>1623</v>
      </c>
      <c r="D297" s="6" t="s">
        <v>2180</v>
      </c>
      <c r="E297" s="6" t="s">
        <v>2251</v>
      </c>
      <c r="F297" s="6" t="s">
        <v>2448</v>
      </c>
      <c r="G297" s="33" t="s">
        <v>2452</v>
      </c>
      <c r="H297" s="34">
        <v>19</v>
      </c>
      <c r="I297" s="34">
        <v>21</v>
      </c>
      <c r="J297" s="34">
        <v>32</v>
      </c>
      <c r="K297" s="34">
        <v>48</v>
      </c>
      <c r="L297" s="220">
        <f t="shared" si="15"/>
        <v>120</v>
      </c>
    </row>
    <row r="298" spans="1:12" x14ac:dyDescent="0.35">
      <c r="A298" s="314"/>
      <c r="B298" s="311"/>
      <c r="C298" s="6" t="s">
        <v>1623</v>
      </c>
      <c r="D298" s="6" t="s">
        <v>2180</v>
      </c>
      <c r="E298" s="6" t="s">
        <v>2251</v>
      </c>
      <c r="F298" s="6" t="s">
        <v>2523</v>
      </c>
      <c r="G298" s="6" t="s">
        <v>2524</v>
      </c>
      <c r="H298" s="34">
        <v>8</v>
      </c>
      <c r="I298" s="34">
        <v>6</v>
      </c>
      <c r="J298" s="34">
        <v>30</v>
      </c>
      <c r="K298" s="34">
        <v>21</v>
      </c>
      <c r="L298" s="220">
        <f t="shared" si="15"/>
        <v>65</v>
      </c>
    </row>
    <row r="299" spans="1:12" x14ac:dyDescent="0.35">
      <c r="A299" s="314"/>
      <c r="B299" s="311"/>
      <c r="C299" s="6" t="s">
        <v>1623</v>
      </c>
      <c r="D299" s="6" t="s">
        <v>2180</v>
      </c>
      <c r="E299" s="6" t="s">
        <v>2251</v>
      </c>
      <c r="F299" s="6" t="s">
        <v>2523</v>
      </c>
      <c r="G299" s="33" t="s">
        <v>2524</v>
      </c>
      <c r="H299" s="34">
        <v>15</v>
      </c>
      <c r="I299" s="34">
        <v>14</v>
      </c>
      <c r="J299" s="34">
        <v>73</v>
      </c>
      <c r="K299" s="34">
        <v>80</v>
      </c>
      <c r="L299" s="220">
        <f t="shared" si="15"/>
        <v>182</v>
      </c>
    </row>
    <row r="300" spans="1:12" x14ac:dyDescent="0.35">
      <c r="A300" s="314"/>
      <c r="B300" s="311"/>
      <c r="C300" s="6" t="s">
        <v>1623</v>
      </c>
      <c r="D300" s="6" t="s">
        <v>2180</v>
      </c>
      <c r="E300" s="6" t="s">
        <v>2251</v>
      </c>
      <c r="F300" s="6" t="s">
        <v>2523</v>
      </c>
      <c r="G300" s="6" t="s">
        <v>2525</v>
      </c>
      <c r="H300" s="34">
        <v>6</v>
      </c>
      <c r="I300" s="34">
        <v>6</v>
      </c>
      <c r="J300" s="34">
        <v>39</v>
      </c>
      <c r="K300" s="34">
        <v>19</v>
      </c>
      <c r="L300" s="220">
        <f t="shared" si="15"/>
        <v>70</v>
      </c>
    </row>
    <row r="301" spans="1:12" x14ac:dyDescent="0.35">
      <c r="A301" s="314"/>
      <c r="B301" s="311"/>
      <c r="C301" s="6" t="s">
        <v>1623</v>
      </c>
      <c r="D301" s="6" t="s">
        <v>2180</v>
      </c>
      <c r="E301" s="6" t="s">
        <v>2251</v>
      </c>
      <c r="F301" s="6" t="s">
        <v>2523</v>
      </c>
      <c r="G301" s="6" t="s">
        <v>2525</v>
      </c>
      <c r="H301" s="6">
        <v>9</v>
      </c>
      <c r="I301" s="34">
        <v>23</v>
      </c>
      <c r="J301" s="34">
        <v>30</v>
      </c>
      <c r="K301" s="34">
        <v>70</v>
      </c>
      <c r="L301" s="220">
        <f t="shared" si="15"/>
        <v>132</v>
      </c>
    </row>
    <row r="302" spans="1:12" x14ac:dyDescent="0.35">
      <c r="A302" s="314"/>
      <c r="B302" s="311"/>
      <c r="C302" s="6" t="s">
        <v>1623</v>
      </c>
      <c r="D302" s="6" t="s">
        <v>2180</v>
      </c>
      <c r="E302" s="6" t="s">
        <v>2251</v>
      </c>
      <c r="F302" s="6" t="s">
        <v>2523</v>
      </c>
      <c r="G302" s="6" t="s">
        <v>2526</v>
      </c>
      <c r="H302" s="34">
        <v>14</v>
      </c>
      <c r="I302" s="34">
        <v>15</v>
      </c>
      <c r="J302" s="34">
        <v>15</v>
      </c>
      <c r="K302" s="34">
        <v>12</v>
      </c>
      <c r="L302" s="220">
        <f t="shared" si="15"/>
        <v>56</v>
      </c>
    </row>
    <row r="303" spans="1:12" x14ac:dyDescent="0.35">
      <c r="A303" s="314"/>
      <c r="B303" s="311"/>
      <c r="C303" s="6" t="s">
        <v>1623</v>
      </c>
      <c r="D303" s="6" t="s">
        <v>2180</v>
      </c>
      <c r="E303" s="6" t="s">
        <v>2251</v>
      </c>
      <c r="F303" s="6" t="s">
        <v>2200</v>
      </c>
      <c r="G303" s="33" t="s">
        <v>2204</v>
      </c>
      <c r="H303" s="34">
        <v>27</v>
      </c>
      <c r="I303" s="34">
        <v>44</v>
      </c>
      <c r="J303" s="34">
        <v>69</v>
      </c>
      <c r="K303" s="34">
        <v>111</v>
      </c>
      <c r="L303" s="220">
        <f t="shared" si="15"/>
        <v>251</v>
      </c>
    </row>
    <row r="304" spans="1:12" x14ac:dyDescent="0.35">
      <c r="A304" s="314"/>
      <c r="B304" s="311"/>
      <c r="C304" s="6" t="s">
        <v>1623</v>
      </c>
      <c r="D304" s="6" t="s">
        <v>2180</v>
      </c>
      <c r="E304" s="6" t="s">
        <v>2251</v>
      </c>
      <c r="F304" s="6" t="s">
        <v>2200</v>
      </c>
      <c r="G304" s="6" t="s">
        <v>2205</v>
      </c>
      <c r="H304" s="34">
        <v>16</v>
      </c>
      <c r="I304" s="34">
        <v>17</v>
      </c>
      <c r="J304" s="34">
        <v>25</v>
      </c>
      <c r="K304" s="34">
        <v>26</v>
      </c>
      <c r="L304" s="220">
        <f t="shared" si="15"/>
        <v>84</v>
      </c>
    </row>
    <row r="305" spans="1:12" x14ac:dyDescent="0.35">
      <c r="A305" s="314"/>
      <c r="B305" s="311"/>
      <c r="C305" s="6" t="s">
        <v>1623</v>
      </c>
      <c r="D305" s="6" t="s">
        <v>2180</v>
      </c>
      <c r="E305" s="6" t="s">
        <v>2251</v>
      </c>
      <c r="F305" s="6" t="s">
        <v>2334</v>
      </c>
      <c r="G305" s="6" t="s">
        <v>2340</v>
      </c>
      <c r="H305" s="34">
        <v>4</v>
      </c>
      <c r="I305" s="34">
        <v>6</v>
      </c>
      <c r="J305" s="34">
        <v>20</v>
      </c>
      <c r="K305" s="34">
        <v>17</v>
      </c>
      <c r="L305" s="220">
        <f t="shared" si="15"/>
        <v>47</v>
      </c>
    </row>
    <row r="306" spans="1:12" x14ac:dyDescent="0.35">
      <c r="A306" s="315"/>
      <c r="B306" s="312"/>
      <c r="C306" s="188"/>
      <c r="D306" s="188"/>
      <c r="E306" s="188"/>
      <c r="F306" s="188"/>
      <c r="G306" s="227" t="s">
        <v>2</v>
      </c>
      <c r="H306" s="227">
        <f>SUM(H275:H305)</f>
        <v>309</v>
      </c>
      <c r="I306" s="227">
        <f t="shared" ref="I306:K306" si="17">SUM(I275:I305)</f>
        <v>382</v>
      </c>
      <c r="J306" s="227">
        <f t="shared" si="17"/>
        <v>1156</v>
      </c>
      <c r="K306" s="227">
        <f t="shared" si="17"/>
        <v>1373</v>
      </c>
      <c r="L306" s="225">
        <f t="shared" si="15"/>
        <v>3220</v>
      </c>
    </row>
    <row r="307" spans="1:12" x14ac:dyDescent="0.35">
      <c r="A307" s="313">
        <v>14</v>
      </c>
      <c r="B307" s="310" t="s">
        <v>3258</v>
      </c>
      <c r="C307" s="6" t="s">
        <v>1623</v>
      </c>
      <c r="D307" s="6" t="s">
        <v>2180</v>
      </c>
      <c r="E307" s="6" t="s">
        <v>2221</v>
      </c>
      <c r="F307" s="6" t="s">
        <v>2556</v>
      </c>
      <c r="G307" s="6" t="s">
        <v>2559</v>
      </c>
      <c r="H307" s="6">
        <v>15</v>
      </c>
      <c r="I307" s="6">
        <v>35</v>
      </c>
      <c r="J307" s="6">
        <v>75</v>
      </c>
      <c r="K307" s="6">
        <v>120</v>
      </c>
      <c r="L307" s="220">
        <f t="shared" si="15"/>
        <v>245</v>
      </c>
    </row>
    <row r="308" spans="1:12" x14ac:dyDescent="0.35">
      <c r="A308" s="314"/>
      <c r="B308" s="311"/>
      <c r="C308" s="6" t="s">
        <v>1623</v>
      </c>
      <c r="D308" s="6" t="s">
        <v>2180</v>
      </c>
      <c r="E308" s="6" t="s">
        <v>2221</v>
      </c>
      <c r="F308" s="6" t="s">
        <v>2569</v>
      </c>
      <c r="G308" s="6" t="s">
        <v>2571</v>
      </c>
      <c r="H308" s="34">
        <v>6</v>
      </c>
      <c r="I308" s="34">
        <v>9</v>
      </c>
      <c r="J308" s="34">
        <v>28</v>
      </c>
      <c r="K308" s="34">
        <v>33</v>
      </c>
      <c r="L308" s="220">
        <f t="shared" si="15"/>
        <v>76</v>
      </c>
    </row>
    <row r="309" spans="1:12" x14ac:dyDescent="0.35">
      <c r="A309" s="314"/>
      <c r="B309" s="311"/>
      <c r="C309" s="6" t="s">
        <v>1623</v>
      </c>
      <c r="D309" s="6" t="s">
        <v>2180</v>
      </c>
      <c r="E309" s="6" t="s">
        <v>2180</v>
      </c>
      <c r="F309" s="6"/>
      <c r="G309" s="33" t="s">
        <v>2576</v>
      </c>
      <c r="H309" s="34">
        <v>22</v>
      </c>
      <c r="I309" s="34">
        <v>25</v>
      </c>
      <c r="J309" s="34">
        <v>44</v>
      </c>
      <c r="K309" s="34">
        <v>55</v>
      </c>
      <c r="L309" s="220">
        <f t="shared" si="15"/>
        <v>146</v>
      </c>
    </row>
    <row r="310" spans="1:12" x14ac:dyDescent="0.35">
      <c r="A310" s="314"/>
      <c r="B310" s="311"/>
      <c r="C310" s="6" t="s">
        <v>1623</v>
      </c>
      <c r="D310" s="6" t="s">
        <v>2180</v>
      </c>
      <c r="E310" s="6" t="s">
        <v>2221</v>
      </c>
      <c r="F310" s="6" t="s">
        <v>2222</v>
      </c>
      <c r="G310" s="33" t="s">
        <v>2223</v>
      </c>
      <c r="H310" s="34">
        <v>2</v>
      </c>
      <c r="I310" s="34">
        <v>3</v>
      </c>
      <c r="J310" s="34">
        <v>23</v>
      </c>
      <c r="K310" s="34">
        <v>37</v>
      </c>
      <c r="L310" s="220">
        <f t="shared" si="15"/>
        <v>65</v>
      </c>
    </row>
    <row r="311" spans="1:12" x14ac:dyDescent="0.35">
      <c r="A311" s="314"/>
      <c r="B311" s="311"/>
      <c r="C311" s="6" t="s">
        <v>1623</v>
      </c>
      <c r="D311" s="6" t="s">
        <v>2180</v>
      </c>
      <c r="E311" s="6" t="s">
        <v>2221</v>
      </c>
      <c r="F311" s="6" t="s">
        <v>2479</v>
      </c>
      <c r="G311" s="6" t="s">
        <v>2480</v>
      </c>
      <c r="H311" s="6">
        <v>22</v>
      </c>
      <c r="I311" s="6">
        <v>15</v>
      </c>
      <c r="J311" s="6">
        <v>70</v>
      </c>
      <c r="K311" s="6">
        <v>57</v>
      </c>
      <c r="L311" s="220">
        <f t="shared" si="15"/>
        <v>164</v>
      </c>
    </row>
    <row r="312" spans="1:12" x14ac:dyDescent="0.35">
      <c r="A312" s="314"/>
      <c r="B312" s="311"/>
      <c r="C312" s="6" t="s">
        <v>1623</v>
      </c>
      <c r="D312" s="6" t="s">
        <v>2180</v>
      </c>
      <c r="E312" s="6" t="s">
        <v>2221</v>
      </c>
      <c r="F312" s="6" t="s">
        <v>2479</v>
      </c>
      <c r="G312" s="6" t="s">
        <v>1963</v>
      </c>
      <c r="H312" s="34">
        <v>13</v>
      </c>
      <c r="I312" s="34">
        <v>7</v>
      </c>
      <c r="J312" s="34">
        <v>32</v>
      </c>
      <c r="K312" s="34">
        <v>25</v>
      </c>
      <c r="L312" s="220">
        <f t="shared" si="15"/>
        <v>77</v>
      </c>
    </row>
    <row r="313" spans="1:12" x14ac:dyDescent="0.35">
      <c r="A313" s="314"/>
      <c r="B313" s="311"/>
      <c r="C313" s="6" t="s">
        <v>1623</v>
      </c>
      <c r="D313" s="6" t="s">
        <v>2180</v>
      </c>
      <c r="E313" s="6" t="s">
        <v>2221</v>
      </c>
      <c r="F313" s="6" t="s">
        <v>2479</v>
      </c>
      <c r="G313" s="6" t="s">
        <v>2481</v>
      </c>
      <c r="H313" s="6">
        <v>17</v>
      </c>
      <c r="I313" s="6">
        <v>56</v>
      </c>
      <c r="J313" s="6">
        <v>56</v>
      </c>
      <c r="K313" s="6">
        <v>70</v>
      </c>
      <c r="L313" s="220">
        <f t="shared" si="15"/>
        <v>199</v>
      </c>
    </row>
    <row r="314" spans="1:12" x14ac:dyDescent="0.35">
      <c r="A314" s="314"/>
      <c r="B314" s="311"/>
      <c r="C314" s="6" t="s">
        <v>1623</v>
      </c>
      <c r="D314" s="6" t="s">
        <v>2180</v>
      </c>
      <c r="E314" s="6" t="s">
        <v>2221</v>
      </c>
      <c r="F314" s="6" t="s">
        <v>2479</v>
      </c>
      <c r="G314" s="6" t="s">
        <v>2482</v>
      </c>
      <c r="H314" s="6">
        <v>21</v>
      </c>
      <c r="I314" s="6">
        <v>24</v>
      </c>
      <c r="J314" s="6">
        <v>98</v>
      </c>
      <c r="K314" s="6">
        <v>117</v>
      </c>
      <c r="L314" s="220">
        <f t="shared" si="15"/>
        <v>260</v>
      </c>
    </row>
    <row r="315" spans="1:12" x14ac:dyDescent="0.35">
      <c r="A315" s="314"/>
      <c r="B315" s="311"/>
      <c r="C315" s="6" t="s">
        <v>1623</v>
      </c>
      <c r="D315" s="6" t="s">
        <v>2180</v>
      </c>
      <c r="E315" s="6" t="s">
        <v>2221</v>
      </c>
      <c r="F315" s="6" t="s">
        <v>2556</v>
      </c>
      <c r="G315" s="6" t="s">
        <v>2557</v>
      </c>
      <c r="H315" s="6">
        <v>25</v>
      </c>
      <c r="I315" s="6">
        <v>21</v>
      </c>
      <c r="J315" s="6">
        <v>64</v>
      </c>
      <c r="K315" s="6">
        <v>76</v>
      </c>
      <c r="L315" s="220">
        <f t="shared" si="15"/>
        <v>186</v>
      </c>
    </row>
    <row r="316" spans="1:12" x14ac:dyDescent="0.35">
      <c r="A316" s="314"/>
      <c r="B316" s="311"/>
      <c r="C316" s="6" t="s">
        <v>1623</v>
      </c>
      <c r="D316" s="6" t="s">
        <v>2180</v>
      </c>
      <c r="E316" s="6" t="s">
        <v>2221</v>
      </c>
      <c r="F316" s="6" t="s">
        <v>2556</v>
      </c>
      <c r="G316" s="33" t="s">
        <v>2560</v>
      </c>
      <c r="H316" s="34">
        <v>10</v>
      </c>
      <c r="I316" s="34">
        <v>10</v>
      </c>
      <c r="J316" s="34">
        <v>22</v>
      </c>
      <c r="K316" s="34">
        <v>30</v>
      </c>
      <c r="L316" s="220">
        <f t="shared" si="15"/>
        <v>72</v>
      </c>
    </row>
    <row r="317" spans="1:12" x14ac:dyDescent="0.35">
      <c r="A317" s="314"/>
      <c r="B317" s="311"/>
      <c r="C317" s="6" t="s">
        <v>1623</v>
      </c>
      <c r="D317" s="6" t="s">
        <v>2180</v>
      </c>
      <c r="E317" s="6" t="s">
        <v>2221</v>
      </c>
      <c r="F317" s="6" t="s">
        <v>2556</v>
      </c>
      <c r="G317" s="6" t="s">
        <v>2561</v>
      </c>
      <c r="H317" s="6">
        <v>12</v>
      </c>
      <c r="I317" s="6">
        <v>11</v>
      </c>
      <c r="J317" s="6">
        <v>22</v>
      </c>
      <c r="K317" s="6">
        <v>50</v>
      </c>
      <c r="L317" s="220">
        <f t="shared" si="15"/>
        <v>95</v>
      </c>
    </row>
    <row r="318" spans="1:12" x14ac:dyDescent="0.35">
      <c r="A318" s="314"/>
      <c r="B318" s="311"/>
      <c r="C318" s="6" t="s">
        <v>1623</v>
      </c>
      <c r="D318" s="6" t="s">
        <v>2180</v>
      </c>
      <c r="E318" s="6" t="s">
        <v>2221</v>
      </c>
      <c r="F318" s="6" t="s">
        <v>2556</v>
      </c>
      <c r="G318" s="6" t="s">
        <v>2562</v>
      </c>
      <c r="H318" s="6">
        <v>14</v>
      </c>
      <c r="I318" s="6">
        <v>85</v>
      </c>
      <c r="J318" s="6">
        <v>85</v>
      </c>
      <c r="K318" s="6">
        <v>93</v>
      </c>
      <c r="L318" s="220">
        <f t="shared" si="15"/>
        <v>277</v>
      </c>
    </row>
    <row r="319" spans="1:12" x14ac:dyDescent="0.35">
      <c r="A319" s="314"/>
      <c r="B319" s="311"/>
      <c r="C319" s="6" t="s">
        <v>1623</v>
      </c>
      <c r="D319" s="6" t="s">
        <v>2180</v>
      </c>
      <c r="E319" s="6" t="s">
        <v>2221</v>
      </c>
      <c r="F319" s="6" t="s">
        <v>2569</v>
      </c>
      <c r="G319" s="6" t="s">
        <v>2570</v>
      </c>
      <c r="H319" s="6">
        <v>20</v>
      </c>
      <c r="I319" s="6">
        <v>15</v>
      </c>
      <c r="J319" s="6">
        <v>53</v>
      </c>
      <c r="K319" s="6">
        <v>67</v>
      </c>
      <c r="L319" s="220">
        <f t="shared" si="15"/>
        <v>155</v>
      </c>
    </row>
    <row r="320" spans="1:12" x14ac:dyDescent="0.35">
      <c r="A320" s="314"/>
      <c r="B320" s="311"/>
      <c r="C320" s="6" t="s">
        <v>1623</v>
      </c>
      <c r="D320" s="6" t="s">
        <v>2180</v>
      </c>
      <c r="E320" s="6" t="s">
        <v>2221</v>
      </c>
      <c r="F320" s="6" t="s">
        <v>2569</v>
      </c>
      <c r="G320" s="6" t="s">
        <v>2572</v>
      </c>
      <c r="H320" s="6">
        <v>13</v>
      </c>
      <c r="I320" s="6">
        <v>10</v>
      </c>
      <c r="J320" s="6">
        <v>66</v>
      </c>
      <c r="K320" s="6">
        <v>73</v>
      </c>
      <c r="L320" s="220">
        <f t="shared" si="15"/>
        <v>162</v>
      </c>
    </row>
    <row r="321" spans="1:12" x14ac:dyDescent="0.35">
      <c r="A321" s="314"/>
      <c r="B321" s="311"/>
      <c r="C321" s="6" t="s">
        <v>1623</v>
      </c>
      <c r="D321" s="6" t="s">
        <v>2180</v>
      </c>
      <c r="E321" s="6" t="s">
        <v>2221</v>
      </c>
      <c r="F321" s="6" t="s">
        <v>2569</v>
      </c>
      <c r="G321" s="6" t="s">
        <v>2573</v>
      </c>
      <c r="H321" s="6">
        <v>16</v>
      </c>
      <c r="I321" s="6">
        <v>25</v>
      </c>
      <c r="J321" s="6">
        <v>58</v>
      </c>
      <c r="K321" s="6">
        <v>72</v>
      </c>
      <c r="L321" s="220">
        <f t="shared" si="15"/>
        <v>171</v>
      </c>
    </row>
    <row r="322" spans="1:12" x14ac:dyDescent="0.35">
      <c r="A322" s="314"/>
      <c r="B322" s="311"/>
      <c r="C322" s="6" t="s">
        <v>1623</v>
      </c>
      <c r="D322" s="6" t="s">
        <v>2180</v>
      </c>
      <c r="E322" s="6" t="s">
        <v>2221</v>
      </c>
      <c r="F322" s="6" t="s">
        <v>2569</v>
      </c>
      <c r="G322" s="6" t="s">
        <v>2577</v>
      </c>
      <c r="H322" s="6">
        <v>75</v>
      </c>
      <c r="I322" s="6">
        <v>46</v>
      </c>
      <c r="J322" s="6">
        <v>75</v>
      </c>
      <c r="K322" s="6">
        <v>46</v>
      </c>
      <c r="L322" s="220">
        <f t="shared" si="15"/>
        <v>242</v>
      </c>
    </row>
    <row r="323" spans="1:12" x14ac:dyDescent="0.35">
      <c r="A323" s="314"/>
      <c r="B323" s="311"/>
      <c r="C323" s="6" t="s">
        <v>1623</v>
      </c>
      <c r="D323" s="6" t="s">
        <v>2180</v>
      </c>
      <c r="E323" s="6" t="s">
        <v>2221</v>
      </c>
      <c r="F323" s="6" t="s">
        <v>2222</v>
      </c>
      <c r="G323" s="33" t="s">
        <v>2224</v>
      </c>
      <c r="H323" s="34">
        <v>10</v>
      </c>
      <c r="I323" s="34">
        <v>11</v>
      </c>
      <c r="J323" s="34">
        <v>42</v>
      </c>
      <c r="K323" s="34">
        <v>467</v>
      </c>
      <c r="L323" s="220">
        <f t="shared" si="15"/>
        <v>530</v>
      </c>
    </row>
    <row r="324" spans="1:12" x14ac:dyDescent="0.35">
      <c r="A324" s="314"/>
      <c r="B324" s="311"/>
      <c r="C324" s="6" t="s">
        <v>1623</v>
      </c>
      <c r="D324" s="6" t="s">
        <v>2180</v>
      </c>
      <c r="E324" s="6" t="s">
        <v>2211</v>
      </c>
      <c r="F324" s="6" t="s">
        <v>2527</v>
      </c>
      <c r="G324" s="33" t="s">
        <v>2529</v>
      </c>
      <c r="H324" s="34">
        <v>10</v>
      </c>
      <c r="I324" s="34">
        <v>11</v>
      </c>
      <c r="J324" s="34">
        <v>71</v>
      </c>
      <c r="K324" s="34">
        <v>67</v>
      </c>
      <c r="L324" s="220">
        <f t="shared" si="15"/>
        <v>159</v>
      </c>
    </row>
    <row r="325" spans="1:12" x14ac:dyDescent="0.35">
      <c r="A325" s="314"/>
      <c r="B325" s="311"/>
      <c r="C325" s="6" t="s">
        <v>1623</v>
      </c>
      <c r="D325" s="6" t="s">
        <v>2180</v>
      </c>
      <c r="E325" s="6" t="s">
        <v>2211</v>
      </c>
      <c r="F325" s="6" t="s">
        <v>2527</v>
      </c>
      <c r="G325" s="33" t="s">
        <v>1956</v>
      </c>
      <c r="H325" s="34">
        <v>17</v>
      </c>
      <c r="I325" s="34">
        <v>15</v>
      </c>
      <c r="J325" s="34">
        <v>115</v>
      </c>
      <c r="K325" s="34">
        <v>132</v>
      </c>
      <c r="L325" s="220">
        <f t="shared" si="15"/>
        <v>279</v>
      </c>
    </row>
    <row r="326" spans="1:12" x14ac:dyDescent="0.35">
      <c r="A326" s="314"/>
      <c r="B326" s="311"/>
      <c r="C326" s="6" t="s">
        <v>1623</v>
      </c>
      <c r="D326" s="6" t="s">
        <v>2180</v>
      </c>
      <c r="E326" s="6" t="s">
        <v>2221</v>
      </c>
      <c r="F326" s="6" t="s">
        <v>2556</v>
      </c>
      <c r="G326" s="33" t="s">
        <v>2558</v>
      </c>
      <c r="H326" s="34">
        <v>16</v>
      </c>
      <c r="I326" s="34">
        <v>16</v>
      </c>
      <c r="J326" s="34">
        <v>20</v>
      </c>
      <c r="K326" s="34">
        <v>30</v>
      </c>
      <c r="L326" s="220">
        <f t="shared" ref="L326:L389" si="18">H326+I326+J326+K326</f>
        <v>82</v>
      </c>
    </row>
    <row r="327" spans="1:12" x14ac:dyDescent="0.35">
      <c r="A327" s="315"/>
      <c r="B327" s="312"/>
      <c r="C327" s="188"/>
      <c r="D327" s="188"/>
      <c r="E327" s="188"/>
      <c r="F327" s="188"/>
      <c r="G327" s="227" t="s">
        <v>2</v>
      </c>
      <c r="H327" s="227">
        <f>SUM(H307:H326)</f>
        <v>356</v>
      </c>
      <c r="I327" s="227">
        <f t="shared" ref="I327:K327" si="19">SUM(I307:I326)</f>
        <v>450</v>
      </c>
      <c r="J327" s="227">
        <f t="shared" si="19"/>
        <v>1119</v>
      </c>
      <c r="K327" s="227">
        <f t="shared" si="19"/>
        <v>1717</v>
      </c>
      <c r="L327" s="225">
        <f t="shared" si="18"/>
        <v>3642</v>
      </c>
    </row>
    <row r="328" spans="1:12" x14ac:dyDescent="0.35">
      <c r="A328" s="313">
        <v>15</v>
      </c>
      <c r="B328" s="310" t="s">
        <v>3319</v>
      </c>
      <c r="C328" s="6" t="s">
        <v>1623</v>
      </c>
      <c r="D328" s="6" t="s">
        <v>2180</v>
      </c>
      <c r="E328" s="6" t="s">
        <v>2355</v>
      </c>
      <c r="F328" s="6" t="s">
        <v>413</v>
      </c>
      <c r="G328" s="33" t="s">
        <v>2491</v>
      </c>
      <c r="H328" s="34">
        <v>24</v>
      </c>
      <c r="I328" s="34">
        <v>14</v>
      </c>
      <c r="J328" s="34">
        <v>74</v>
      </c>
      <c r="K328" s="34">
        <v>76</v>
      </c>
      <c r="L328" s="220">
        <f t="shared" si="18"/>
        <v>188</v>
      </c>
    </row>
    <row r="329" spans="1:12" ht="15.75" customHeight="1" x14ac:dyDescent="0.35">
      <c r="A329" s="314"/>
      <c r="B329" s="311"/>
      <c r="C329" s="6" t="s">
        <v>1623</v>
      </c>
      <c r="D329" s="6" t="s">
        <v>2180</v>
      </c>
      <c r="E329" s="6" t="s">
        <v>2232</v>
      </c>
      <c r="F329" s="6" t="s">
        <v>2429</v>
      </c>
      <c r="G329" s="33" t="s">
        <v>2430</v>
      </c>
      <c r="H329" s="34">
        <v>12</v>
      </c>
      <c r="I329" s="34">
        <v>10</v>
      </c>
      <c r="J329" s="34">
        <v>24</v>
      </c>
      <c r="K329" s="34">
        <v>26</v>
      </c>
      <c r="L329" s="220">
        <f t="shared" si="18"/>
        <v>72</v>
      </c>
    </row>
    <row r="330" spans="1:12" ht="15.75" customHeight="1" x14ac:dyDescent="0.35">
      <c r="A330" s="314"/>
      <c r="B330" s="311"/>
      <c r="C330" s="6" t="s">
        <v>1623</v>
      </c>
      <c r="D330" s="6" t="s">
        <v>2180</v>
      </c>
      <c r="E330" s="6" t="s">
        <v>2232</v>
      </c>
      <c r="F330" s="6" t="s">
        <v>413</v>
      </c>
      <c r="G330" s="33" t="s">
        <v>2492</v>
      </c>
      <c r="H330" s="34">
        <v>15</v>
      </c>
      <c r="I330" s="34">
        <v>6</v>
      </c>
      <c r="J330" s="34">
        <v>29</v>
      </c>
      <c r="K330" s="34">
        <v>23</v>
      </c>
      <c r="L330" s="220">
        <f t="shared" si="18"/>
        <v>73</v>
      </c>
    </row>
    <row r="331" spans="1:12" ht="15.75" customHeight="1" x14ac:dyDescent="0.35">
      <c r="A331" s="314"/>
      <c r="B331" s="311"/>
      <c r="C331" s="6" t="s">
        <v>1623</v>
      </c>
      <c r="D331" s="6" t="s">
        <v>2180</v>
      </c>
      <c r="E331" s="6" t="s">
        <v>2232</v>
      </c>
      <c r="F331" s="6" t="s">
        <v>413</v>
      </c>
      <c r="G331" s="33" t="s">
        <v>2492</v>
      </c>
      <c r="H331" s="34">
        <v>12</v>
      </c>
      <c r="I331" s="34">
        <v>19</v>
      </c>
      <c r="J331" s="34">
        <v>44</v>
      </c>
      <c r="K331" s="34">
        <v>43</v>
      </c>
      <c r="L331" s="220">
        <f t="shared" si="18"/>
        <v>118</v>
      </c>
    </row>
    <row r="332" spans="1:12" ht="15.75" customHeight="1" x14ac:dyDescent="0.35">
      <c r="A332" s="314"/>
      <c r="B332" s="311"/>
      <c r="C332" s="6" t="s">
        <v>1623</v>
      </c>
      <c r="D332" s="6" t="s">
        <v>2180</v>
      </c>
      <c r="E332" s="6" t="s">
        <v>2232</v>
      </c>
      <c r="F332" s="6" t="s">
        <v>2551</v>
      </c>
      <c r="G332" s="33" t="s">
        <v>2555</v>
      </c>
      <c r="H332" s="34">
        <v>10</v>
      </c>
      <c r="I332" s="34">
        <v>7</v>
      </c>
      <c r="J332" s="34">
        <v>26</v>
      </c>
      <c r="K332" s="34">
        <v>37</v>
      </c>
      <c r="L332" s="220">
        <f t="shared" si="18"/>
        <v>80</v>
      </c>
    </row>
    <row r="333" spans="1:12" ht="15.75" customHeight="1" x14ac:dyDescent="0.35">
      <c r="A333" s="314"/>
      <c r="B333" s="311"/>
      <c r="C333" s="6" t="s">
        <v>1623</v>
      </c>
      <c r="D333" s="6" t="s">
        <v>2180</v>
      </c>
      <c r="E333" s="6" t="s">
        <v>2232</v>
      </c>
      <c r="F333" s="6" t="s">
        <v>413</v>
      </c>
      <c r="G333" s="33" t="s">
        <v>466</v>
      </c>
      <c r="H333" s="34">
        <v>13</v>
      </c>
      <c r="I333" s="34">
        <v>27</v>
      </c>
      <c r="J333" s="34">
        <v>69</v>
      </c>
      <c r="K333" s="34">
        <v>50</v>
      </c>
      <c r="L333" s="220">
        <f t="shared" si="18"/>
        <v>159</v>
      </c>
    </row>
    <row r="334" spans="1:12" x14ac:dyDescent="0.35">
      <c r="A334" s="314"/>
      <c r="B334" s="311"/>
      <c r="C334" s="6" t="s">
        <v>1623</v>
      </c>
      <c r="D334" s="6" t="s">
        <v>2180</v>
      </c>
      <c r="E334" s="6" t="s">
        <v>2232</v>
      </c>
      <c r="F334" s="6" t="s">
        <v>2551</v>
      </c>
      <c r="G334" s="33" t="s">
        <v>2552</v>
      </c>
      <c r="H334" s="34">
        <v>16</v>
      </c>
      <c r="I334" s="34">
        <v>20</v>
      </c>
      <c r="J334" s="34">
        <v>31</v>
      </c>
      <c r="K334" s="34">
        <v>34</v>
      </c>
      <c r="L334" s="220">
        <f t="shared" si="18"/>
        <v>101</v>
      </c>
    </row>
    <row r="335" spans="1:12" x14ac:dyDescent="0.35">
      <c r="A335" s="314"/>
      <c r="B335" s="311"/>
      <c r="C335" s="6" t="s">
        <v>1623</v>
      </c>
      <c r="D335" s="6" t="s">
        <v>2180</v>
      </c>
      <c r="E335" s="6" t="s">
        <v>2232</v>
      </c>
      <c r="F335" s="6" t="s">
        <v>2551</v>
      </c>
      <c r="G335" s="6" t="s">
        <v>2553</v>
      </c>
      <c r="H335" s="34">
        <v>18</v>
      </c>
      <c r="I335" s="34">
        <v>17</v>
      </c>
      <c r="J335" s="34">
        <v>60</v>
      </c>
      <c r="K335" s="34">
        <v>50</v>
      </c>
      <c r="L335" s="220">
        <f t="shared" si="18"/>
        <v>145</v>
      </c>
    </row>
    <row r="336" spans="1:12" x14ac:dyDescent="0.35">
      <c r="A336" s="314"/>
      <c r="B336" s="311"/>
      <c r="C336" s="6" t="s">
        <v>1623</v>
      </c>
      <c r="D336" s="6" t="s">
        <v>2180</v>
      </c>
      <c r="E336" s="6" t="s">
        <v>2232</v>
      </c>
      <c r="F336" s="6" t="s">
        <v>2551</v>
      </c>
      <c r="G336" s="33" t="s">
        <v>2554</v>
      </c>
      <c r="H336" s="34">
        <v>10</v>
      </c>
      <c r="I336" s="34">
        <v>9</v>
      </c>
      <c r="J336" s="34">
        <v>91</v>
      </c>
      <c r="K336" s="34">
        <v>86</v>
      </c>
      <c r="L336" s="220">
        <f t="shared" si="18"/>
        <v>196</v>
      </c>
    </row>
    <row r="337" spans="1:12" x14ac:dyDescent="0.35">
      <c r="A337" s="315"/>
      <c r="B337" s="312"/>
      <c r="C337" s="188"/>
      <c r="D337" s="188"/>
      <c r="E337" s="188"/>
      <c r="F337" s="188"/>
      <c r="G337" s="227" t="s">
        <v>2</v>
      </c>
      <c r="H337" s="227">
        <f>SUM(H328:H336)</f>
        <v>130</v>
      </c>
      <c r="I337" s="227">
        <f t="shared" ref="I337:K337" si="20">SUM(I328:I336)</f>
        <v>129</v>
      </c>
      <c r="J337" s="227">
        <f t="shared" si="20"/>
        <v>448</v>
      </c>
      <c r="K337" s="227">
        <f t="shared" si="20"/>
        <v>425</v>
      </c>
      <c r="L337" s="225">
        <f t="shared" si="18"/>
        <v>1132</v>
      </c>
    </row>
    <row r="338" spans="1:12" x14ac:dyDescent="0.35">
      <c r="A338" s="313">
        <v>16</v>
      </c>
      <c r="B338" s="310" t="s">
        <v>3260</v>
      </c>
      <c r="C338" s="6" t="s">
        <v>1623</v>
      </c>
      <c r="D338" s="6" t="s">
        <v>2180</v>
      </c>
      <c r="E338" s="6" t="s">
        <v>2199</v>
      </c>
      <c r="F338" s="6" t="s">
        <v>2404</v>
      </c>
      <c r="G338" s="33" t="s">
        <v>2406</v>
      </c>
      <c r="H338" s="34">
        <v>4</v>
      </c>
      <c r="I338" s="34">
        <v>7</v>
      </c>
      <c r="J338" s="34">
        <v>23</v>
      </c>
      <c r="K338" s="34">
        <v>37</v>
      </c>
      <c r="L338" s="220">
        <f t="shared" si="18"/>
        <v>71</v>
      </c>
    </row>
    <row r="339" spans="1:12" x14ac:dyDescent="0.35">
      <c r="A339" s="314"/>
      <c r="B339" s="311"/>
      <c r="C339" s="6" t="s">
        <v>1623</v>
      </c>
      <c r="D339" s="6" t="s">
        <v>2180</v>
      </c>
      <c r="E339" s="6" t="s">
        <v>2199</v>
      </c>
      <c r="F339" s="6" t="s">
        <v>2200</v>
      </c>
      <c r="G339" s="33" t="s">
        <v>2201</v>
      </c>
      <c r="H339" s="34">
        <v>6</v>
      </c>
      <c r="I339" s="34">
        <v>14</v>
      </c>
      <c r="J339" s="34">
        <v>48</v>
      </c>
      <c r="K339" s="34">
        <v>53</v>
      </c>
      <c r="L339" s="220">
        <f t="shared" si="18"/>
        <v>121</v>
      </c>
    </row>
    <row r="340" spans="1:12" x14ac:dyDescent="0.35">
      <c r="A340" s="314"/>
      <c r="B340" s="311"/>
      <c r="C340" s="6" t="s">
        <v>1623</v>
      </c>
      <c r="D340" s="6" t="s">
        <v>2180</v>
      </c>
      <c r="E340" s="6" t="s">
        <v>2199</v>
      </c>
      <c r="F340" s="6" t="s">
        <v>2404</v>
      </c>
      <c r="G340" s="6" t="s">
        <v>3320</v>
      </c>
      <c r="H340" s="6">
        <v>10</v>
      </c>
      <c r="I340" s="6">
        <v>20</v>
      </c>
      <c r="J340" s="6">
        <v>60</v>
      </c>
      <c r="K340" s="6">
        <v>90</v>
      </c>
      <c r="L340" s="220">
        <f t="shared" si="18"/>
        <v>180</v>
      </c>
    </row>
    <row r="341" spans="1:12" ht="15.75" customHeight="1" x14ac:dyDescent="0.35">
      <c r="A341" s="314"/>
      <c r="B341" s="311"/>
      <c r="C341" s="6" t="s">
        <v>1623</v>
      </c>
      <c r="D341" s="6" t="s">
        <v>2180</v>
      </c>
      <c r="E341" s="6" t="s">
        <v>2199</v>
      </c>
      <c r="F341" s="6" t="s">
        <v>2404</v>
      </c>
      <c r="G341" s="33" t="s">
        <v>2405</v>
      </c>
      <c r="H341" s="34">
        <v>3</v>
      </c>
      <c r="I341" s="34">
        <v>6</v>
      </c>
      <c r="J341" s="34">
        <v>22</v>
      </c>
      <c r="K341" s="34">
        <v>36</v>
      </c>
      <c r="L341" s="220">
        <f t="shared" si="18"/>
        <v>67</v>
      </c>
    </row>
    <row r="342" spans="1:12" ht="15.75" customHeight="1" x14ac:dyDescent="0.35">
      <c r="A342" s="314"/>
      <c r="B342" s="311"/>
      <c r="C342" s="6" t="s">
        <v>1623</v>
      </c>
      <c r="D342" s="6" t="s">
        <v>2180</v>
      </c>
      <c r="E342" s="6" t="s">
        <v>2199</v>
      </c>
      <c r="F342" s="6" t="s">
        <v>2508</v>
      </c>
      <c r="G342" s="33" t="s">
        <v>2098</v>
      </c>
      <c r="H342" s="34">
        <v>8</v>
      </c>
      <c r="I342" s="34">
        <v>16</v>
      </c>
      <c r="J342" s="34">
        <v>30</v>
      </c>
      <c r="K342" s="34">
        <v>33</v>
      </c>
      <c r="L342" s="220">
        <f t="shared" si="18"/>
        <v>87</v>
      </c>
    </row>
    <row r="343" spans="1:12" ht="15.75" customHeight="1" x14ac:dyDescent="0.35">
      <c r="A343" s="314"/>
      <c r="B343" s="311"/>
      <c r="C343" s="6" t="s">
        <v>1623</v>
      </c>
      <c r="D343" s="6" t="s">
        <v>2180</v>
      </c>
      <c r="E343" s="6" t="s">
        <v>2199</v>
      </c>
      <c r="F343" s="6" t="s">
        <v>2508</v>
      </c>
      <c r="G343" s="33" t="s">
        <v>2098</v>
      </c>
      <c r="H343" s="34">
        <v>39</v>
      </c>
      <c r="I343" s="34">
        <v>47</v>
      </c>
      <c r="J343" s="34">
        <v>59</v>
      </c>
      <c r="K343" s="34">
        <v>70</v>
      </c>
      <c r="L343" s="220">
        <f t="shared" si="18"/>
        <v>215</v>
      </c>
    </row>
    <row r="344" spans="1:12" ht="15.75" customHeight="1" x14ac:dyDescent="0.35">
      <c r="A344" s="314"/>
      <c r="B344" s="311"/>
      <c r="C344" s="6" t="s">
        <v>1623</v>
      </c>
      <c r="D344" s="6" t="s">
        <v>2180</v>
      </c>
      <c r="E344" s="6" t="s">
        <v>2199</v>
      </c>
      <c r="F344" s="6" t="s">
        <v>2508</v>
      </c>
      <c r="G344" s="33" t="s">
        <v>2515</v>
      </c>
      <c r="H344" s="34">
        <v>16</v>
      </c>
      <c r="I344" s="34">
        <v>17</v>
      </c>
      <c r="J344" s="34">
        <v>67</v>
      </c>
      <c r="K344" s="34">
        <v>40</v>
      </c>
      <c r="L344" s="220">
        <f t="shared" si="18"/>
        <v>140</v>
      </c>
    </row>
    <row r="345" spans="1:12" ht="15.75" customHeight="1" x14ac:dyDescent="0.35">
      <c r="A345" s="314"/>
      <c r="B345" s="311"/>
      <c r="C345" s="6" t="s">
        <v>1623</v>
      </c>
      <c r="D345" s="6" t="s">
        <v>2180</v>
      </c>
      <c r="E345" s="6" t="s">
        <v>2199</v>
      </c>
      <c r="F345" s="6" t="s">
        <v>2508</v>
      </c>
      <c r="G345" s="6" t="s">
        <v>2516</v>
      </c>
      <c r="H345" s="34">
        <v>10</v>
      </c>
      <c r="I345" s="34">
        <v>5</v>
      </c>
      <c r="J345" s="34">
        <v>30</v>
      </c>
      <c r="K345" s="34">
        <v>20</v>
      </c>
      <c r="L345" s="220">
        <f t="shared" si="18"/>
        <v>65</v>
      </c>
    </row>
    <row r="346" spans="1:12" x14ac:dyDescent="0.35">
      <c r="A346" s="314"/>
      <c r="B346" s="311"/>
      <c r="C346" s="6" t="s">
        <v>1623</v>
      </c>
      <c r="D346" s="6" t="s">
        <v>2180</v>
      </c>
      <c r="E346" s="6" t="s">
        <v>2199</v>
      </c>
      <c r="F346" s="6" t="s">
        <v>2200</v>
      </c>
      <c r="G346" s="33" t="s">
        <v>2202</v>
      </c>
      <c r="H346" s="34">
        <v>5</v>
      </c>
      <c r="I346" s="34">
        <v>15</v>
      </c>
      <c r="J346" s="34">
        <v>61</v>
      </c>
      <c r="K346" s="34">
        <v>89</v>
      </c>
      <c r="L346" s="220">
        <f t="shared" si="18"/>
        <v>170</v>
      </c>
    </row>
    <row r="347" spans="1:12" x14ac:dyDescent="0.35">
      <c r="A347" s="314"/>
      <c r="B347" s="311"/>
      <c r="C347" s="6" t="s">
        <v>1623</v>
      </c>
      <c r="D347" s="6" t="s">
        <v>2180</v>
      </c>
      <c r="E347" s="6" t="s">
        <v>2199</v>
      </c>
      <c r="F347" s="6" t="s">
        <v>2404</v>
      </c>
      <c r="G347" s="33" t="s">
        <v>2407</v>
      </c>
      <c r="H347" s="34">
        <v>3</v>
      </c>
      <c r="I347" s="34">
        <v>5</v>
      </c>
      <c r="J347" s="34">
        <v>19</v>
      </c>
      <c r="K347" s="34">
        <v>28</v>
      </c>
      <c r="L347" s="220">
        <f t="shared" si="18"/>
        <v>55</v>
      </c>
    </row>
    <row r="348" spans="1:12" x14ac:dyDescent="0.35">
      <c r="A348" s="314"/>
      <c r="B348" s="311"/>
      <c r="C348" s="6" t="s">
        <v>1623</v>
      </c>
      <c r="D348" s="6" t="s">
        <v>2180</v>
      </c>
      <c r="E348" s="6" t="s">
        <v>2199</v>
      </c>
      <c r="F348" s="6" t="s">
        <v>2404</v>
      </c>
      <c r="G348" s="33" t="s">
        <v>2408</v>
      </c>
      <c r="H348" s="34">
        <v>20</v>
      </c>
      <c r="I348" s="34">
        <v>27</v>
      </c>
      <c r="J348" s="34">
        <v>71</v>
      </c>
      <c r="K348" s="34">
        <v>66</v>
      </c>
      <c r="L348" s="220">
        <f t="shared" si="18"/>
        <v>184</v>
      </c>
    </row>
    <row r="349" spans="1:12" x14ac:dyDescent="0.35">
      <c r="A349" s="314"/>
      <c r="B349" s="311"/>
      <c r="C349" s="6" t="s">
        <v>1623</v>
      </c>
      <c r="D349" s="6" t="s">
        <v>2180</v>
      </c>
      <c r="E349" s="6" t="s">
        <v>2199</v>
      </c>
      <c r="F349" s="6" t="s">
        <v>2404</v>
      </c>
      <c r="G349" s="33" t="s">
        <v>2409</v>
      </c>
      <c r="H349" s="34">
        <v>6</v>
      </c>
      <c r="I349" s="34">
        <v>8</v>
      </c>
      <c r="J349" s="34">
        <v>12</v>
      </c>
      <c r="K349" s="34">
        <v>9</v>
      </c>
      <c r="L349" s="220">
        <f t="shared" si="18"/>
        <v>35</v>
      </c>
    </row>
    <row r="350" spans="1:12" x14ac:dyDescent="0.35">
      <c r="A350" s="314"/>
      <c r="B350" s="311"/>
      <c r="C350" s="6" t="s">
        <v>1623</v>
      </c>
      <c r="D350" s="6" t="s">
        <v>2180</v>
      </c>
      <c r="E350" s="6" t="s">
        <v>2199</v>
      </c>
      <c r="F350" s="6" t="s">
        <v>2404</v>
      </c>
      <c r="G350" s="33" t="s">
        <v>2410</v>
      </c>
      <c r="H350" s="34">
        <v>13</v>
      </c>
      <c r="I350" s="34">
        <v>12</v>
      </c>
      <c r="J350" s="34">
        <v>25</v>
      </c>
      <c r="K350" s="34">
        <v>32</v>
      </c>
      <c r="L350" s="220">
        <f t="shared" si="18"/>
        <v>82</v>
      </c>
    </row>
    <row r="351" spans="1:12" x14ac:dyDescent="0.35">
      <c r="A351" s="314"/>
      <c r="B351" s="311"/>
      <c r="C351" s="6" t="s">
        <v>1623</v>
      </c>
      <c r="D351" s="6" t="s">
        <v>2180</v>
      </c>
      <c r="E351" s="6" t="s">
        <v>2199</v>
      </c>
      <c r="F351" s="6" t="s">
        <v>2404</v>
      </c>
      <c r="G351" s="33" t="s">
        <v>2411</v>
      </c>
      <c r="H351" s="34">
        <v>11</v>
      </c>
      <c r="I351" s="34">
        <v>11</v>
      </c>
      <c r="J351" s="34">
        <v>32</v>
      </c>
      <c r="K351" s="34">
        <v>38</v>
      </c>
      <c r="L351" s="220">
        <f t="shared" si="18"/>
        <v>92</v>
      </c>
    </row>
    <row r="352" spans="1:12" x14ac:dyDescent="0.35">
      <c r="A352" s="314"/>
      <c r="B352" s="311"/>
      <c r="C352" s="6" t="s">
        <v>1623</v>
      </c>
      <c r="D352" s="6" t="s">
        <v>2180</v>
      </c>
      <c r="E352" s="6" t="s">
        <v>2199</v>
      </c>
      <c r="F352" s="6" t="s">
        <v>2404</v>
      </c>
      <c r="G352" s="6" t="s">
        <v>2411</v>
      </c>
      <c r="H352" s="34">
        <v>22</v>
      </c>
      <c r="I352" s="34">
        <v>23</v>
      </c>
      <c r="J352" s="34">
        <v>49</v>
      </c>
      <c r="K352" s="34">
        <v>51</v>
      </c>
      <c r="L352" s="220">
        <f t="shared" si="18"/>
        <v>145</v>
      </c>
    </row>
    <row r="353" spans="1:12" x14ac:dyDescent="0.35">
      <c r="A353" s="314"/>
      <c r="B353" s="311"/>
      <c r="C353" s="6" t="s">
        <v>1623</v>
      </c>
      <c r="D353" s="6" t="s">
        <v>2180</v>
      </c>
      <c r="E353" s="6" t="s">
        <v>2199</v>
      </c>
      <c r="F353" s="6" t="s">
        <v>2404</v>
      </c>
      <c r="G353" s="33" t="s">
        <v>247</v>
      </c>
      <c r="H353" s="34">
        <v>18</v>
      </c>
      <c r="I353" s="34">
        <v>10</v>
      </c>
      <c r="J353" s="34">
        <v>48</v>
      </c>
      <c r="K353" s="34">
        <v>67</v>
      </c>
      <c r="L353" s="220">
        <f t="shared" si="18"/>
        <v>143</v>
      </c>
    </row>
    <row r="354" spans="1:12" x14ac:dyDescent="0.35">
      <c r="A354" s="314"/>
      <c r="B354" s="311"/>
      <c r="C354" s="6" t="s">
        <v>1623</v>
      </c>
      <c r="D354" s="6" t="s">
        <v>2180</v>
      </c>
      <c r="E354" s="6" t="s">
        <v>2199</v>
      </c>
      <c r="F354" s="6" t="s">
        <v>2508</v>
      </c>
      <c r="G354" s="33" t="s">
        <v>2509</v>
      </c>
      <c r="H354" s="34">
        <v>18</v>
      </c>
      <c r="I354" s="34">
        <v>10</v>
      </c>
      <c r="J354" s="34">
        <v>72</v>
      </c>
      <c r="K354" s="34">
        <v>61</v>
      </c>
      <c r="L354" s="220">
        <f t="shared" si="18"/>
        <v>161</v>
      </c>
    </row>
    <row r="355" spans="1:12" x14ac:dyDescent="0.35">
      <c r="A355" s="314"/>
      <c r="B355" s="311"/>
      <c r="C355" s="6" t="s">
        <v>1623</v>
      </c>
      <c r="D355" s="6" t="s">
        <v>2180</v>
      </c>
      <c r="E355" s="6" t="s">
        <v>2199</v>
      </c>
      <c r="F355" s="6" t="s">
        <v>2508</v>
      </c>
      <c r="G355" s="33" t="s">
        <v>2510</v>
      </c>
      <c r="H355" s="34">
        <v>14</v>
      </c>
      <c r="I355" s="34">
        <v>41</v>
      </c>
      <c r="J355" s="34">
        <v>91</v>
      </c>
      <c r="K355" s="34">
        <v>105</v>
      </c>
      <c r="L355" s="220">
        <f t="shared" si="18"/>
        <v>251</v>
      </c>
    </row>
    <row r="356" spans="1:12" ht="29" x14ac:dyDescent="0.35">
      <c r="A356" s="314"/>
      <c r="B356" s="311"/>
      <c r="C356" s="6" t="s">
        <v>1623</v>
      </c>
      <c r="D356" s="6" t="s">
        <v>2180</v>
      </c>
      <c r="E356" s="6" t="s">
        <v>2199</v>
      </c>
      <c r="F356" s="6" t="s">
        <v>2508</v>
      </c>
      <c r="G356" s="33" t="s">
        <v>2511</v>
      </c>
      <c r="H356" s="34">
        <v>11</v>
      </c>
      <c r="I356" s="34">
        <v>9</v>
      </c>
      <c r="J356" s="34">
        <v>36</v>
      </c>
      <c r="K356" s="34">
        <v>54</v>
      </c>
      <c r="L356" s="220">
        <f t="shared" si="18"/>
        <v>110</v>
      </c>
    </row>
    <row r="357" spans="1:12" ht="29" x14ac:dyDescent="0.35">
      <c r="A357" s="314"/>
      <c r="B357" s="311"/>
      <c r="C357" s="6" t="s">
        <v>1623</v>
      </c>
      <c r="D357" s="6" t="s">
        <v>2180</v>
      </c>
      <c r="E357" s="6" t="s">
        <v>2199</v>
      </c>
      <c r="F357" s="6" t="s">
        <v>2508</v>
      </c>
      <c r="G357" s="33" t="s">
        <v>2512</v>
      </c>
      <c r="H357" s="34">
        <v>6</v>
      </c>
      <c r="I357" s="34">
        <v>7</v>
      </c>
      <c r="J357" s="34">
        <v>81</v>
      </c>
      <c r="K357" s="34">
        <v>77</v>
      </c>
      <c r="L357" s="220">
        <f t="shared" si="18"/>
        <v>171</v>
      </c>
    </row>
    <row r="358" spans="1:12" ht="29" x14ac:dyDescent="0.35">
      <c r="A358" s="314"/>
      <c r="B358" s="311"/>
      <c r="C358" s="6" t="s">
        <v>1623</v>
      </c>
      <c r="D358" s="6" t="s">
        <v>2180</v>
      </c>
      <c r="E358" s="6" t="s">
        <v>2199</v>
      </c>
      <c r="F358" s="6" t="s">
        <v>2508</v>
      </c>
      <c r="G358" s="33" t="s">
        <v>2513</v>
      </c>
      <c r="H358" s="34">
        <v>7</v>
      </c>
      <c r="I358" s="34">
        <v>20</v>
      </c>
      <c r="J358" s="34">
        <v>43</v>
      </c>
      <c r="K358" s="34">
        <v>77</v>
      </c>
      <c r="L358" s="220">
        <f t="shared" si="18"/>
        <v>147</v>
      </c>
    </row>
    <row r="359" spans="1:12" x14ac:dyDescent="0.35">
      <c r="A359" s="314"/>
      <c r="B359" s="311"/>
      <c r="C359" s="6" t="s">
        <v>1623</v>
      </c>
      <c r="D359" s="6" t="s">
        <v>2180</v>
      </c>
      <c r="E359" s="6" t="s">
        <v>2199</v>
      </c>
      <c r="F359" s="6" t="s">
        <v>2508</v>
      </c>
      <c r="G359" s="33" t="s">
        <v>307</v>
      </c>
      <c r="H359" s="34">
        <v>31</v>
      </c>
      <c r="I359" s="34">
        <v>19</v>
      </c>
      <c r="J359" s="34">
        <v>41</v>
      </c>
      <c r="K359" s="34">
        <v>59</v>
      </c>
      <c r="L359" s="220">
        <f t="shared" si="18"/>
        <v>150</v>
      </c>
    </row>
    <row r="360" spans="1:12" x14ac:dyDescent="0.35">
      <c r="A360" s="314"/>
      <c r="B360" s="311"/>
      <c r="C360" s="6" t="s">
        <v>1623</v>
      </c>
      <c r="D360" s="6" t="s">
        <v>2180</v>
      </c>
      <c r="E360" s="6" t="s">
        <v>2199</v>
      </c>
      <c r="F360" s="6" t="s">
        <v>2508</v>
      </c>
      <c r="G360" s="6" t="s">
        <v>307</v>
      </c>
      <c r="H360" s="34">
        <v>12</v>
      </c>
      <c r="I360" s="34">
        <v>13</v>
      </c>
      <c r="J360" s="34">
        <v>30</v>
      </c>
      <c r="K360" s="34">
        <v>50</v>
      </c>
      <c r="L360" s="220">
        <f t="shared" si="18"/>
        <v>105</v>
      </c>
    </row>
    <row r="361" spans="1:12" ht="29" x14ac:dyDescent="0.35">
      <c r="A361" s="314"/>
      <c r="B361" s="311"/>
      <c r="C361" s="6" t="s">
        <v>1623</v>
      </c>
      <c r="D361" s="6" t="s">
        <v>2180</v>
      </c>
      <c r="E361" s="6" t="s">
        <v>2199</v>
      </c>
      <c r="F361" s="6" t="s">
        <v>2508</v>
      </c>
      <c r="G361" s="33" t="s">
        <v>2514</v>
      </c>
      <c r="H361" s="34">
        <v>12</v>
      </c>
      <c r="I361" s="34">
        <v>20</v>
      </c>
      <c r="J361" s="34">
        <v>28</v>
      </c>
      <c r="K361" s="34">
        <v>42</v>
      </c>
      <c r="L361" s="220">
        <f t="shared" si="18"/>
        <v>102</v>
      </c>
    </row>
    <row r="362" spans="1:12" x14ac:dyDescent="0.35">
      <c r="A362" s="315"/>
      <c r="B362" s="312"/>
      <c r="C362" s="188"/>
      <c r="D362" s="188"/>
      <c r="E362" s="188"/>
      <c r="F362" s="188"/>
      <c r="G362" s="227" t="s">
        <v>2</v>
      </c>
      <c r="H362" s="227">
        <f>SUM(H338:H361)</f>
        <v>305</v>
      </c>
      <c r="I362" s="227">
        <f t="shared" ref="I362:K362" si="21">SUM(I338:I361)</f>
        <v>382</v>
      </c>
      <c r="J362" s="227">
        <f t="shared" si="21"/>
        <v>1078</v>
      </c>
      <c r="K362" s="227">
        <f t="shared" si="21"/>
        <v>1284</v>
      </c>
      <c r="L362" s="225">
        <f t="shared" si="18"/>
        <v>3049</v>
      </c>
    </row>
    <row r="363" spans="1:12" x14ac:dyDescent="0.35">
      <c r="A363" s="313">
        <v>17</v>
      </c>
      <c r="B363" s="310" t="s">
        <v>3262</v>
      </c>
      <c r="C363" s="6" t="s">
        <v>1623</v>
      </c>
      <c r="D363" s="6" t="s">
        <v>2180</v>
      </c>
      <c r="E363" s="6" t="s">
        <v>2192</v>
      </c>
      <c r="F363" s="6" t="s">
        <v>2193</v>
      </c>
      <c r="G363" s="6" t="s">
        <v>2194</v>
      </c>
      <c r="H363" s="6">
        <v>11</v>
      </c>
      <c r="I363" s="6">
        <v>10</v>
      </c>
      <c r="J363" s="34">
        <v>47</v>
      </c>
      <c r="K363" s="34">
        <v>61</v>
      </c>
      <c r="L363" s="220">
        <f t="shared" si="18"/>
        <v>129</v>
      </c>
    </row>
    <row r="364" spans="1:12" ht="29" x14ac:dyDescent="0.35">
      <c r="A364" s="314"/>
      <c r="B364" s="311"/>
      <c r="C364" s="6" t="s">
        <v>1623</v>
      </c>
      <c r="D364" s="6" t="s">
        <v>2180</v>
      </c>
      <c r="E364" s="6" t="s">
        <v>2192</v>
      </c>
      <c r="F364" s="6" t="s">
        <v>2193</v>
      </c>
      <c r="G364" s="33" t="s">
        <v>2195</v>
      </c>
      <c r="H364" s="34">
        <v>1</v>
      </c>
      <c r="I364" s="34">
        <v>3</v>
      </c>
      <c r="J364" s="34">
        <v>21</v>
      </c>
      <c r="K364" s="34">
        <v>32</v>
      </c>
      <c r="L364" s="220">
        <f t="shared" si="18"/>
        <v>57</v>
      </c>
    </row>
    <row r="365" spans="1:12" x14ac:dyDescent="0.35">
      <c r="A365" s="314"/>
      <c r="B365" s="311"/>
      <c r="C365" s="6" t="s">
        <v>1623</v>
      </c>
      <c r="D365" s="6" t="s">
        <v>2180</v>
      </c>
      <c r="E365" s="6" t="s">
        <v>2192</v>
      </c>
      <c r="F365" s="6" t="s">
        <v>2193</v>
      </c>
      <c r="G365" s="33" t="s">
        <v>2196</v>
      </c>
      <c r="H365" s="34">
        <v>4</v>
      </c>
      <c r="I365" s="34">
        <v>6</v>
      </c>
      <c r="J365" s="34">
        <v>35</v>
      </c>
      <c r="K365" s="34">
        <v>42</v>
      </c>
      <c r="L365" s="220">
        <f t="shared" si="18"/>
        <v>87</v>
      </c>
    </row>
    <row r="366" spans="1:12" x14ac:dyDescent="0.35">
      <c r="A366" s="314"/>
      <c r="B366" s="311"/>
      <c r="C366" s="6" t="s">
        <v>1623</v>
      </c>
      <c r="D366" s="6" t="s">
        <v>2180</v>
      </c>
      <c r="E366" s="6" t="s">
        <v>2192</v>
      </c>
      <c r="F366" s="6" t="s">
        <v>2193</v>
      </c>
      <c r="G366" s="33" t="s">
        <v>2197</v>
      </c>
      <c r="H366" s="34">
        <v>2</v>
      </c>
      <c r="I366" s="34">
        <v>3</v>
      </c>
      <c r="J366" s="34">
        <v>15</v>
      </c>
      <c r="K366" s="34">
        <v>20</v>
      </c>
      <c r="L366" s="220">
        <f t="shared" si="18"/>
        <v>40</v>
      </c>
    </row>
    <row r="367" spans="1:12" x14ac:dyDescent="0.35">
      <c r="A367" s="314"/>
      <c r="B367" s="311"/>
      <c r="C367" s="6" t="s">
        <v>1623</v>
      </c>
      <c r="D367" s="6" t="s">
        <v>2180</v>
      </c>
      <c r="E367" s="6" t="s">
        <v>2192</v>
      </c>
      <c r="F367" s="6" t="s">
        <v>2193</v>
      </c>
      <c r="G367" s="33" t="s">
        <v>2198</v>
      </c>
      <c r="H367" s="34">
        <v>2</v>
      </c>
      <c r="I367" s="34">
        <v>2</v>
      </c>
      <c r="J367" s="34">
        <v>18</v>
      </c>
      <c r="K367" s="34">
        <v>22</v>
      </c>
      <c r="L367" s="220">
        <f t="shared" si="18"/>
        <v>44</v>
      </c>
    </row>
    <row r="368" spans="1:12" x14ac:dyDescent="0.35">
      <c r="A368" s="314"/>
      <c r="B368" s="311"/>
      <c r="C368" s="6" t="s">
        <v>1623</v>
      </c>
      <c r="D368" s="6" t="s">
        <v>2180</v>
      </c>
      <c r="E368" s="6" t="s">
        <v>2192</v>
      </c>
      <c r="F368" s="6" t="s">
        <v>2216</v>
      </c>
      <c r="G368" s="33" t="s">
        <v>2217</v>
      </c>
      <c r="H368" s="34">
        <v>28</v>
      </c>
      <c r="I368" s="34">
        <v>22</v>
      </c>
      <c r="J368" s="34">
        <v>46</v>
      </c>
      <c r="K368" s="34">
        <v>119</v>
      </c>
      <c r="L368" s="220">
        <f t="shared" si="18"/>
        <v>215</v>
      </c>
    </row>
    <row r="369" spans="1:12" x14ac:dyDescent="0.35">
      <c r="A369" s="314"/>
      <c r="B369" s="311"/>
      <c r="C369" s="6" t="s">
        <v>1623</v>
      </c>
      <c r="D369" s="6" t="s">
        <v>2180</v>
      </c>
      <c r="E369" s="6" t="s">
        <v>2192</v>
      </c>
      <c r="F369" s="6" t="s">
        <v>2216</v>
      </c>
      <c r="G369" s="33" t="s">
        <v>2218</v>
      </c>
      <c r="H369" s="34">
        <v>4</v>
      </c>
      <c r="I369" s="34">
        <v>6</v>
      </c>
      <c r="J369" s="34">
        <v>26</v>
      </c>
      <c r="K369" s="34">
        <v>24</v>
      </c>
      <c r="L369" s="220">
        <f t="shared" si="18"/>
        <v>60</v>
      </c>
    </row>
    <row r="370" spans="1:12" x14ac:dyDescent="0.35">
      <c r="A370" s="314"/>
      <c r="B370" s="311"/>
      <c r="C370" s="6" t="s">
        <v>1623</v>
      </c>
      <c r="D370" s="6" t="s">
        <v>2180</v>
      </c>
      <c r="E370" s="6" t="s">
        <v>2192</v>
      </c>
      <c r="F370" s="6" t="s">
        <v>2216</v>
      </c>
      <c r="G370" s="33" t="s">
        <v>2219</v>
      </c>
      <c r="H370" s="34">
        <v>15</v>
      </c>
      <c r="I370" s="34">
        <v>25</v>
      </c>
      <c r="J370" s="34">
        <v>48</v>
      </c>
      <c r="K370" s="34">
        <v>72</v>
      </c>
      <c r="L370" s="220">
        <f t="shared" si="18"/>
        <v>160</v>
      </c>
    </row>
    <row r="371" spans="1:12" x14ac:dyDescent="0.35">
      <c r="A371" s="314"/>
      <c r="B371" s="311"/>
      <c r="C371" s="6" t="s">
        <v>1623</v>
      </c>
      <c r="D371" s="6" t="s">
        <v>2180</v>
      </c>
      <c r="E371" s="6" t="s">
        <v>2192</v>
      </c>
      <c r="F371" s="6" t="s">
        <v>2216</v>
      </c>
      <c r="G371" s="33" t="s">
        <v>2220</v>
      </c>
      <c r="H371" s="34">
        <v>19</v>
      </c>
      <c r="I371" s="34">
        <v>31</v>
      </c>
      <c r="J371" s="34">
        <v>24</v>
      </c>
      <c r="K371" s="34">
        <v>24</v>
      </c>
      <c r="L371" s="220">
        <f t="shared" si="18"/>
        <v>98</v>
      </c>
    </row>
    <row r="372" spans="1:12" x14ac:dyDescent="0.35">
      <c r="A372" s="314"/>
      <c r="B372" s="311"/>
      <c r="C372" s="6" t="s">
        <v>1623</v>
      </c>
      <c r="D372" s="6" t="s">
        <v>2180</v>
      </c>
      <c r="E372" s="6" t="s">
        <v>2192</v>
      </c>
      <c r="F372" s="6" t="s">
        <v>2474</v>
      </c>
      <c r="G372" s="33" t="s">
        <v>2475</v>
      </c>
      <c r="H372" s="34">
        <v>14</v>
      </c>
      <c r="I372" s="34">
        <v>11</v>
      </c>
      <c r="J372" s="34">
        <v>54</v>
      </c>
      <c r="K372" s="34">
        <v>66</v>
      </c>
      <c r="L372" s="220">
        <f t="shared" si="18"/>
        <v>145</v>
      </c>
    </row>
    <row r="373" spans="1:12" x14ac:dyDescent="0.35">
      <c r="A373" s="314"/>
      <c r="B373" s="311"/>
      <c r="C373" s="6" t="s">
        <v>1623</v>
      </c>
      <c r="D373" s="6" t="s">
        <v>2180</v>
      </c>
      <c r="E373" s="6" t="s">
        <v>2192</v>
      </c>
      <c r="F373" s="6" t="s">
        <v>2474</v>
      </c>
      <c r="G373" s="33" t="s">
        <v>2476</v>
      </c>
      <c r="H373" s="34">
        <v>15</v>
      </c>
      <c r="I373" s="34">
        <v>20</v>
      </c>
      <c r="J373" s="34">
        <v>53</v>
      </c>
      <c r="K373" s="34">
        <v>67</v>
      </c>
      <c r="L373" s="220">
        <f t="shared" si="18"/>
        <v>155</v>
      </c>
    </row>
    <row r="374" spans="1:12" x14ac:dyDescent="0.35">
      <c r="A374" s="314"/>
      <c r="B374" s="311"/>
      <c r="C374" s="6" t="s">
        <v>1623</v>
      </c>
      <c r="D374" s="6" t="s">
        <v>2180</v>
      </c>
      <c r="E374" s="6" t="s">
        <v>2192</v>
      </c>
      <c r="F374" s="6" t="s">
        <v>2474</v>
      </c>
      <c r="G374" s="33" t="s">
        <v>2477</v>
      </c>
      <c r="H374" s="34">
        <v>12</v>
      </c>
      <c r="I374" s="34">
        <v>16</v>
      </c>
      <c r="J374" s="34">
        <v>40</v>
      </c>
      <c r="K374" s="34">
        <v>60</v>
      </c>
      <c r="L374" s="220">
        <f t="shared" si="18"/>
        <v>128</v>
      </c>
    </row>
    <row r="375" spans="1:12" x14ac:dyDescent="0.35">
      <c r="A375" s="314"/>
      <c r="B375" s="311"/>
      <c r="C375" s="6" t="s">
        <v>1623</v>
      </c>
      <c r="D375" s="6" t="s">
        <v>2180</v>
      </c>
      <c r="E375" s="6" t="s">
        <v>2192</v>
      </c>
      <c r="F375" s="6" t="s">
        <v>2474</v>
      </c>
      <c r="G375" s="6" t="s">
        <v>2478</v>
      </c>
      <c r="H375" s="34">
        <v>35</v>
      </c>
      <c r="I375" s="34">
        <v>35</v>
      </c>
      <c r="J375" s="34">
        <v>102</v>
      </c>
      <c r="K375" s="34">
        <v>98</v>
      </c>
      <c r="L375" s="220">
        <f t="shared" si="18"/>
        <v>270</v>
      </c>
    </row>
    <row r="376" spans="1:12" x14ac:dyDescent="0.35">
      <c r="A376" s="314"/>
      <c r="B376" s="311"/>
      <c r="C376" s="6" t="s">
        <v>1623</v>
      </c>
      <c r="D376" s="6" t="s">
        <v>2180</v>
      </c>
      <c r="E376" s="6" t="s">
        <v>2199</v>
      </c>
      <c r="F376" s="6" t="s">
        <v>2417</v>
      </c>
      <c r="G376" s="6" t="s">
        <v>2418</v>
      </c>
      <c r="H376" s="6">
        <v>46</v>
      </c>
      <c r="I376" s="6">
        <v>70</v>
      </c>
      <c r="J376" s="6">
        <v>130</v>
      </c>
      <c r="K376" s="6">
        <v>168</v>
      </c>
      <c r="L376" s="220">
        <f t="shared" si="18"/>
        <v>414</v>
      </c>
    </row>
    <row r="377" spans="1:12" x14ac:dyDescent="0.35">
      <c r="A377" s="314"/>
      <c r="B377" s="311"/>
      <c r="C377" s="6" t="s">
        <v>1623</v>
      </c>
      <c r="D377" s="6" t="s">
        <v>2180</v>
      </c>
      <c r="E377" s="6" t="s">
        <v>2348</v>
      </c>
      <c r="F377" s="6" t="s">
        <v>2349</v>
      </c>
      <c r="G377" s="33" t="s">
        <v>2350</v>
      </c>
      <c r="H377" s="34">
        <v>29</v>
      </c>
      <c r="I377" s="34">
        <v>31</v>
      </c>
      <c r="J377" s="34">
        <v>87</v>
      </c>
      <c r="K377" s="34">
        <v>113</v>
      </c>
      <c r="L377" s="220">
        <f t="shared" si="18"/>
        <v>260</v>
      </c>
    </row>
    <row r="378" spans="1:12" x14ac:dyDescent="0.35">
      <c r="A378" s="314"/>
      <c r="B378" s="311"/>
      <c r="C378" s="6" t="s">
        <v>1623</v>
      </c>
      <c r="D378" s="6" t="s">
        <v>2180</v>
      </c>
      <c r="E378" s="6" t="s">
        <v>2348</v>
      </c>
      <c r="F378" s="6" t="s">
        <v>2349</v>
      </c>
      <c r="G378" s="33" t="s">
        <v>2351</v>
      </c>
      <c r="H378" s="34">
        <v>11</v>
      </c>
      <c r="I378" s="34">
        <v>14</v>
      </c>
      <c r="J378" s="34">
        <v>43</v>
      </c>
      <c r="K378" s="34">
        <v>47</v>
      </c>
      <c r="L378" s="220">
        <f t="shared" si="18"/>
        <v>115</v>
      </c>
    </row>
    <row r="379" spans="1:12" x14ac:dyDescent="0.35">
      <c r="A379" s="314"/>
      <c r="B379" s="311"/>
      <c r="C379" s="6" t="s">
        <v>1623</v>
      </c>
      <c r="D379" s="6" t="s">
        <v>2180</v>
      </c>
      <c r="E379" s="6" t="s">
        <v>2348</v>
      </c>
      <c r="F379" s="6" t="s">
        <v>2349</v>
      </c>
      <c r="G379" s="33" t="s">
        <v>2352</v>
      </c>
      <c r="H379" s="34">
        <v>4</v>
      </c>
      <c r="I379" s="34">
        <v>6</v>
      </c>
      <c r="J379" s="34">
        <v>21</v>
      </c>
      <c r="K379" s="34">
        <v>50</v>
      </c>
      <c r="L379" s="220">
        <f t="shared" si="18"/>
        <v>81</v>
      </c>
    </row>
    <row r="380" spans="1:12" x14ac:dyDescent="0.35">
      <c r="A380" s="314"/>
      <c r="B380" s="311"/>
      <c r="C380" s="6" t="s">
        <v>1623</v>
      </c>
      <c r="D380" s="6" t="s">
        <v>2180</v>
      </c>
      <c r="E380" s="6" t="s">
        <v>2348</v>
      </c>
      <c r="F380" s="6" t="s">
        <v>2349</v>
      </c>
      <c r="G380" s="33" t="s">
        <v>2353</v>
      </c>
      <c r="H380" s="34">
        <v>7</v>
      </c>
      <c r="I380" s="34">
        <v>11</v>
      </c>
      <c r="J380" s="34">
        <v>37</v>
      </c>
      <c r="K380" s="34">
        <v>56</v>
      </c>
      <c r="L380" s="220">
        <f t="shared" si="18"/>
        <v>111</v>
      </c>
    </row>
    <row r="381" spans="1:12" x14ac:dyDescent="0.35">
      <c r="A381" s="314"/>
      <c r="B381" s="311"/>
      <c r="C381" s="6" t="s">
        <v>1623</v>
      </c>
      <c r="D381" s="6" t="s">
        <v>2180</v>
      </c>
      <c r="E381" s="6" t="s">
        <v>2348</v>
      </c>
      <c r="F381" s="6" t="s">
        <v>2349</v>
      </c>
      <c r="G381" s="6" t="s">
        <v>2354</v>
      </c>
      <c r="H381" s="6">
        <v>7</v>
      </c>
      <c r="I381" s="6">
        <v>13</v>
      </c>
      <c r="J381" s="6">
        <v>43</v>
      </c>
      <c r="K381" s="6">
        <v>67</v>
      </c>
      <c r="L381" s="220">
        <f t="shared" si="18"/>
        <v>130</v>
      </c>
    </row>
    <row r="382" spans="1:12" x14ac:dyDescent="0.35">
      <c r="A382" s="314"/>
      <c r="B382" s="311"/>
      <c r="C382" s="6" t="s">
        <v>1623</v>
      </c>
      <c r="D382" s="6" t="s">
        <v>2180</v>
      </c>
      <c r="E382" s="6" t="s">
        <v>2348</v>
      </c>
      <c r="F382" s="6" t="s">
        <v>2414</v>
      </c>
      <c r="G382" s="33" t="s">
        <v>2414</v>
      </c>
      <c r="H382" s="6">
        <v>17</v>
      </c>
      <c r="I382" s="6">
        <v>13</v>
      </c>
      <c r="J382" s="34">
        <v>143</v>
      </c>
      <c r="K382" s="34">
        <v>97</v>
      </c>
      <c r="L382" s="220">
        <f t="shared" si="18"/>
        <v>270</v>
      </c>
    </row>
    <row r="383" spans="1:12" x14ac:dyDescent="0.35">
      <c r="A383" s="314"/>
      <c r="B383" s="311"/>
      <c r="C383" s="6" t="s">
        <v>1623</v>
      </c>
      <c r="D383" s="6" t="s">
        <v>2180</v>
      </c>
      <c r="E383" s="6" t="s">
        <v>2348</v>
      </c>
      <c r="F383" s="6" t="s">
        <v>2417</v>
      </c>
      <c r="G383" s="33" t="s">
        <v>2419</v>
      </c>
      <c r="H383" s="34">
        <v>7</v>
      </c>
      <c r="I383" s="34">
        <v>10</v>
      </c>
      <c r="J383" s="34">
        <v>30</v>
      </c>
      <c r="K383" s="34">
        <v>35</v>
      </c>
      <c r="L383" s="220">
        <f t="shared" si="18"/>
        <v>82</v>
      </c>
    </row>
    <row r="384" spans="1:12" x14ac:dyDescent="0.35">
      <c r="A384" s="314"/>
      <c r="B384" s="311"/>
      <c r="C384" s="6" t="s">
        <v>1623</v>
      </c>
      <c r="D384" s="6" t="s">
        <v>2180</v>
      </c>
      <c r="E384" s="6" t="s">
        <v>2348</v>
      </c>
      <c r="F384" s="6" t="s">
        <v>2417</v>
      </c>
      <c r="G384" s="33" t="s">
        <v>2417</v>
      </c>
      <c r="H384" s="34">
        <v>27</v>
      </c>
      <c r="I384" s="34">
        <v>23</v>
      </c>
      <c r="J384" s="34">
        <v>47</v>
      </c>
      <c r="K384" s="34">
        <v>108</v>
      </c>
      <c r="L384" s="220">
        <f t="shared" si="18"/>
        <v>205</v>
      </c>
    </row>
    <row r="385" spans="1:12" x14ac:dyDescent="0.35">
      <c r="A385" s="314"/>
      <c r="B385" s="311"/>
      <c r="C385" s="6" t="s">
        <v>1623</v>
      </c>
      <c r="D385" s="6" t="s">
        <v>2180</v>
      </c>
      <c r="E385" s="6" t="s">
        <v>2348</v>
      </c>
      <c r="F385" s="6" t="s">
        <v>2417</v>
      </c>
      <c r="G385" s="33" t="s">
        <v>2420</v>
      </c>
      <c r="H385" s="34">
        <v>12</v>
      </c>
      <c r="I385" s="34">
        <v>13</v>
      </c>
      <c r="J385" s="34">
        <v>26</v>
      </c>
      <c r="K385" s="34">
        <v>44</v>
      </c>
      <c r="L385" s="220">
        <f t="shared" si="18"/>
        <v>95</v>
      </c>
    </row>
    <row r="386" spans="1:12" x14ac:dyDescent="0.35">
      <c r="A386" s="314"/>
      <c r="B386" s="311"/>
      <c r="C386" s="6" t="s">
        <v>1623</v>
      </c>
      <c r="D386" s="6" t="s">
        <v>2180</v>
      </c>
      <c r="E386" s="6" t="s">
        <v>2348</v>
      </c>
      <c r="F386" s="6" t="s">
        <v>2417</v>
      </c>
      <c r="G386" s="33" t="s">
        <v>2421</v>
      </c>
      <c r="H386" s="34">
        <v>3</v>
      </c>
      <c r="I386" s="34">
        <v>8</v>
      </c>
      <c r="J386" s="34">
        <v>17</v>
      </c>
      <c r="K386" s="34">
        <v>28</v>
      </c>
      <c r="L386" s="220">
        <f t="shared" si="18"/>
        <v>56</v>
      </c>
    </row>
    <row r="387" spans="1:12" x14ac:dyDescent="0.35">
      <c r="A387" s="314"/>
      <c r="B387" s="311"/>
      <c r="C387" s="6" t="s">
        <v>1623</v>
      </c>
      <c r="D387" s="6" t="s">
        <v>2180</v>
      </c>
      <c r="E387" s="6" t="s">
        <v>2348</v>
      </c>
      <c r="F387" s="6" t="s">
        <v>2453</v>
      </c>
      <c r="G387" s="33" t="s">
        <v>2456</v>
      </c>
      <c r="H387" s="34">
        <v>7</v>
      </c>
      <c r="I387" s="34">
        <v>11</v>
      </c>
      <c r="J387" s="34">
        <v>48</v>
      </c>
      <c r="K387" s="34">
        <v>52</v>
      </c>
      <c r="L387" s="220">
        <f t="shared" si="18"/>
        <v>118</v>
      </c>
    </row>
    <row r="388" spans="1:12" ht="29" x14ac:dyDescent="0.35">
      <c r="A388" s="314"/>
      <c r="B388" s="311"/>
      <c r="C388" s="6" t="s">
        <v>1623</v>
      </c>
      <c r="D388" s="6" t="s">
        <v>2180</v>
      </c>
      <c r="E388" s="6" t="s">
        <v>2348</v>
      </c>
      <c r="F388" s="6" t="s">
        <v>2453</v>
      </c>
      <c r="G388" s="33" t="s">
        <v>2457</v>
      </c>
      <c r="H388" s="34">
        <v>16</v>
      </c>
      <c r="I388" s="34">
        <v>19</v>
      </c>
      <c r="J388" s="34">
        <v>53</v>
      </c>
      <c r="K388" s="34">
        <v>57</v>
      </c>
      <c r="L388" s="220">
        <f t="shared" si="18"/>
        <v>145</v>
      </c>
    </row>
    <row r="389" spans="1:12" ht="29" x14ac:dyDescent="0.35">
      <c r="A389" s="314"/>
      <c r="B389" s="311"/>
      <c r="C389" s="6" t="s">
        <v>1623</v>
      </c>
      <c r="D389" s="6" t="s">
        <v>2180</v>
      </c>
      <c r="E389" s="6" t="s">
        <v>2348</v>
      </c>
      <c r="F389" s="6" t="s">
        <v>2453</v>
      </c>
      <c r="G389" s="33" t="s">
        <v>2458</v>
      </c>
      <c r="H389" s="34">
        <v>24</v>
      </c>
      <c r="I389" s="34">
        <v>10</v>
      </c>
      <c r="J389" s="34">
        <v>87</v>
      </c>
      <c r="K389" s="34">
        <v>113</v>
      </c>
      <c r="L389" s="220">
        <f t="shared" si="18"/>
        <v>234</v>
      </c>
    </row>
    <row r="390" spans="1:12" ht="29" x14ac:dyDescent="0.35">
      <c r="A390" s="314"/>
      <c r="B390" s="311"/>
      <c r="C390" s="6" t="s">
        <v>1623</v>
      </c>
      <c r="D390" s="6" t="s">
        <v>2180</v>
      </c>
      <c r="E390" s="6" t="s">
        <v>2348</v>
      </c>
      <c r="F390" s="6" t="s">
        <v>2453</v>
      </c>
      <c r="G390" s="33" t="s">
        <v>2459</v>
      </c>
      <c r="H390" s="34">
        <v>18</v>
      </c>
      <c r="I390" s="34">
        <v>22</v>
      </c>
      <c r="J390" s="34">
        <v>57</v>
      </c>
      <c r="K390" s="34">
        <v>73</v>
      </c>
      <c r="L390" s="220">
        <f t="shared" ref="L390:L432" si="22">H390+I390+J390+K390</f>
        <v>170</v>
      </c>
    </row>
    <row r="391" spans="1:12" x14ac:dyDescent="0.35">
      <c r="A391" s="314"/>
      <c r="B391" s="311"/>
      <c r="C391" s="6" t="s">
        <v>1623</v>
      </c>
      <c r="D391" s="6" t="s">
        <v>2180</v>
      </c>
      <c r="E391" s="6" t="s">
        <v>2348</v>
      </c>
      <c r="F391" s="6" t="s">
        <v>2517</v>
      </c>
      <c r="G391" s="33" t="s">
        <v>143</v>
      </c>
      <c r="H391" s="34">
        <v>17</v>
      </c>
      <c r="I391" s="34">
        <v>17</v>
      </c>
      <c r="J391" s="34">
        <v>49</v>
      </c>
      <c r="K391" s="34">
        <v>43</v>
      </c>
      <c r="L391" s="220">
        <f t="shared" si="22"/>
        <v>126</v>
      </c>
    </row>
    <row r="392" spans="1:12" x14ac:dyDescent="0.35">
      <c r="A392" s="314"/>
      <c r="B392" s="311"/>
      <c r="C392" s="6" t="s">
        <v>1623</v>
      </c>
      <c r="D392" s="6" t="s">
        <v>2180</v>
      </c>
      <c r="E392" s="6" t="s">
        <v>2348</v>
      </c>
      <c r="F392" s="6" t="s">
        <v>2517</v>
      </c>
      <c r="G392" s="33" t="s">
        <v>2518</v>
      </c>
      <c r="H392" s="34">
        <v>9</v>
      </c>
      <c r="I392" s="34">
        <v>9</v>
      </c>
      <c r="J392" s="34">
        <v>41</v>
      </c>
      <c r="K392" s="34">
        <v>82</v>
      </c>
      <c r="L392" s="220">
        <f t="shared" si="22"/>
        <v>141</v>
      </c>
    </row>
    <row r="393" spans="1:12" x14ac:dyDescent="0.35">
      <c r="A393" s="314"/>
      <c r="B393" s="311"/>
      <c r="C393" s="6" t="s">
        <v>1623</v>
      </c>
      <c r="D393" s="6" t="s">
        <v>2180</v>
      </c>
      <c r="E393" s="6" t="s">
        <v>2192</v>
      </c>
      <c r="F393" s="6" t="s">
        <v>2249</v>
      </c>
      <c r="G393" s="33" t="s">
        <v>2250</v>
      </c>
      <c r="H393" s="34">
        <v>4</v>
      </c>
      <c r="I393" s="34">
        <v>4</v>
      </c>
      <c r="J393" s="34">
        <v>31</v>
      </c>
      <c r="K393" s="34">
        <v>29</v>
      </c>
      <c r="L393" s="220">
        <f t="shared" si="22"/>
        <v>68</v>
      </c>
    </row>
    <row r="394" spans="1:12" x14ac:dyDescent="0.35">
      <c r="A394" s="315"/>
      <c r="B394" s="312"/>
      <c r="C394" s="188"/>
      <c r="D394" s="188"/>
      <c r="E394" s="188"/>
      <c r="F394" s="188"/>
      <c r="G394" s="227" t="s">
        <v>2</v>
      </c>
      <c r="H394" s="227">
        <f>SUM(H363:H393)</f>
        <v>427</v>
      </c>
      <c r="I394" s="227">
        <f t="shared" ref="I394:K394" si="23">SUM(I363:I393)</f>
        <v>494</v>
      </c>
      <c r="J394" s="227">
        <f t="shared" si="23"/>
        <v>1519</v>
      </c>
      <c r="K394" s="227">
        <f t="shared" si="23"/>
        <v>1969</v>
      </c>
      <c r="L394" s="225">
        <f t="shared" si="22"/>
        <v>4409</v>
      </c>
    </row>
    <row r="395" spans="1:12" ht="15.75" customHeight="1" x14ac:dyDescent="0.35">
      <c r="A395" s="313">
        <v>18</v>
      </c>
      <c r="B395" s="316" t="s">
        <v>3321</v>
      </c>
      <c r="C395" s="6" t="s">
        <v>1623</v>
      </c>
      <c r="D395" s="6" t="s">
        <v>2180</v>
      </c>
      <c r="E395" s="6" t="s">
        <v>2265</v>
      </c>
      <c r="F395" s="6" t="s">
        <v>2279</v>
      </c>
      <c r="G395" s="6" t="s">
        <v>2318</v>
      </c>
      <c r="H395" s="34">
        <v>11</v>
      </c>
      <c r="I395" s="34">
        <v>15</v>
      </c>
      <c r="J395" s="34">
        <v>46</v>
      </c>
      <c r="K395" s="34">
        <v>47</v>
      </c>
      <c r="L395" s="220">
        <f t="shared" si="22"/>
        <v>119</v>
      </c>
    </row>
    <row r="396" spans="1:12" ht="15.75" customHeight="1" x14ac:dyDescent="0.35">
      <c r="A396" s="314"/>
      <c r="B396" s="317"/>
      <c r="C396" s="6" t="s">
        <v>1623</v>
      </c>
      <c r="D396" s="6" t="s">
        <v>2180</v>
      </c>
      <c r="E396" s="6" t="s">
        <v>2265</v>
      </c>
      <c r="F396" s="6" t="s">
        <v>2279</v>
      </c>
      <c r="G396" s="117" t="s">
        <v>2319</v>
      </c>
      <c r="H396" s="34">
        <v>47</v>
      </c>
      <c r="I396" s="34">
        <v>48</v>
      </c>
      <c r="J396" s="34">
        <v>69</v>
      </c>
      <c r="K396" s="34">
        <v>75</v>
      </c>
      <c r="L396" s="220">
        <f t="shared" si="22"/>
        <v>239</v>
      </c>
    </row>
    <row r="397" spans="1:12" x14ac:dyDescent="0.35">
      <c r="A397" s="314"/>
      <c r="B397" s="317"/>
      <c r="C397" s="6" t="s">
        <v>1623</v>
      </c>
      <c r="D397" s="6" t="s">
        <v>2180</v>
      </c>
      <c r="E397" s="6" t="s">
        <v>2265</v>
      </c>
      <c r="F397" s="6" t="s">
        <v>2396</v>
      </c>
      <c r="G397" s="6" t="s">
        <v>2399</v>
      </c>
      <c r="H397" s="6">
        <v>17</v>
      </c>
      <c r="I397" s="6">
        <v>12</v>
      </c>
      <c r="J397" s="6">
        <v>59</v>
      </c>
      <c r="K397" s="6">
        <v>60</v>
      </c>
      <c r="L397" s="220">
        <f t="shared" si="22"/>
        <v>148</v>
      </c>
    </row>
    <row r="398" spans="1:12" x14ac:dyDescent="0.35">
      <c r="A398" s="314"/>
      <c r="B398" s="317"/>
      <c r="C398" s="6" t="s">
        <v>1623</v>
      </c>
      <c r="D398" s="6" t="s">
        <v>2180</v>
      </c>
      <c r="E398" s="6" t="s">
        <v>2265</v>
      </c>
      <c r="F398" s="6" t="s">
        <v>2266</v>
      </c>
      <c r="G398" s="6" t="s">
        <v>2267</v>
      </c>
      <c r="H398" s="34">
        <v>8</v>
      </c>
      <c r="I398" s="34">
        <v>12</v>
      </c>
      <c r="J398" s="34">
        <v>81</v>
      </c>
      <c r="K398" s="34">
        <v>81</v>
      </c>
      <c r="L398" s="220">
        <f t="shared" si="22"/>
        <v>182</v>
      </c>
    </row>
    <row r="399" spans="1:12" x14ac:dyDescent="0.35">
      <c r="A399" s="314"/>
      <c r="B399" s="317"/>
      <c r="C399" s="6" t="s">
        <v>1623</v>
      </c>
      <c r="D399" s="6" t="s">
        <v>2180</v>
      </c>
      <c r="E399" s="6" t="s">
        <v>2265</v>
      </c>
      <c r="F399" s="6" t="s">
        <v>2266</v>
      </c>
      <c r="G399" s="6" t="s">
        <v>2268</v>
      </c>
      <c r="H399" s="34">
        <v>11</v>
      </c>
      <c r="I399" s="34">
        <v>12</v>
      </c>
      <c r="J399" s="34">
        <v>34</v>
      </c>
      <c r="K399" s="34">
        <v>41</v>
      </c>
      <c r="L399" s="220">
        <f t="shared" si="22"/>
        <v>98</v>
      </c>
    </row>
    <row r="400" spans="1:12" x14ac:dyDescent="0.35">
      <c r="A400" s="314"/>
      <c r="B400" s="317"/>
      <c r="C400" s="6" t="s">
        <v>1623</v>
      </c>
      <c r="D400" s="6" t="s">
        <v>2180</v>
      </c>
      <c r="E400" s="6" t="s">
        <v>2248</v>
      </c>
      <c r="F400" s="6" t="s">
        <v>2266</v>
      </c>
      <c r="G400" s="6" t="s">
        <v>3322</v>
      </c>
      <c r="H400" s="6">
        <v>10</v>
      </c>
      <c r="I400" s="34">
        <v>24</v>
      </c>
      <c r="J400" s="34">
        <v>30</v>
      </c>
      <c r="K400" s="34">
        <v>72</v>
      </c>
      <c r="L400" s="220">
        <f t="shared" si="22"/>
        <v>136</v>
      </c>
    </row>
    <row r="401" spans="1:12" x14ac:dyDescent="0.35">
      <c r="A401" s="314"/>
      <c r="B401" s="317"/>
      <c r="C401" s="6" t="s">
        <v>1623</v>
      </c>
      <c r="D401" s="6" t="s">
        <v>2180</v>
      </c>
      <c r="E401" s="6" t="s">
        <v>2265</v>
      </c>
      <c r="F401" s="6" t="s">
        <v>2396</v>
      </c>
      <c r="G401" s="6" t="s">
        <v>2397</v>
      </c>
      <c r="H401" s="34">
        <v>37</v>
      </c>
      <c r="I401" s="34">
        <v>29</v>
      </c>
      <c r="J401" s="34">
        <v>86</v>
      </c>
      <c r="K401" s="34">
        <v>63</v>
      </c>
      <c r="L401" s="220">
        <f t="shared" si="22"/>
        <v>215</v>
      </c>
    </row>
    <row r="402" spans="1:12" x14ac:dyDescent="0.35">
      <c r="A402" s="314"/>
      <c r="B402" s="317"/>
      <c r="C402" s="6" t="s">
        <v>1623</v>
      </c>
      <c r="D402" s="6" t="s">
        <v>2180</v>
      </c>
      <c r="E402" s="6" t="s">
        <v>2265</v>
      </c>
      <c r="F402" s="6" t="s">
        <v>2396</v>
      </c>
      <c r="G402" s="33" t="s">
        <v>2397</v>
      </c>
      <c r="H402" s="34">
        <v>20</v>
      </c>
      <c r="I402" s="34">
        <v>12</v>
      </c>
      <c r="J402" s="34">
        <v>36</v>
      </c>
      <c r="K402" s="34">
        <v>18</v>
      </c>
      <c r="L402" s="220">
        <f t="shared" si="22"/>
        <v>86</v>
      </c>
    </row>
    <row r="403" spans="1:12" x14ac:dyDescent="0.35">
      <c r="A403" s="314"/>
      <c r="B403" s="317"/>
      <c r="C403" s="6" t="s">
        <v>1623</v>
      </c>
      <c r="D403" s="6" t="s">
        <v>2180</v>
      </c>
      <c r="E403" s="6" t="s">
        <v>2265</v>
      </c>
      <c r="F403" s="6" t="s">
        <v>2396</v>
      </c>
      <c r="G403" s="6" t="s">
        <v>2398</v>
      </c>
      <c r="H403" s="6">
        <v>18</v>
      </c>
      <c r="I403" s="34">
        <v>38</v>
      </c>
      <c r="J403" s="34">
        <v>25</v>
      </c>
      <c r="K403" s="34">
        <v>94</v>
      </c>
      <c r="L403" s="220">
        <f t="shared" si="22"/>
        <v>175</v>
      </c>
    </row>
    <row r="404" spans="1:12" x14ac:dyDescent="0.35">
      <c r="A404" s="314"/>
      <c r="B404" s="317"/>
      <c r="C404" s="6" t="s">
        <v>1623</v>
      </c>
      <c r="D404" s="6" t="s">
        <v>2180</v>
      </c>
      <c r="E404" s="6" t="s">
        <v>2248</v>
      </c>
      <c r="F404" s="6" t="s">
        <v>2396</v>
      </c>
      <c r="G404" s="6" t="s">
        <v>2400</v>
      </c>
      <c r="H404" s="6">
        <v>14</v>
      </c>
      <c r="I404" s="34">
        <v>31</v>
      </c>
      <c r="J404" s="34">
        <v>45</v>
      </c>
      <c r="K404" s="34">
        <v>103</v>
      </c>
      <c r="L404" s="220">
        <f t="shared" si="22"/>
        <v>193</v>
      </c>
    </row>
    <row r="405" spans="1:12" x14ac:dyDescent="0.35">
      <c r="A405" s="314"/>
      <c r="B405" s="317"/>
      <c r="C405" s="6" t="s">
        <v>1623</v>
      </c>
      <c r="D405" s="6" t="s">
        <v>2180</v>
      </c>
      <c r="E405" s="6" t="s">
        <v>2265</v>
      </c>
      <c r="F405" s="6" t="s">
        <v>2460</v>
      </c>
      <c r="G405" s="6" t="s">
        <v>2462</v>
      </c>
      <c r="H405" s="6">
        <v>17</v>
      </c>
      <c r="I405" s="6">
        <v>42</v>
      </c>
      <c r="J405" s="6">
        <v>42</v>
      </c>
      <c r="K405" s="6">
        <v>108</v>
      </c>
      <c r="L405" s="220">
        <f t="shared" si="22"/>
        <v>209</v>
      </c>
    </row>
    <row r="406" spans="1:12" x14ac:dyDescent="0.35">
      <c r="A406" s="314"/>
      <c r="B406" s="317"/>
      <c r="C406" s="6" t="s">
        <v>1623</v>
      </c>
      <c r="D406" s="6" t="s">
        <v>2180</v>
      </c>
      <c r="E406" s="6" t="s">
        <v>2265</v>
      </c>
      <c r="F406" s="6" t="s">
        <v>2460</v>
      </c>
      <c r="G406" s="6" t="s">
        <v>2460</v>
      </c>
      <c r="H406" s="34">
        <v>5</v>
      </c>
      <c r="I406" s="34">
        <v>7</v>
      </c>
      <c r="J406" s="34">
        <v>20</v>
      </c>
      <c r="K406" s="34">
        <v>17</v>
      </c>
      <c r="L406" s="220">
        <f t="shared" si="22"/>
        <v>49</v>
      </c>
    </row>
    <row r="407" spans="1:12" x14ac:dyDescent="0.35">
      <c r="A407" s="314"/>
      <c r="B407" s="317"/>
      <c r="C407" s="6" t="s">
        <v>1623</v>
      </c>
      <c r="D407" s="6" t="s">
        <v>2180</v>
      </c>
      <c r="E407" s="6" t="s">
        <v>2265</v>
      </c>
      <c r="F407" s="6" t="s">
        <v>2460</v>
      </c>
      <c r="G407" s="33" t="s">
        <v>2463</v>
      </c>
      <c r="H407" s="34">
        <v>7</v>
      </c>
      <c r="I407" s="34">
        <v>10</v>
      </c>
      <c r="J407" s="34">
        <v>50</v>
      </c>
      <c r="K407" s="34">
        <v>97</v>
      </c>
      <c r="L407" s="220">
        <f t="shared" si="22"/>
        <v>164</v>
      </c>
    </row>
    <row r="408" spans="1:12" x14ac:dyDescent="0.35">
      <c r="A408" s="314"/>
      <c r="B408" s="317"/>
      <c r="C408" s="6" t="s">
        <v>1623</v>
      </c>
      <c r="D408" s="6" t="s">
        <v>2180</v>
      </c>
      <c r="E408" s="6" t="s">
        <v>2265</v>
      </c>
      <c r="F408" s="6" t="s">
        <v>2530</v>
      </c>
      <c r="G408" s="6" t="s">
        <v>2531</v>
      </c>
      <c r="H408" s="34">
        <v>22</v>
      </c>
      <c r="I408" s="34">
        <v>38</v>
      </c>
      <c r="J408" s="34">
        <v>52</v>
      </c>
      <c r="K408" s="34">
        <v>56</v>
      </c>
      <c r="L408" s="220">
        <f t="shared" si="22"/>
        <v>168</v>
      </c>
    </row>
    <row r="409" spans="1:12" x14ac:dyDescent="0.35">
      <c r="A409" s="314"/>
      <c r="B409" s="317"/>
      <c r="C409" s="6" t="s">
        <v>1623</v>
      </c>
      <c r="D409" s="6" t="s">
        <v>2180</v>
      </c>
      <c r="E409" s="6" t="s">
        <v>2265</v>
      </c>
      <c r="F409" s="6" t="s">
        <v>2530</v>
      </c>
      <c r="G409" s="6" t="s">
        <v>2531</v>
      </c>
      <c r="H409" s="6">
        <v>21</v>
      </c>
      <c r="I409" s="34">
        <v>47</v>
      </c>
      <c r="J409" s="34">
        <v>44</v>
      </c>
      <c r="K409" s="34">
        <v>143</v>
      </c>
      <c r="L409" s="220">
        <f t="shared" si="22"/>
        <v>255</v>
      </c>
    </row>
    <row r="410" spans="1:12" x14ac:dyDescent="0.35">
      <c r="A410" s="314"/>
      <c r="B410" s="317"/>
      <c r="C410" s="6" t="s">
        <v>1623</v>
      </c>
      <c r="D410" s="6" t="s">
        <v>2180</v>
      </c>
      <c r="E410" s="6" t="s">
        <v>2265</v>
      </c>
      <c r="F410" s="6" t="s">
        <v>2530</v>
      </c>
      <c r="G410" s="33" t="s">
        <v>2532</v>
      </c>
      <c r="H410" s="34">
        <v>10</v>
      </c>
      <c r="I410" s="34">
        <v>10</v>
      </c>
      <c r="J410" s="34">
        <v>59</v>
      </c>
      <c r="K410" s="34">
        <v>61</v>
      </c>
      <c r="L410" s="220">
        <f t="shared" si="22"/>
        <v>140</v>
      </c>
    </row>
    <row r="411" spans="1:12" x14ac:dyDescent="0.35">
      <c r="A411" s="314"/>
      <c r="B411" s="317"/>
      <c r="C411" s="6" t="s">
        <v>1623</v>
      </c>
      <c r="D411" s="6" t="s">
        <v>2180</v>
      </c>
      <c r="E411" s="6" t="s">
        <v>2265</v>
      </c>
      <c r="F411" s="6" t="s">
        <v>2530</v>
      </c>
      <c r="G411" s="6" t="s">
        <v>497</v>
      </c>
      <c r="H411" s="34">
        <v>0</v>
      </c>
      <c r="I411" s="34">
        <v>12</v>
      </c>
      <c r="J411" s="34">
        <v>39</v>
      </c>
      <c r="K411" s="34">
        <v>65</v>
      </c>
      <c r="L411" s="220">
        <f t="shared" si="22"/>
        <v>116</v>
      </c>
    </row>
    <row r="412" spans="1:12" x14ac:dyDescent="0.35">
      <c r="A412" s="314"/>
      <c r="B412" s="317"/>
      <c r="C412" s="6" t="s">
        <v>1623</v>
      </c>
      <c r="D412" s="6" t="s">
        <v>2180</v>
      </c>
      <c r="E412" s="6" t="s">
        <v>2265</v>
      </c>
      <c r="F412" s="6" t="s">
        <v>2460</v>
      </c>
      <c r="G412" s="6" t="s">
        <v>2461</v>
      </c>
      <c r="H412" s="34">
        <v>8</v>
      </c>
      <c r="I412" s="34">
        <v>5</v>
      </c>
      <c r="J412" s="34">
        <v>53</v>
      </c>
      <c r="K412" s="34">
        <v>37</v>
      </c>
      <c r="L412" s="220">
        <f t="shared" si="22"/>
        <v>103</v>
      </c>
    </row>
    <row r="413" spans="1:12" x14ac:dyDescent="0.35">
      <c r="A413" s="315"/>
      <c r="B413" s="318"/>
      <c r="C413" s="188"/>
      <c r="D413" s="188"/>
      <c r="E413" s="188"/>
      <c r="F413" s="188"/>
      <c r="G413" s="227" t="s">
        <v>2</v>
      </c>
      <c r="H413" s="227">
        <f>SUM(H395:H412)</f>
        <v>283</v>
      </c>
      <c r="I413" s="227">
        <f t="shared" ref="I413:K413" si="24">SUM(I395:I412)</f>
        <v>404</v>
      </c>
      <c r="J413" s="227">
        <f t="shared" si="24"/>
        <v>870</v>
      </c>
      <c r="K413" s="227">
        <f t="shared" si="24"/>
        <v>1238</v>
      </c>
      <c r="L413" s="225">
        <f t="shared" si="22"/>
        <v>2795</v>
      </c>
    </row>
    <row r="414" spans="1:12" x14ac:dyDescent="0.35">
      <c r="A414" s="313">
        <v>19</v>
      </c>
      <c r="B414" s="310" t="s">
        <v>3261</v>
      </c>
      <c r="C414" s="6" t="s">
        <v>1623</v>
      </c>
      <c r="D414" s="6" t="s">
        <v>2180</v>
      </c>
      <c r="E414" s="6" t="s">
        <v>2341</v>
      </c>
      <c r="F414" s="6" t="s">
        <v>2342</v>
      </c>
      <c r="G414" s="33" t="s">
        <v>2343</v>
      </c>
      <c r="H414" s="34">
        <v>10</v>
      </c>
      <c r="I414" s="34">
        <v>15</v>
      </c>
      <c r="J414" s="34">
        <v>45</v>
      </c>
      <c r="K414" s="34">
        <v>105</v>
      </c>
      <c r="L414" s="220">
        <f t="shared" si="22"/>
        <v>175</v>
      </c>
    </row>
    <row r="415" spans="1:12" ht="29" x14ac:dyDescent="0.35">
      <c r="A415" s="314"/>
      <c r="B415" s="311"/>
      <c r="C415" s="6" t="s">
        <v>1623</v>
      </c>
      <c r="D415" s="6" t="s">
        <v>2180</v>
      </c>
      <c r="E415" s="6" t="s">
        <v>2341</v>
      </c>
      <c r="F415" s="6" t="s">
        <v>2342</v>
      </c>
      <c r="G415" s="33" t="s">
        <v>2344</v>
      </c>
      <c r="H415" s="34">
        <v>16</v>
      </c>
      <c r="I415" s="34">
        <v>21</v>
      </c>
      <c r="J415" s="34">
        <v>31</v>
      </c>
      <c r="K415" s="34">
        <v>41</v>
      </c>
      <c r="L415" s="220">
        <f t="shared" si="22"/>
        <v>109</v>
      </c>
    </row>
    <row r="416" spans="1:12" x14ac:dyDescent="0.35">
      <c r="A416" s="314"/>
      <c r="B416" s="311"/>
      <c r="C416" s="6" t="s">
        <v>1623</v>
      </c>
      <c r="D416" s="6" t="s">
        <v>2180</v>
      </c>
      <c r="E416" s="6" t="s">
        <v>2341</v>
      </c>
      <c r="F416" s="6" t="s">
        <v>2342</v>
      </c>
      <c r="G416" s="33" t="s">
        <v>1734</v>
      </c>
      <c r="H416" s="34">
        <v>8</v>
      </c>
      <c r="I416" s="34">
        <v>12</v>
      </c>
      <c r="J416" s="34">
        <v>43</v>
      </c>
      <c r="K416" s="34">
        <v>100</v>
      </c>
      <c r="L416" s="220">
        <f t="shared" si="22"/>
        <v>163</v>
      </c>
    </row>
    <row r="417" spans="1:12" x14ac:dyDescent="0.35">
      <c r="A417" s="314"/>
      <c r="B417" s="311"/>
      <c r="C417" s="6" t="s">
        <v>1623</v>
      </c>
      <c r="D417" s="6" t="s">
        <v>2180</v>
      </c>
      <c r="E417" s="6" t="s">
        <v>2341</v>
      </c>
      <c r="F417" s="6" t="s">
        <v>2342</v>
      </c>
      <c r="G417" s="33" t="s">
        <v>2345</v>
      </c>
      <c r="H417" s="34">
        <v>10</v>
      </c>
      <c r="I417" s="34">
        <v>11</v>
      </c>
      <c r="J417" s="34">
        <v>32</v>
      </c>
      <c r="K417" s="34">
        <v>81</v>
      </c>
      <c r="L417" s="220">
        <f t="shared" si="22"/>
        <v>134</v>
      </c>
    </row>
    <row r="418" spans="1:12" x14ac:dyDescent="0.35">
      <c r="A418" s="314"/>
      <c r="B418" s="311"/>
      <c r="C418" s="6" t="s">
        <v>1623</v>
      </c>
      <c r="D418" s="6" t="s">
        <v>2180</v>
      </c>
      <c r="E418" s="6" t="s">
        <v>2341</v>
      </c>
      <c r="F418" s="6" t="s">
        <v>2342</v>
      </c>
      <c r="G418" s="33" t="s">
        <v>2346</v>
      </c>
      <c r="H418" s="34">
        <v>6</v>
      </c>
      <c r="I418" s="34">
        <v>7</v>
      </c>
      <c r="J418" s="34">
        <v>42</v>
      </c>
      <c r="K418" s="34">
        <v>86</v>
      </c>
      <c r="L418" s="220">
        <f t="shared" si="22"/>
        <v>141</v>
      </c>
    </row>
    <row r="419" spans="1:12" x14ac:dyDescent="0.35">
      <c r="A419" s="314"/>
      <c r="B419" s="311"/>
      <c r="C419" s="6" t="s">
        <v>1623</v>
      </c>
      <c r="D419" s="6" t="s">
        <v>2180</v>
      </c>
      <c r="E419" s="6" t="s">
        <v>2341</v>
      </c>
      <c r="F419" s="6" t="s">
        <v>2342</v>
      </c>
      <c r="G419" s="33" t="s">
        <v>2347</v>
      </c>
      <c r="H419" s="34">
        <v>5</v>
      </c>
      <c r="I419" s="34">
        <v>11</v>
      </c>
      <c r="J419" s="34">
        <v>34</v>
      </c>
      <c r="K419" s="34">
        <v>81</v>
      </c>
      <c r="L419" s="220">
        <f t="shared" si="22"/>
        <v>131</v>
      </c>
    </row>
    <row r="420" spans="1:12" ht="15.75" customHeight="1" x14ac:dyDescent="0.35">
      <c r="A420" s="314"/>
      <c r="B420" s="311"/>
      <c r="C420" s="6" t="s">
        <v>1623</v>
      </c>
      <c r="D420" s="6" t="s">
        <v>2180</v>
      </c>
      <c r="E420" s="6" t="s">
        <v>2341</v>
      </c>
      <c r="F420" s="6" t="s">
        <v>2404</v>
      </c>
      <c r="G420" s="33" t="s">
        <v>2413</v>
      </c>
      <c r="H420" s="34">
        <v>9</v>
      </c>
      <c r="I420" s="34">
        <v>11</v>
      </c>
      <c r="J420" s="34">
        <v>39</v>
      </c>
      <c r="K420" s="34">
        <v>42</v>
      </c>
      <c r="L420" s="220">
        <f t="shared" si="22"/>
        <v>101</v>
      </c>
    </row>
    <row r="421" spans="1:12" x14ac:dyDescent="0.35">
      <c r="A421" s="314"/>
      <c r="B421" s="311"/>
      <c r="C421" s="6" t="s">
        <v>1623</v>
      </c>
      <c r="D421" s="6" t="s">
        <v>2180</v>
      </c>
      <c r="E421" s="6" t="s">
        <v>2341</v>
      </c>
      <c r="F421" s="6" t="s">
        <v>2533</v>
      </c>
      <c r="G421" s="33" t="s">
        <v>2534</v>
      </c>
      <c r="H421" s="34">
        <v>7</v>
      </c>
      <c r="I421" s="34">
        <v>8</v>
      </c>
      <c r="J421" s="34">
        <v>22</v>
      </c>
      <c r="K421" s="34">
        <v>55</v>
      </c>
      <c r="L421" s="220">
        <f t="shared" si="22"/>
        <v>92</v>
      </c>
    </row>
    <row r="422" spans="1:12" x14ac:dyDescent="0.35">
      <c r="A422" s="314"/>
      <c r="B422" s="311"/>
      <c r="C422" s="6" t="s">
        <v>1623</v>
      </c>
      <c r="D422" s="6" t="s">
        <v>2180</v>
      </c>
      <c r="E422" s="6" t="s">
        <v>2341</v>
      </c>
      <c r="F422" s="6" t="s">
        <v>2533</v>
      </c>
      <c r="G422" s="33" t="s">
        <v>2535</v>
      </c>
      <c r="H422" s="34">
        <v>18</v>
      </c>
      <c r="I422" s="34">
        <v>21</v>
      </c>
      <c r="J422" s="34">
        <v>38</v>
      </c>
      <c r="K422" s="34">
        <v>21</v>
      </c>
      <c r="L422" s="220">
        <f t="shared" si="22"/>
        <v>98</v>
      </c>
    </row>
    <row r="423" spans="1:12" x14ac:dyDescent="0.35">
      <c r="A423" s="314"/>
      <c r="B423" s="311"/>
      <c r="C423" s="6" t="s">
        <v>1623</v>
      </c>
      <c r="D423" s="6" t="s">
        <v>2180</v>
      </c>
      <c r="E423" s="6" t="s">
        <v>2341</v>
      </c>
      <c r="F423" s="6" t="s">
        <v>2533</v>
      </c>
      <c r="G423" s="33" t="s">
        <v>2536</v>
      </c>
      <c r="H423" s="34">
        <v>6</v>
      </c>
      <c r="I423" s="34">
        <v>9</v>
      </c>
      <c r="J423" s="34">
        <v>20</v>
      </c>
      <c r="K423" s="34">
        <v>54</v>
      </c>
      <c r="L423" s="220">
        <f t="shared" si="22"/>
        <v>89</v>
      </c>
    </row>
    <row r="424" spans="1:12" x14ac:dyDescent="0.35">
      <c r="A424" s="314"/>
      <c r="B424" s="311"/>
      <c r="C424" s="6" t="s">
        <v>1623</v>
      </c>
      <c r="D424" s="6" t="s">
        <v>2180</v>
      </c>
      <c r="E424" s="6" t="s">
        <v>2341</v>
      </c>
      <c r="F424" s="6" t="s">
        <v>2533</v>
      </c>
      <c r="G424" s="33" t="s">
        <v>2537</v>
      </c>
      <c r="H424" s="34">
        <v>8</v>
      </c>
      <c r="I424" s="34">
        <v>7</v>
      </c>
      <c r="J424" s="34">
        <v>30</v>
      </c>
      <c r="K424" s="34">
        <v>70</v>
      </c>
      <c r="L424" s="220">
        <f t="shared" si="22"/>
        <v>115</v>
      </c>
    </row>
    <row r="425" spans="1:12" x14ac:dyDescent="0.35">
      <c r="A425" s="314"/>
      <c r="B425" s="311"/>
      <c r="C425" s="6" t="s">
        <v>1623</v>
      </c>
      <c r="D425" s="6" t="s">
        <v>2180</v>
      </c>
      <c r="E425" s="6" t="s">
        <v>2341</v>
      </c>
      <c r="F425" s="6" t="s">
        <v>2533</v>
      </c>
      <c r="G425" s="33" t="s">
        <v>2538</v>
      </c>
      <c r="H425" s="34">
        <v>21</v>
      </c>
      <c r="I425" s="34">
        <v>9</v>
      </c>
      <c r="J425" s="34">
        <v>69</v>
      </c>
      <c r="K425" s="34">
        <v>41</v>
      </c>
      <c r="L425" s="220">
        <f t="shared" si="22"/>
        <v>140</v>
      </c>
    </row>
    <row r="426" spans="1:12" x14ac:dyDescent="0.35">
      <c r="A426" s="314"/>
      <c r="B426" s="311"/>
      <c r="C426" s="6" t="s">
        <v>1623</v>
      </c>
      <c r="D426" s="6" t="s">
        <v>2180</v>
      </c>
      <c r="E426" s="6" t="s">
        <v>2341</v>
      </c>
      <c r="F426" s="6" t="s">
        <v>2539</v>
      </c>
      <c r="G426" s="33" t="s">
        <v>2540</v>
      </c>
      <c r="H426" s="34">
        <v>7</v>
      </c>
      <c r="I426" s="34">
        <v>11</v>
      </c>
      <c r="J426" s="34">
        <v>58</v>
      </c>
      <c r="K426" s="34">
        <v>118</v>
      </c>
      <c r="L426" s="220">
        <f t="shared" si="22"/>
        <v>194</v>
      </c>
    </row>
    <row r="427" spans="1:12" x14ac:dyDescent="0.35">
      <c r="A427" s="314"/>
      <c r="B427" s="311"/>
      <c r="C427" s="6" t="s">
        <v>1623</v>
      </c>
      <c r="D427" s="6" t="s">
        <v>2180</v>
      </c>
      <c r="E427" s="6" t="s">
        <v>2341</v>
      </c>
      <c r="F427" s="6" t="s">
        <v>2539</v>
      </c>
      <c r="G427" s="33" t="s">
        <v>2541</v>
      </c>
      <c r="H427" s="34">
        <v>16</v>
      </c>
      <c r="I427" s="34">
        <v>14</v>
      </c>
      <c r="J427" s="34">
        <v>81</v>
      </c>
      <c r="K427" s="34">
        <v>69</v>
      </c>
      <c r="L427" s="220">
        <f t="shared" si="22"/>
        <v>180</v>
      </c>
    </row>
    <row r="428" spans="1:12" x14ac:dyDescent="0.35">
      <c r="A428" s="314"/>
      <c r="B428" s="311"/>
      <c r="C428" s="6" t="s">
        <v>1623</v>
      </c>
      <c r="D428" s="6" t="s">
        <v>2180</v>
      </c>
      <c r="E428" s="6" t="s">
        <v>2341</v>
      </c>
      <c r="F428" s="6" t="s">
        <v>2539</v>
      </c>
      <c r="G428" s="33" t="s">
        <v>2542</v>
      </c>
      <c r="H428" s="34">
        <v>7</v>
      </c>
      <c r="I428" s="34">
        <v>13</v>
      </c>
      <c r="J428" s="34">
        <v>21</v>
      </c>
      <c r="K428" s="34">
        <v>29</v>
      </c>
      <c r="L428" s="220">
        <f t="shared" si="22"/>
        <v>70</v>
      </c>
    </row>
    <row r="429" spans="1:12" x14ac:dyDescent="0.35">
      <c r="A429" s="314"/>
      <c r="B429" s="311"/>
      <c r="C429" s="6" t="s">
        <v>1623</v>
      </c>
      <c r="D429" s="6" t="s">
        <v>2180</v>
      </c>
      <c r="E429" s="6" t="s">
        <v>2341</v>
      </c>
      <c r="F429" s="6" t="s">
        <v>2539</v>
      </c>
      <c r="G429" s="33" t="s">
        <v>2543</v>
      </c>
      <c r="H429" s="34">
        <v>1</v>
      </c>
      <c r="I429" s="34">
        <v>4</v>
      </c>
      <c r="J429" s="34">
        <v>42</v>
      </c>
      <c r="K429" s="34">
        <v>80</v>
      </c>
      <c r="L429" s="220">
        <f t="shared" si="22"/>
        <v>127</v>
      </c>
    </row>
    <row r="430" spans="1:12" x14ac:dyDescent="0.35">
      <c r="A430" s="314"/>
      <c r="B430" s="311"/>
      <c r="C430" s="6" t="s">
        <v>1623</v>
      </c>
      <c r="D430" s="6" t="s">
        <v>2180</v>
      </c>
      <c r="E430" s="6" t="s">
        <v>2203</v>
      </c>
      <c r="F430" s="6" t="s">
        <v>2539</v>
      </c>
      <c r="G430" s="33" t="s">
        <v>2544</v>
      </c>
      <c r="H430" s="34">
        <v>8</v>
      </c>
      <c r="I430" s="34">
        <v>12</v>
      </c>
      <c r="J430" s="34">
        <v>67</v>
      </c>
      <c r="K430" s="34">
        <v>140</v>
      </c>
      <c r="L430" s="220">
        <f t="shared" si="22"/>
        <v>227</v>
      </c>
    </row>
    <row r="431" spans="1:12" x14ac:dyDescent="0.35">
      <c r="A431" s="315"/>
      <c r="B431" s="312"/>
      <c r="C431" s="188"/>
      <c r="D431" s="188"/>
      <c r="E431" s="188"/>
      <c r="F431" s="188"/>
      <c r="G431" s="227" t="s">
        <v>2</v>
      </c>
      <c r="H431" s="227">
        <f>SUM(H414:H430)</f>
        <v>163</v>
      </c>
      <c r="I431" s="227">
        <f t="shared" ref="I431:K431" si="25">SUM(I414:I430)</f>
        <v>196</v>
      </c>
      <c r="J431" s="227">
        <f t="shared" si="25"/>
        <v>714</v>
      </c>
      <c r="K431" s="227">
        <f t="shared" si="25"/>
        <v>1213</v>
      </c>
      <c r="L431" s="225">
        <f t="shared" si="22"/>
        <v>2286</v>
      </c>
    </row>
    <row r="432" spans="1:12" x14ac:dyDescent="0.35">
      <c r="G432" s="189" t="s">
        <v>2637</v>
      </c>
      <c r="H432" s="190">
        <f>SUM(H13+H74+H107+H135+H143+H175+H191+H205+H222+H238+H256+H274+H306+H327+H337+H362+H394+H413+H431)</f>
        <v>5827</v>
      </c>
      <c r="I432" s="190">
        <f t="shared" ref="I432:K432" si="26">SUM(I13+I74+I107+I135+I143+I175+I191+I205+I222+I238+I256+I274+I306+I327+I337+I362+I394+I413+I431)</f>
        <v>7284</v>
      </c>
      <c r="J432" s="190">
        <f t="shared" si="26"/>
        <v>21358</v>
      </c>
      <c r="K432" s="190">
        <f t="shared" si="26"/>
        <v>26585</v>
      </c>
      <c r="L432" s="225">
        <f t="shared" si="22"/>
        <v>61054</v>
      </c>
    </row>
  </sheetData>
  <mergeCells count="49">
    <mergeCell ref="A5:A13"/>
    <mergeCell ref="B5:B12"/>
    <mergeCell ref="A14:A74"/>
    <mergeCell ref="A1:K1"/>
    <mergeCell ref="A2:A4"/>
    <mergeCell ref="B2:B4"/>
    <mergeCell ref="C2:C4"/>
    <mergeCell ref="D2:D4"/>
    <mergeCell ref="E2:E4"/>
    <mergeCell ref="F2:F4"/>
    <mergeCell ref="G2:G4"/>
    <mergeCell ref="H2:K2"/>
    <mergeCell ref="H3:I3"/>
    <mergeCell ref="J3:K3"/>
    <mergeCell ref="B14:B73"/>
    <mergeCell ref="B108:B134"/>
    <mergeCell ref="A108:A135"/>
    <mergeCell ref="B136:B142"/>
    <mergeCell ref="A136:A143"/>
    <mergeCell ref="B75:B106"/>
    <mergeCell ref="A75:A106"/>
    <mergeCell ref="A144:A175"/>
    <mergeCell ref="B144:B174"/>
    <mergeCell ref="A176:A191"/>
    <mergeCell ref="B176:B190"/>
    <mergeCell ref="A192:A205"/>
    <mergeCell ref="B192:B204"/>
    <mergeCell ref="A206:A221"/>
    <mergeCell ref="B206:B221"/>
    <mergeCell ref="A223:A238"/>
    <mergeCell ref="B223:B237"/>
    <mergeCell ref="A239:A256"/>
    <mergeCell ref="B239:B256"/>
    <mergeCell ref="B257:B273"/>
    <mergeCell ref="A257:A273"/>
    <mergeCell ref="A275:A306"/>
    <mergeCell ref="B275:B306"/>
    <mergeCell ref="A307:A327"/>
    <mergeCell ref="B307:B327"/>
    <mergeCell ref="B328:B337"/>
    <mergeCell ref="A328:A337"/>
    <mergeCell ref="B414:B431"/>
    <mergeCell ref="A414:A431"/>
    <mergeCell ref="B338:B362"/>
    <mergeCell ref="A338:A362"/>
    <mergeCell ref="A363:A394"/>
    <mergeCell ref="B363:B394"/>
    <mergeCell ref="B395:B413"/>
    <mergeCell ref="A395:A4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B8F1-CE26-4E56-8F9A-2335EAA821AB}">
  <dimension ref="A1:L285"/>
  <sheetViews>
    <sheetView zoomScale="80" zoomScaleNormal="80" workbookViewId="0">
      <selection activeCell="N5" sqref="N5"/>
    </sheetView>
  </sheetViews>
  <sheetFormatPr defaultRowHeight="14.5" x14ac:dyDescent="0.35"/>
  <cols>
    <col min="1" max="1" width="3.7265625" customWidth="1"/>
    <col min="2" max="2" width="18.1796875" customWidth="1"/>
    <col min="3" max="3" width="13.1796875" customWidth="1"/>
    <col min="4" max="4" width="10.453125" customWidth="1"/>
    <col min="5" max="5" width="26.453125" customWidth="1"/>
    <col min="6" max="6" width="21.26953125" customWidth="1"/>
    <col min="7" max="7" width="15.7265625" customWidth="1"/>
    <col min="11" max="11" width="13.453125" customWidth="1"/>
    <col min="12" max="12" width="10" customWidth="1"/>
  </cols>
  <sheetData>
    <row r="1" spans="1:12" ht="55.5" customHeight="1" x14ac:dyDescent="0.35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12" ht="15" customHeight="1" x14ac:dyDescent="0.35">
      <c r="A2" s="245" t="s">
        <v>1</v>
      </c>
      <c r="B2" s="291" t="s">
        <v>2970</v>
      </c>
      <c r="C2" s="291" t="s">
        <v>1622</v>
      </c>
      <c r="D2" s="291" t="s">
        <v>1621</v>
      </c>
      <c r="E2" s="291" t="s">
        <v>2971</v>
      </c>
      <c r="F2" s="246" t="s">
        <v>2972</v>
      </c>
      <c r="G2" s="291" t="s">
        <v>12</v>
      </c>
      <c r="H2" s="256" t="s">
        <v>15</v>
      </c>
      <c r="I2" s="256"/>
      <c r="J2" s="257"/>
      <c r="K2" s="257"/>
    </row>
    <row r="3" spans="1:12" ht="15" customHeight="1" x14ac:dyDescent="0.35">
      <c r="A3" s="237"/>
      <c r="B3" s="238"/>
      <c r="C3" s="238"/>
      <c r="D3" s="238"/>
      <c r="E3" s="238"/>
      <c r="F3" s="247"/>
      <c r="G3" s="292"/>
      <c r="H3" s="258" t="s">
        <v>13</v>
      </c>
      <c r="I3" s="257"/>
      <c r="J3" s="259" t="s">
        <v>14</v>
      </c>
      <c r="K3" s="260"/>
      <c r="L3" s="216" t="s">
        <v>2</v>
      </c>
    </row>
    <row r="4" spans="1:12" x14ac:dyDescent="0.35">
      <c r="A4" s="237"/>
      <c r="B4" s="238"/>
      <c r="C4" s="238"/>
      <c r="D4" s="238"/>
      <c r="E4" s="238"/>
      <c r="F4" s="248"/>
      <c r="G4" s="292"/>
      <c r="H4" s="8" t="s">
        <v>3</v>
      </c>
      <c r="I4" s="8" t="s">
        <v>4</v>
      </c>
      <c r="J4" s="8" t="s">
        <v>3</v>
      </c>
      <c r="K4" s="8" t="s">
        <v>4</v>
      </c>
      <c r="L4" s="216" t="s">
        <v>3296</v>
      </c>
    </row>
    <row r="5" spans="1:12" ht="19.5" customHeight="1" x14ac:dyDescent="0.35">
      <c r="A5" s="254">
        <v>1</v>
      </c>
      <c r="B5" s="320" t="s">
        <v>2973</v>
      </c>
      <c r="C5" s="173" t="s">
        <v>1623</v>
      </c>
      <c r="D5" s="173" t="s">
        <v>2974</v>
      </c>
      <c r="E5" s="10" t="s">
        <v>2975</v>
      </c>
      <c r="F5" s="10" t="s">
        <v>2976</v>
      </c>
      <c r="G5" s="10" t="s">
        <v>2977</v>
      </c>
      <c r="H5" s="12">
        <v>5</v>
      </c>
      <c r="I5" s="12">
        <v>4</v>
      </c>
      <c r="J5" s="12">
        <v>26</v>
      </c>
      <c r="K5" s="12">
        <v>26</v>
      </c>
      <c r="L5" s="220">
        <f>H5+I5+J5+K5</f>
        <v>61</v>
      </c>
    </row>
    <row r="6" spans="1:12" x14ac:dyDescent="0.35">
      <c r="A6" s="255"/>
      <c r="B6" s="321"/>
      <c r="C6" s="173" t="s">
        <v>1623</v>
      </c>
      <c r="D6" s="173" t="s">
        <v>2974</v>
      </c>
      <c r="E6" s="10" t="s">
        <v>2975</v>
      </c>
      <c r="F6" s="10" t="s">
        <v>2976</v>
      </c>
      <c r="G6" s="10" t="s">
        <v>2978</v>
      </c>
      <c r="H6" s="12">
        <v>10</v>
      </c>
      <c r="I6" s="12">
        <v>7</v>
      </c>
      <c r="J6" s="12">
        <v>26</v>
      </c>
      <c r="K6" s="12">
        <v>24</v>
      </c>
      <c r="L6" s="220">
        <f t="shared" ref="L6:L70" si="0">H6+I6+J6+K6</f>
        <v>67</v>
      </c>
    </row>
    <row r="7" spans="1:12" x14ac:dyDescent="0.35">
      <c r="A7" s="255"/>
      <c r="B7" s="321"/>
      <c r="C7" s="173" t="s">
        <v>1623</v>
      </c>
      <c r="D7" s="173" t="s">
        <v>2974</v>
      </c>
      <c r="E7" s="10" t="s">
        <v>2975</v>
      </c>
      <c r="F7" s="10" t="s">
        <v>2976</v>
      </c>
      <c r="G7" s="10" t="s">
        <v>2979</v>
      </c>
      <c r="H7" s="12">
        <v>6</v>
      </c>
      <c r="I7" s="12">
        <v>5</v>
      </c>
      <c r="J7" s="12">
        <v>36</v>
      </c>
      <c r="K7" s="12">
        <v>38</v>
      </c>
      <c r="L7" s="220">
        <f t="shared" si="0"/>
        <v>85</v>
      </c>
    </row>
    <row r="8" spans="1:12" x14ac:dyDescent="0.35">
      <c r="A8" s="255"/>
      <c r="B8" s="321"/>
      <c r="C8" s="173" t="s">
        <v>1623</v>
      </c>
      <c r="D8" s="173" t="s">
        <v>2974</v>
      </c>
      <c r="E8" s="10" t="s">
        <v>2975</v>
      </c>
      <c r="F8" s="10" t="s">
        <v>2980</v>
      </c>
      <c r="G8" s="14" t="s">
        <v>2981</v>
      </c>
      <c r="H8" s="12">
        <v>9</v>
      </c>
      <c r="I8" s="12">
        <v>9</v>
      </c>
      <c r="J8" s="12">
        <v>24</v>
      </c>
      <c r="K8" s="12">
        <v>16</v>
      </c>
      <c r="L8" s="220">
        <f t="shared" si="0"/>
        <v>58</v>
      </c>
    </row>
    <row r="9" spans="1:12" x14ac:dyDescent="0.35">
      <c r="A9" s="255"/>
      <c r="B9" s="321"/>
      <c r="C9" s="173" t="s">
        <v>1623</v>
      </c>
      <c r="D9" s="173" t="s">
        <v>2974</v>
      </c>
      <c r="E9" s="10" t="s">
        <v>2975</v>
      </c>
      <c r="F9" s="10" t="s">
        <v>2980</v>
      </c>
      <c r="G9" s="10" t="s">
        <v>2982</v>
      </c>
      <c r="H9" s="12">
        <v>7</v>
      </c>
      <c r="I9" s="12">
        <v>8</v>
      </c>
      <c r="J9" s="12">
        <v>23</v>
      </c>
      <c r="K9" s="12">
        <v>27</v>
      </c>
      <c r="L9" s="220">
        <f t="shared" si="0"/>
        <v>65</v>
      </c>
    </row>
    <row r="10" spans="1:12" x14ac:dyDescent="0.35">
      <c r="A10" s="255"/>
      <c r="B10" s="321"/>
      <c r="C10" s="173" t="s">
        <v>1623</v>
      </c>
      <c r="D10" s="173" t="s">
        <v>2974</v>
      </c>
      <c r="E10" s="10" t="s">
        <v>2975</v>
      </c>
      <c r="F10" s="10" t="s">
        <v>2976</v>
      </c>
      <c r="G10" s="14" t="s">
        <v>2983</v>
      </c>
      <c r="H10" s="12">
        <v>4</v>
      </c>
      <c r="I10" s="12">
        <v>2</v>
      </c>
      <c r="J10" s="12">
        <v>11</v>
      </c>
      <c r="K10" s="12">
        <v>7</v>
      </c>
      <c r="L10" s="220">
        <f t="shared" si="0"/>
        <v>24</v>
      </c>
    </row>
    <row r="11" spans="1:12" x14ac:dyDescent="0.35">
      <c r="A11" s="255"/>
      <c r="B11" s="321"/>
      <c r="C11" s="173" t="s">
        <v>1623</v>
      </c>
      <c r="D11" s="173" t="s">
        <v>2974</v>
      </c>
      <c r="E11" s="10" t="s">
        <v>2975</v>
      </c>
      <c r="F11" s="10" t="s">
        <v>2976</v>
      </c>
      <c r="G11" s="10" t="s">
        <v>2984</v>
      </c>
      <c r="H11" s="12">
        <v>10</v>
      </c>
      <c r="I11" s="12">
        <v>10</v>
      </c>
      <c r="J11" s="12">
        <v>22</v>
      </c>
      <c r="K11" s="12">
        <v>19</v>
      </c>
      <c r="L11" s="220">
        <f t="shared" si="0"/>
        <v>61</v>
      </c>
    </row>
    <row r="12" spans="1:12" ht="18.75" customHeight="1" x14ac:dyDescent="0.35">
      <c r="A12" s="255"/>
      <c r="B12" s="321"/>
      <c r="C12" s="173" t="s">
        <v>1623</v>
      </c>
      <c r="D12" s="173" t="s">
        <v>2974</v>
      </c>
      <c r="E12" s="10" t="s">
        <v>2975</v>
      </c>
      <c r="F12" s="10" t="s">
        <v>2985</v>
      </c>
      <c r="G12" s="10" t="s">
        <v>2986</v>
      </c>
      <c r="H12" s="12">
        <v>12</v>
      </c>
      <c r="I12" s="12">
        <v>15</v>
      </c>
      <c r="J12" s="12">
        <v>22</v>
      </c>
      <c r="K12" s="12">
        <v>23</v>
      </c>
      <c r="L12" s="220">
        <f t="shared" si="0"/>
        <v>72</v>
      </c>
    </row>
    <row r="13" spans="1:12" x14ac:dyDescent="0.35">
      <c r="A13" s="255"/>
      <c r="B13" s="321"/>
      <c r="C13" s="173" t="s">
        <v>1623</v>
      </c>
      <c r="D13" s="173" t="s">
        <v>2974</v>
      </c>
      <c r="E13" s="10" t="s">
        <v>2975</v>
      </c>
      <c r="F13" s="10" t="s">
        <v>2987</v>
      </c>
      <c r="G13" s="10" t="s">
        <v>2988</v>
      </c>
      <c r="H13" s="12">
        <v>31</v>
      </c>
      <c r="I13" s="12">
        <v>19</v>
      </c>
      <c r="J13" s="12">
        <v>30</v>
      </c>
      <c r="K13" s="12">
        <v>20</v>
      </c>
      <c r="L13" s="220">
        <f t="shared" si="0"/>
        <v>100</v>
      </c>
    </row>
    <row r="14" spans="1:12" x14ac:dyDescent="0.35">
      <c r="A14" s="309"/>
      <c r="B14" s="322"/>
      <c r="C14" s="173" t="s">
        <v>1623</v>
      </c>
      <c r="D14" s="173" t="s">
        <v>2974</v>
      </c>
      <c r="E14" s="10" t="s">
        <v>2975</v>
      </c>
      <c r="F14" s="10" t="s">
        <v>2976</v>
      </c>
      <c r="G14" s="10" t="s">
        <v>2989</v>
      </c>
      <c r="H14" s="15">
        <v>25</v>
      </c>
      <c r="I14" s="15">
        <v>19</v>
      </c>
      <c r="J14" s="15">
        <v>42</v>
      </c>
      <c r="K14" s="15">
        <v>19</v>
      </c>
      <c r="L14" s="220">
        <f t="shared" si="0"/>
        <v>105</v>
      </c>
    </row>
    <row r="15" spans="1:12" x14ac:dyDescent="0.35">
      <c r="A15" s="205"/>
      <c r="B15" s="221"/>
      <c r="C15" s="222"/>
      <c r="D15" s="222"/>
      <c r="E15" s="223"/>
      <c r="F15" s="150"/>
      <c r="G15" s="224" t="s">
        <v>3025</v>
      </c>
      <c r="H15" s="22">
        <f>SUM(H5:H14)</f>
        <v>119</v>
      </c>
      <c r="I15" s="22">
        <f t="shared" ref="I15:K15" si="1">SUM(I5:I14)</f>
        <v>98</v>
      </c>
      <c r="J15" s="22">
        <f t="shared" si="1"/>
        <v>262</v>
      </c>
      <c r="K15" s="22">
        <f t="shared" si="1"/>
        <v>219</v>
      </c>
      <c r="L15" s="225">
        <f t="shared" si="0"/>
        <v>698</v>
      </c>
    </row>
    <row r="16" spans="1:12" ht="18.75" customHeight="1" x14ac:dyDescent="0.35">
      <c r="A16" s="254">
        <v>2</v>
      </c>
      <c r="B16" s="320" t="s">
        <v>2990</v>
      </c>
      <c r="C16" s="173" t="s">
        <v>1623</v>
      </c>
      <c r="D16" s="173" t="s">
        <v>2974</v>
      </c>
      <c r="E16" s="10" t="s">
        <v>2975</v>
      </c>
      <c r="F16" s="10" t="s">
        <v>2985</v>
      </c>
      <c r="G16" s="21" t="s">
        <v>2991</v>
      </c>
      <c r="H16" s="12">
        <v>2</v>
      </c>
      <c r="I16" s="12">
        <v>0</v>
      </c>
      <c r="J16" s="12">
        <v>26</v>
      </c>
      <c r="K16" s="12">
        <v>19</v>
      </c>
      <c r="L16" s="220">
        <f t="shared" si="0"/>
        <v>47</v>
      </c>
    </row>
    <row r="17" spans="1:12" x14ac:dyDescent="0.35">
      <c r="A17" s="255"/>
      <c r="B17" s="321"/>
      <c r="C17" s="173" t="s">
        <v>1623</v>
      </c>
      <c r="D17" s="173" t="s">
        <v>2974</v>
      </c>
      <c r="E17" s="10" t="s">
        <v>2975</v>
      </c>
      <c r="F17" s="10" t="s">
        <v>2985</v>
      </c>
      <c r="G17" s="21" t="s">
        <v>2992</v>
      </c>
      <c r="H17" s="12">
        <v>3</v>
      </c>
      <c r="I17" s="12">
        <v>7</v>
      </c>
      <c r="J17" s="12">
        <v>11</v>
      </c>
      <c r="K17" s="12">
        <v>14</v>
      </c>
      <c r="L17" s="220">
        <f t="shared" si="0"/>
        <v>35</v>
      </c>
    </row>
    <row r="18" spans="1:12" x14ac:dyDescent="0.35">
      <c r="A18" s="255"/>
      <c r="B18" s="321"/>
      <c r="C18" s="173" t="s">
        <v>1623</v>
      </c>
      <c r="D18" s="173" t="s">
        <v>2974</v>
      </c>
      <c r="E18" s="10" t="s">
        <v>2975</v>
      </c>
      <c r="F18" s="10" t="s">
        <v>2985</v>
      </c>
      <c r="G18" s="21" t="s">
        <v>2993</v>
      </c>
      <c r="H18" s="12">
        <v>6</v>
      </c>
      <c r="I18" s="12">
        <v>4</v>
      </c>
      <c r="J18" s="12">
        <v>26</v>
      </c>
      <c r="K18" s="12">
        <v>24</v>
      </c>
      <c r="L18" s="220">
        <f t="shared" si="0"/>
        <v>60</v>
      </c>
    </row>
    <row r="19" spans="1:12" x14ac:dyDescent="0.35">
      <c r="A19" s="255"/>
      <c r="B19" s="321"/>
      <c r="C19" s="173" t="s">
        <v>1623</v>
      </c>
      <c r="D19" s="173" t="s">
        <v>2974</v>
      </c>
      <c r="E19" s="10" t="s">
        <v>2975</v>
      </c>
      <c r="F19" s="10" t="s">
        <v>2985</v>
      </c>
      <c r="G19" s="21" t="s">
        <v>2994</v>
      </c>
      <c r="H19" s="12">
        <v>5</v>
      </c>
      <c r="I19" s="12">
        <v>3</v>
      </c>
      <c r="J19" s="12">
        <v>18</v>
      </c>
      <c r="K19" s="12">
        <v>17</v>
      </c>
      <c r="L19" s="220">
        <f t="shared" si="0"/>
        <v>43</v>
      </c>
    </row>
    <row r="20" spans="1:12" x14ac:dyDescent="0.35">
      <c r="A20" s="255"/>
      <c r="B20" s="321"/>
      <c r="C20" s="173" t="s">
        <v>1623</v>
      </c>
      <c r="D20" s="173" t="s">
        <v>2974</v>
      </c>
      <c r="E20" s="10" t="s">
        <v>2975</v>
      </c>
      <c r="F20" s="10" t="s">
        <v>2985</v>
      </c>
      <c r="G20" s="21" t="s">
        <v>2995</v>
      </c>
      <c r="H20" s="12">
        <v>3</v>
      </c>
      <c r="I20" s="12">
        <v>10</v>
      </c>
      <c r="J20" s="12">
        <v>14</v>
      </c>
      <c r="K20" s="12">
        <v>15</v>
      </c>
      <c r="L20" s="220">
        <f t="shared" si="0"/>
        <v>42</v>
      </c>
    </row>
    <row r="21" spans="1:12" x14ac:dyDescent="0.35">
      <c r="A21" s="255"/>
      <c r="B21" s="321"/>
      <c r="C21" s="173" t="s">
        <v>1623</v>
      </c>
      <c r="D21" s="173" t="s">
        <v>2974</v>
      </c>
      <c r="E21" s="10" t="s">
        <v>2975</v>
      </c>
      <c r="F21" s="10" t="s">
        <v>2996</v>
      </c>
      <c r="G21" s="21" t="s">
        <v>2997</v>
      </c>
      <c r="H21" s="12">
        <v>8</v>
      </c>
      <c r="I21" s="12">
        <v>5</v>
      </c>
      <c r="J21" s="12">
        <v>19</v>
      </c>
      <c r="K21" s="12">
        <v>16</v>
      </c>
      <c r="L21" s="220">
        <f t="shared" si="0"/>
        <v>48</v>
      </c>
    </row>
    <row r="22" spans="1:12" x14ac:dyDescent="0.35">
      <c r="A22" s="255"/>
      <c r="B22" s="321"/>
      <c r="C22" s="173" t="s">
        <v>1623</v>
      </c>
      <c r="D22" s="173" t="s">
        <v>2974</v>
      </c>
      <c r="E22" s="10" t="s">
        <v>2975</v>
      </c>
      <c r="F22" s="10" t="s">
        <v>2985</v>
      </c>
      <c r="G22" s="21" t="s">
        <v>2998</v>
      </c>
      <c r="H22" s="12">
        <v>3</v>
      </c>
      <c r="I22" s="12">
        <v>6</v>
      </c>
      <c r="J22" s="12">
        <v>15</v>
      </c>
      <c r="K22" s="12">
        <v>20</v>
      </c>
      <c r="L22" s="220">
        <f t="shared" si="0"/>
        <v>44</v>
      </c>
    </row>
    <row r="23" spans="1:12" x14ac:dyDescent="0.35">
      <c r="A23" s="255"/>
      <c r="B23" s="321"/>
      <c r="C23" s="173" t="s">
        <v>1623</v>
      </c>
      <c r="D23" s="173" t="s">
        <v>2974</v>
      </c>
      <c r="E23" s="10" t="s">
        <v>2975</v>
      </c>
      <c r="F23" s="10" t="s">
        <v>2999</v>
      </c>
      <c r="G23" s="21" t="s">
        <v>2999</v>
      </c>
      <c r="H23" s="12">
        <v>5</v>
      </c>
      <c r="I23" s="12">
        <v>3</v>
      </c>
      <c r="J23" s="12">
        <v>11</v>
      </c>
      <c r="K23" s="12">
        <v>21</v>
      </c>
      <c r="L23" s="220">
        <f t="shared" si="0"/>
        <v>40</v>
      </c>
    </row>
    <row r="24" spans="1:12" x14ac:dyDescent="0.35">
      <c r="A24" s="255"/>
      <c r="B24" s="321"/>
      <c r="C24" s="173" t="s">
        <v>1623</v>
      </c>
      <c r="D24" s="173" t="s">
        <v>2974</v>
      </c>
      <c r="E24" s="10" t="s">
        <v>2975</v>
      </c>
      <c r="F24" s="10" t="s">
        <v>2985</v>
      </c>
      <c r="G24" s="21" t="s">
        <v>3000</v>
      </c>
      <c r="H24" s="12">
        <v>2</v>
      </c>
      <c r="I24" s="12">
        <v>1</v>
      </c>
      <c r="J24" s="12">
        <v>1</v>
      </c>
      <c r="K24" s="12">
        <v>15</v>
      </c>
      <c r="L24" s="220">
        <f t="shared" si="0"/>
        <v>19</v>
      </c>
    </row>
    <row r="25" spans="1:12" x14ac:dyDescent="0.35">
      <c r="A25" s="255"/>
      <c r="B25" s="321"/>
      <c r="C25" s="173" t="s">
        <v>1623</v>
      </c>
      <c r="D25" s="173" t="s">
        <v>2974</v>
      </c>
      <c r="E25" s="10" t="s">
        <v>2975</v>
      </c>
      <c r="F25" s="10" t="s">
        <v>3001</v>
      </c>
      <c r="G25" s="21" t="s">
        <v>3002</v>
      </c>
      <c r="H25" s="12">
        <v>6</v>
      </c>
      <c r="I25" s="12">
        <v>4</v>
      </c>
      <c r="J25" s="12">
        <v>8</v>
      </c>
      <c r="K25" s="12">
        <v>8</v>
      </c>
      <c r="L25" s="220">
        <f t="shared" si="0"/>
        <v>26</v>
      </c>
    </row>
    <row r="26" spans="1:12" x14ac:dyDescent="0.35">
      <c r="A26" s="255"/>
      <c r="B26" s="321"/>
      <c r="C26" s="173" t="s">
        <v>1623</v>
      </c>
      <c r="D26" s="173" t="s">
        <v>2974</v>
      </c>
      <c r="E26" s="10" t="s">
        <v>2975</v>
      </c>
      <c r="F26" s="10" t="s">
        <v>3003</v>
      </c>
      <c r="G26" s="21" t="s">
        <v>2528</v>
      </c>
      <c r="H26" s="12">
        <v>5</v>
      </c>
      <c r="I26" s="12">
        <v>3</v>
      </c>
      <c r="J26" s="12">
        <v>13</v>
      </c>
      <c r="K26" s="12">
        <v>15</v>
      </c>
      <c r="L26" s="220">
        <f t="shared" si="0"/>
        <v>36</v>
      </c>
    </row>
    <row r="27" spans="1:12" x14ac:dyDescent="0.35">
      <c r="A27" s="255"/>
      <c r="B27" s="321"/>
      <c r="C27" s="173" t="s">
        <v>1623</v>
      </c>
      <c r="D27" s="173" t="s">
        <v>2974</v>
      </c>
      <c r="E27" s="10" t="s">
        <v>2975</v>
      </c>
      <c r="F27" s="10" t="s">
        <v>3003</v>
      </c>
      <c r="G27" s="21" t="s">
        <v>3004</v>
      </c>
      <c r="H27" s="12">
        <v>2</v>
      </c>
      <c r="I27" s="12">
        <v>4</v>
      </c>
      <c r="J27" s="12">
        <v>19</v>
      </c>
      <c r="K27" s="12">
        <v>20</v>
      </c>
      <c r="L27" s="220">
        <f t="shared" si="0"/>
        <v>45</v>
      </c>
    </row>
    <row r="28" spans="1:12" x14ac:dyDescent="0.35">
      <c r="A28" s="255"/>
      <c r="B28" s="321"/>
      <c r="C28" s="173" t="s">
        <v>1623</v>
      </c>
      <c r="D28" s="173" t="s">
        <v>2974</v>
      </c>
      <c r="E28" s="10" t="s">
        <v>2975</v>
      </c>
      <c r="F28" s="10" t="s">
        <v>3003</v>
      </c>
      <c r="G28" s="21" t="s">
        <v>3005</v>
      </c>
      <c r="H28" s="12">
        <v>2</v>
      </c>
      <c r="I28" s="12">
        <v>3</v>
      </c>
      <c r="J28" s="12">
        <v>17</v>
      </c>
      <c r="K28" s="12">
        <v>11</v>
      </c>
      <c r="L28" s="220">
        <f t="shared" si="0"/>
        <v>33</v>
      </c>
    </row>
    <row r="29" spans="1:12" x14ac:dyDescent="0.35">
      <c r="A29" s="255"/>
      <c r="B29" s="322"/>
      <c r="C29" s="173" t="s">
        <v>1623</v>
      </c>
      <c r="D29" s="173" t="s">
        <v>2974</v>
      </c>
      <c r="E29" s="10" t="s">
        <v>2975</v>
      </c>
      <c r="F29" s="10" t="s">
        <v>3006</v>
      </c>
      <c r="G29" s="21" t="s">
        <v>3006</v>
      </c>
      <c r="H29" s="12">
        <v>6</v>
      </c>
      <c r="I29" s="12">
        <v>7</v>
      </c>
      <c r="J29" s="12">
        <v>15</v>
      </c>
      <c r="K29" s="12">
        <v>17</v>
      </c>
      <c r="L29" s="220">
        <f t="shared" si="0"/>
        <v>45</v>
      </c>
    </row>
    <row r="30" spans="1:12" x14ac:dyDescent="0.35">
      <c r="A30" s="309"/>
      <c r="B30" s="102"/>
      <c r="C30" s="102"/>
      <c r="D30" s="102"/>
      <c r="E30" s="102"/>
      <c r="F30" s="150"/>
      <c r="G30" s="102" t="s">
        <v>3025</v>
      </c>
      <c r="H30" s="22">
        <f>SUM(H16:H29)</f>
        <v>58</v>
      </c>
      <c r="I30" s="22">
        <f t="shared" ref="I30:K30" si="2">SUM(I16:I29)</f>
        <v>60</v>
      </c>
      <c r="J30" s="22">
        <f t="shared" si="2"/>
        <v>213</v>
      </c>
      <c r="K30" s="22">
        <f t="shared" si="2"/>
        <v>232</v>
      </c>
      <c r="L30" s="225">
        <f t="shared" si="0"/>
        <v>563</v>
      </c>
    </row>
    <row r="31" spans="1:12" ht="30" customHeight="1" x14ac:dyDescent="0.35">
      <c r="A31" s="254">
        <v>3</v>
      </c>
      <c r="B31" s="320" t="s">
        <v>3007</v>
      </c>
      <c r="C31" s="173" t="s">
        <v>1623</v>
      </c>
      <c r="D31" s="173" t="s">
        <v>2974</v>
      </c>
      <c r="E31" s="10" t="s">
        <v>2596</v>
      </c>
      <c r="F31" s="10" t="s">
        <v>3008</v>
      </c>
      <c r="G31" s="21" t="s">
        <v>3009</v>
      </c>
      <c r="H31" s="12">
        <v>6</v>
      </c>
      <c r="I31" s="12">
        <v>5</v>
      </c>
      <c r="J31" s="12">
        <v>10</v>
      </c>
      <c r="K31" s="12">
        <v>16</v>
      </c>
      <c r="L31" s="220">
        <f t="shared" si="0"/>
        <v>37</v>
      </c>
    </row>
    <row r="32" spans="1:12" x14ac:dyDescent="0.35">
      <c r="A32" s="255"/>
      <c r="B32" s="321"/>
      <c r="C32" s="173" t="s">
        <v>1623</v>
      </c>
      <c r="D32" s="173" t="s">
        <v>2974</v>
      </c>
      <c r="E32" s="10" t="s">
        <v>2596</v>
      </c>
      <c r="F32" s="10" t="s">
        <v>3008</v>
      </c>
      <c r="G32" s="21" t="s">
        <v>3010</v>
      </c>
      <c r="H32" s="12">
        <v>5</v>
      </c>
      <c r="I32" s="12">
        <v>3</v>
      </c>
      <c r="J32" s="12">
        <v>35</v>
      </c>
      <c r="K32" s="12">
        <v>44</v>
      </c>
      <c r="L32" s="220">
        <f t="shared" si="0"/>
        <v>87</v>
      </c>
    </row>
    <row r="33" spans="1:12" x14ac:dyDescent="0.35">
      <c r="A33" s="255"/>
      <c r="B33" s="321"/>
      <c r="C33" s="173" t="s">
        <v>1623</v>
      </c>
      <c r="D33" s="173" t="s">
        <v>2974</v>
      </c>
      <c r="E33" s="10" t="s">
        <v>3011</v>
      </c>
      <c r="F33" s="10" t="s">
        <v>3012</v>
      </c>
      <c r="G33" s="21" t="s">
        <v>3013</v>
      </c>
      <c r="H33" s="12">
        <v>12</v>
      </c>
      <c r="I33" s="12">
        <v>14</v>
      </c>
      <c r="J33" s="12">
        <v>22</v>
      </c>
      <c r="K33" s="12">
        <v>25</v>
      </c>
      <c r="L33" s="220">
        <f t="shared" si="0"/>
        <v>73</v>
      </c>
    </row>
    <row r="34" spans="1:12" x14ac:dyDescent="0.35">
      <c r="A34" s="255"/>
      <c r="B34" s="321"/>
      <c r="C34" s="173" t="s">
        <v>1623</v>
      </c>
      <c r="D34" s="173" t="s">
        <v>2974</v>
      </c>
      <c r="E34" s="10" t="s">
        <v>2596</v>
      </c>
      <c r="F34" s="10" t="s">
        <v>2596</v>
      </c>
      <c r="G34" s="21" t="s">
        <v>3014</v>
      </c>
      <c r="H34" s="12">
        <v>9</v>
      </c>
      <c r="I34" s="12">
        <v>13</v>
      </c>
      <c r="J34" s="12">
        <v>50</v>
      </c>
      <c r="K34" s="12">
        <v>62</v>
      </c>
      <c r="L34" s="220">
        <f t="shared" si="0"/>
        <v>134</v>
      </c>
    </row>
    <row r="35" spans="1:12" x14ac:dyDescent="0.35">
      <c r="A35" s="255"/>
      <c r="B35" s="321"/>
      <c r="C35" s="173" t="s">
        <v>1623</v>
      </c>
      <c r="D35" s="173" t="s">
        <v>2974</v>
      </c>
      <c r="E35" s="10" t="s">
        <v>2596</v>
      </c>
      <c r="F35" s="10" t="s">
        <v>2596</v>
      </c>
      <c r="G35" s="21" t="s">
        <v>123</v>
      </c>
      <c r="H35" s="12">
        <v>6</v>
      </c>
      <c r="I35" s="12">
        <v>3</v>
      </c>
      <c r="J35" s="12">
        <v>39</v>
      </c>
      <c r="K35" s="12">
        <v>36</v>
      </c>
      <c r="L35" s="220">
        <f t="shared" si="0"/>
        <v>84</v>
      </c>
    </row>
    <row r="36" spans="1:12" x14ac:dyDescent="0.35">
      <c r="A36" s="255"/>
      <c r="B36" s="321"/>
      <c r="C36" s="173" t="s">
        <v>1623</v>
      </c>
      <c r="D36" s="173" t="s">
        <v>2974</v>
      </c>
      <c r="E36" s="10" t="s">
        <v>2596</v>
      </c>
      <c r="F36" s="10" t="s">
        <v>3008</v>
      </c>
      <c r="G36" s="21" t="s">
        <v>3015</v>
      </c>
      <c r="H36" s="12">
        <v>8</v>
      </c>
      <c r="I36" s="12">
        <v>7</v>
      </c>
      <c r="J36" s="12">
        <v>26</v>
      </c>
      <c r="K36" s="12">
        <v>19</v>
      </c>
      <c r="L36" s="220">
        <f t="shared" si="0"/>
        <v>60</v>
      </c>
    </row>
    <row r="37" spans="1:12" x14ac:dyDescent="0.35">
      <c r="A37" s="255"/>
      <c r="B37" s="321"/>
      <c r="C37" s="173" t="s">
        <v>1623</v>
      </c>
      <c r="D37" s="173" t="s">
        <v>2974</v>
      </c>
      <c r="E37" s="10" t="s">
        <v>2596</v>
      </c>
      <c r="F37" s="10" t="s">
        <v>3008</v>
      </c>
      <c r="G37" s="21" t="s">
        <v>3016</v>
      </c>
      <c r="H37" s="12">
        <v>7</v>
      </c>
      <c r="I37" s="12">
        <v>5</v>
      </c>
      <c r="J37" s="12">
        <v>32</v>
      </c>
      <c r="K37" s="12">
        <v>26</v>
      </c>
      <c r="L37" s="220">
        <f t="shared" si="0"/>
        <v>70</v>
      </c>
    </row>
    <row r="38" spans="1:12" x14ac:dyDescent="0.35">
      <c r="A38" s="255"/>
      <c r="B38" s="321"/>
      <c r="C38" s="173" t="s">
        <v>1623</v>
      </c>
      <c r="D38" s="173" t="s">
        <v>2974</v>
      </c>
      <c r="E38" s="10" t="s">
        <v>2596</v>
      </c>
      <c r="F38" s="10" t="s">
        <v>2596</v>
      </c>
      <c r="G38" s="21" t="s">
        <v>3017</v>
      </c>
      <c r="H38" s="12">
        <v>13</v>
      </c>
      <c r="I38" s="12">
        <v>10</v>
      </c>
      <c r="J38" s="12">
        <v>51</v>
      </c>
      <c r="K38" s="12">
        <v>42</v>
      </c>
      <c r="L38" s="220">
        <f t="shared" si="0"/>
        <v>116</v>
      </c>
    </row>
    <row r="39" spans="1:12" x14ac:dyDescent="0.35">
      <c r="A39" s="255"/>
      <c r="B39" s="321"/>
      <c r="C39" s="173" t="s">
        <v>1623</v>
      </c>
      <c r="D39" s="173" t="s">
        <v>2974</v>
      </c>
      <c r="E39" s="10" t="s">
        <v>2596</v>
      </c>
      <c r="F39" s="10" t="s">
        <v>3008</v>
      </c>
      <c r="G39" s="21" t="s">
        <v>264</v>
      </c>
      <c r="H39" s="12">
        <v>6</v>
      </c>
      <c r="I39" s="12">
        <v>5</v>
      </c>
      <c r="J39" s="12">
        <v>13</v>
      </c>
      <c r="K39" s="12">
        <v>11</v>
      </c>
      <c r="L39" s="220">
        <f t="shared" si="0"/>
        <v>35</v>
      </c>
    </row>
    <row r="40" spans="1:12" x14ac:dyDescent="0.35">
      <c r="A40" s="255"/>
      <c r="B40" s="321"/>
      <c r="C40" s="173" t="s">
        <v>1623</v>
      </c>
      <c r="D40" s="173" t="s">
        <v>2974</v>
      </c>
      <c r="E40" s="10" t="s">
        <v>2596</v>
      </c>
      <c r="F40" s="10" t="s">
        <v>3008</v>
      </c>
      <c r="G40" s="21" t="s">
        <v>3018</v>
      </c>
      <c r="H40" s="12">
        <v>8</v>
      </c>
      <c r="I40" s="12">
        <v>6</v>
      </c>
      <c r="J40" s="12">
        <v>18</v>
      </c>
      <c r="K40" s="12">
        <v>14</v>
      </c>
      <c r="L40" s="220">
        <f t="shared" si="0"/>
        <v>46</v>
      </c>
    </row>
    <row r="41" spans="1:12" x14ac:dyDescent="0.35">
      <c r="A41" s="255"/>
      <c r="B41" s="321"/>
      <c r="C41" s="173" t="s">
        <v>1623</v>
      </c>
      <c r="D41" s="173" t="s">
        <v>2974</v>
      </c>
      <c r="E41" s="10" t="s">
        <v>2596</v>
      </c>
      <c r="F41" s="10" t="s">
        <v>3008</v>
      </c>
      <c r="G41" s="21" t="s">
        <v>463</v>
      </c>
      <c r="H41" s="12">
        <v>5</v>
      </c>
      <c r="I41" s="12">
        <v>5</v>
      </c>
      <c r="J41" s="12">
        <v>22</v>
      </c>
      <c r="K41" s="12">
        <v>33</v>
      </c>
      <c r="L41" s="220">
        <f t="shared" si="0"/>
        <v>65</v>
      </c>
    </row>
    <row r="42" spans="1:12" x14ac:dyDescent="0.35">
      <c r="A42" s="255"/>
      <c r="B42" s="321"/>
      <c r="C42" s="173" t="s">
        <v>1623</v>
      </c>
      <c r="D42" s="173" t="s">
        <v>2974</v>
      </c>
      <c r="E42" s="10" t="s">
        <v>2596</v>
      </c>
      <c r="F42" s="10" t="s">
        <v>2596</v>
      </c>
      <c r="G42" s="21" t="s">
        <v>3019</v>
      </c>
      <c r="H42" s="12">
        <v>4</v>
      </c>
      <c r="I42" s="12">
        <v>6</v>
      </c>
      <c r="J42" s="12">
        <v>23</v>
      </c>
      <c r="K42" s="12">
        <v>20</v>
      </c>
      <c r="L42" s="220">
        <f t="shared" si="0"/>
        <v>53</v>
      </c>
    </row>
    <row r="43" spans="1:12" x14ac:dyDescent="0.35">
      <c r="A43" s="255"/>
      <c r="B43" s="321"/>
      <c r="C43" s="173" t="s">
        <v>1623</v>
      </c>
      <c r="D43" s="173" t="s">
        <v>2974</v>
      </c>
      <c r="E43" s="10" t="s">
        <v>2596</v>
      </c>
      <c r="F43" s="10" t="s">
        <v>607</v>
      </c>
      <c r="G43" s="21" t="s">
        <v>3020</v>
      </c>
      <c r="H43" s="12">
        <v>12</v>
      </c>
      <c r="I43" s="12">
        <v>13</v>
      </c>
      <c r="J43" s="12">
        <v>16</v>
      </c>
      <c r="K43" s="12">
        <v>17</v>
      </c>
      <c r="L43" s="220">
        <f t="shared" si="0"/>
        <v>58</v>
      </c>
    </row>
    <row r="44" spans="1:12" x14ac:dyDescent="0.35">
      <c r="A44" s="255"/>
      <c r="B44" s="321"/>
      <c r="C44" s="173" t="s">
        <v>1623</v>
      </c>
      <c r="D44" s="173" t="s">
        <v>2974</v>
      </c>
      <c r="E44" s="10" t="s">
        <v>2596</v>
      </c>
      <c r="F44" s="10" t="s">
        <v>607</v>
      </c>
      <c r="G44" s="21" t="s">
        <v>3021</v>
      </c>
      <c r="H44" s="12">
        <v>5</v>
      </c>
      <c r="I44" s="12">
        <v>2</v>
      </c>
      <c r="J44" s="12">
        <v>17</v>
      </c>
      <c r="K44" s="12">
        <v>12</v>
      </c>
      <c r="L44" s="220">
        <f t="shared" si="0"/>
        <v>36</v>
      </c>
    </row>
    <row r="45" spans="1:12" x14ac:dyDescent="0.35">
      <c r="A45" s="255"/>
      <c r="B45" s="321"/>
      <c r="C45" s="173" t="s">
        <v>1623</v>
      </c>
      <c r="D45" s="173" t="s">
        <v>2974</v>
      </c>
      <c r="E45" s="10" t="s">
        <v>2596</v>
      </c>
      <c r="F45" s="10" t="s">
        <v>607</v>
      </c>
      <c r="G45" s="21" t="s">
        <v>245</v>
      </c>
      <c r="H45" s="12">
        <v>4</v>
      </c>
      <c r="I45" s="12">
        <v>6</v>
      </c>
      <c r="J45" s="12">
        <v>20</v>
      </c>
      <c r="K45" s="12">
        <v>21</v>
      </c>
      <c r="L45" s="220">
        <f t="shared" si="0"/>
        <v>51</v>
      </c>
    </row>
    <row r="46" spans="1:12" x14ac:dyDescent="0.35">
      <c r="A46" s="255"/>
      <c r="B46" s="321"/>
      <c r="C46" s="173" t="s">
        <v>1623</v>
      </c>
      <c r="D46" s="173" t="s">
        <v>2974</v>
      </c>
      <c r="E46" s="10" t="s">
        <v>2596</v>
      </c>
      <c r="F46" s="10" t="s">
        <v>607</v>
      </c>
      <c r="G46" s="21" t="s">
        <v>3022</v>
      </c>
      <c r="H46" s="12">
        <v>5</v>
      </c>
      <c r="I46" s="12">
        <v>5</v>
      </c>
      <c r="J46" s="12">
        <v>18</v>
      </c>
      <c r="K46" s="12">
        <v>22</v>
      </c>
      <c r="L46" s="220">
        <f t="shared" si="0"/>
        <v>50</v>
      </c>
    </row>
    <row r="47" spans="1:12" x14ac:dyDescent="0.35">
      <c r="A47" s="255"/>
      <c r="B47" s="321"/>
      <c r="C47" s="173" t="s">
        <v>1623</v>
      </c>
      <c r="D47" s="173" t="s">
        <v>2974</v>
      </c>
      <c r="E47" s="10" t="s">
        <v>2596</v>
      </c>
      <c r="F47" s="10" t="s">
        <v>607</v>
      </c>
      <c r="G47" s="21" t="s">
        <v>3023</v>
      </c>
      <c r="H47" s="12">
        <v>10</v>
      </c>
      <c r="I47" s="12">
        <v>15</v>
      </c>
      <c r="J47" s="12">
        <v>25</v>
      </c>
      <c r="K47" s="12">
        <v>17</v>
      </c>
      <c r="L47" s="220">
        <f t="shared" si="0"/>
        <v>67</v>
      </c>
    </row>
    <row r="48" spans="1:12" x14ac:dyDescent="0.35">
      <c r="A48" s="255"/>
      <c r="B48" s="322"/>
      <c r="C48" s="173" t="s">
        <v>1623</v>
      </c>
      <c r="D48" s="173" t="s">
        <v>2974</v>
      </c>
      <c r="E48" s="10" t="s">
        <v>2596</v>
      </c>
      <c r="F48" s="10" t="s">
        <v>3008</v>
      </c>
      <c r="G48" s="21" t="s">
        <v>3024</v>
      </c>
      <c r="H48" s="12">
        <v>5</v>
      </c>
      <c r="I48" s="12">
        <v>9</v>
      </c>
      <c r="J48" s="12">
        <v>31</v>
      </c>
      <c r="K48" s="12">
        <v>22</v>
      </c>
      <c r="L48" s="220">
        <f t="shared" si="0"/>
        <v>67</v>
      </c>
    </row>
    <row r="49" spans="1:12" x14ac:dyDescent="0.35">
      <c r="A49" s="309"/>
      <c r="B49" s="102"/>
      <c r="C49" s="102"/>
      <c r="D49" s="102"/>
      <c r="E49" s="102"/>
      <c r="F49" s="150"/>
      <c r="G49" s="102" t="s">
        <v>3025</v>
      </c>
      <c r="H49" s="102">
        <f>SUM(H31:H48)</f>
        <v>130</v>
      </c>
      <c r="I49" s="102">
        <f t="shared" ref="I49:K49" si="3">SUM(I31:I48)</f>
        <v>132</v>
      </c>
      <c r="J49" s="102">
        <f t="shared" si="3"/>
        <v>468</v>
      </c>
      <c r="K49" s="102">
        <f t="shared" si="3"/>
        <v>459</v>
      </c>
      <c r="L49" s="225">
        <f t="shared" si="0"/>
        <v>1189</v>
      </c>
    </row>
    <row r="50" spans="1:12" x14ac:dyDescent="0.35">
      <c r="A50" s="254">
        <v>4</v>
      </c>
      <c r="B50" s="320" t="s">
        <v>3026</v>
      </c>
      <c r="C50" s="173" t="s">
        <v>1623</v>
      </c>
      <c r="D50" s="173" t="s">
        <v>2974</v>
      </c>
      <c r="E50" s="10" t="s">
        <v>2596</v>
      </c>
      <c r="F50" s="10" t="s">
        <v>3027</v>
      </c>
      <c r="G50" s="21" t="s">
        <v>124</v>
      </c>
      <c r="H50" s="12">
        <v>6</v>
      </c>
      <c r="I50" s="12">
        <v>5</v>
      </c>
      <c r="J50" s="12">
        <v>28</v>
      </c>
      <c r="K50" s="12">
        <v>19</v>
      </c>
      <c r="L50" s="220">
        <f t="shared" si="0"/>
        <v>58</v>
      </c>
    </row>
    <row r="51" spans="1:12" x14ac:dyDescent="0.35">
      <c r="A51" s="255"/>
      <c r="B51" s="321"/>
      <c r="C51" s="173" t="s">
        <v>1623</v>
      </c>
      <c r="D51" s="173" t="s">
        <v>2974</v>
      </c>
      <c r="E51" s="10" t="s">
        <v>2596</v>
      </c>
      <c r="F51" s="10" t="s">
        <v>3028</v>
      </c>
      <c r="G51" s="21" t="s">
        <v>3029</v>
      </c>
      <c r="H51" s="12">
        <v>16</v>
      </c>
      <c r="I51" s="12">
        <v>11</v>
      </c>
      <c r="J51" s="12">
        <v>58</v>
      </c>
      <c r="K51" s="12">
        <v>52</v>
      </c>
      <c r="L51" s="220">
        <f t="shared" si="0"/>
        <v>137</v>
      </c>
    </row>
    <row r="52" spans="1:12" x14ac:dyDescent="0.35">
      <c r="A52" s="255"/>
      <c r="B52" s="321"/>
      <c r="C52" s="173" t="s">
        <v>1623</v>
      </c>
      <c r="D52" s="173" t="s">
        <v>2974</v>
      </c>
      <c r="E52" s="10" t="s">
        <v>2596</v>
      </c>
      <c r="F52" s="10" t="s">
        <v>3028</v>
      </c>
      <c r="G52" s="21" t="s">
        <v>3030</v>
      </c>
      <c r="H52" s="12">
        <v>14</v>
      </c>
      <c r="I52" s="12">
        <v>13</v>
      </c>
      <c r="J52" s="12">
        <v>48</v>
      </c>
      <c r="K52" s="12">
        <v>40</v>
      </c>
      <c r="L52" s="220">
        <f t="shared" si="0"/>
        <v>115</v>
      </c>
    </row>
    <row r="53" spans="1:12" x14ac:dyDescent="0.35">
      <c r="A53" s="255"/>
      <c r="B53" s="321"/>
      <c r="C53" s="173" t="s">
        <v>1623</v>
      </c>
      <c r="D53" s="173" t="s">
        <v>2974</v>
      </c>
      <c r="E53" s="10" t="s">
        <v>2596</v>
      </c>
      <c r="F53" s="10" t="s">
        <v>3028</v>
      </c>
      <c r="G53" s="21" t="s">
        <v>3031</v>
      </c>
      <c r="H53" s="12">
        <v>14</v>
      </c>
      <c r="I53" s="12">
        <v>14</v>
      </c>
      <c r="J53" s="12">
        <v>69</v>
      </c>
      <c r="K53" s="12">
        <v>72</v>
      </c>
      <c r="L53" s="220">
        <f t="shared" si="0"/>
        <v>169</v>
      </c>
    </row>
    <row r="54" spans="1:12" x14ac:dyDescent="0.35">
      <c r="A54" s="255"/>
      <c r="B54" s="321"/>
      <c r="C54" s="173" t="s">
        <v>1623</v>
      </c>
      <c r="D54" s="173" t="s">
        <v>2974</v>
      </c>
      <c r="E54" s="10" t="s">
        <v>2596</v>
      </c>
      <c r="F54" s="10" t="s">
        <v>3028</v>
      </c>
      <c r="G54" s="21" t="s">
        <v>3032</v>
      </c>
      <c r="H54" s="12">
        <v>2</v>
      </c>
      <c r="I54" s="12">
        <v>4</v>
      </c>
      <c r="J54" s="12">
        <v>28</v>
      </c>
      <c r="K54" s="12">
        <v>25</v>
      </c>
      <c r="L54" s="220">
        <f t="shared" si="0"/>
        <v>59</v>
      </c>
    </row>
    <row r="55" spans="1:12" x14ac:dyDescent="0.35">
      <c r="A55" s="255"/>
      <c r="B55" s="321"/>
      <c r="C55" s="173" t="s">
        <v>1623</v>
      </c>
      <c r="D55" s="173" t="s">
        <v>2974</v>
      </c>
      <c r="E55" s="10" t="s">
        <v>3033</v>
      </c>
      <c r="F55" s="10" t="s">
        <v>3028</v>
      </c>
      <c r="G55" s="21" t="s">
        <v>232</v>
      </c>
      <c r="H55" s="12">
        <v>7</v>
      </c>
      <c r="I55" s="12">
        <v>9</v>
      </c>
      <c r="J55" s="12">
        <v>19</v>
      </c>
      <c r="K55" s="12">
        <v>21</v>
      </c>
      <c r="L55" s="220">
        <f t="shared" si="0"/>
        <v>56</v>
      </c>
    </row>
    <row r="56" spans="1:12" x14ac:dyDescent="0.35">
      <c r="A56" s="255"/>
      <c r="B56" s="321"/>
      <c r="C56" s="173" t="s">
        <v>1623</v>
      </c>
      <c r="D56" s="173" t="s">
        <v>2974</v>
      </c>
      <c r="E56" s="10" t="s">
        <v>2596</v>
      </c>
      <c r="F56" s="10" t="s">
        <v>3028</v>
      </c>
      <c r="G56" s="21" t="s">
        <v>3034</v>
      </c>
      <c r="H56" s="12">
        <v>5</v>
      </c>
      <c r="I56" s="12">
        <v>2</v>
      </c>
      <c r="J56" s="12">
        <v>39</v>
      </c>
      <c r="K56" s="12">
        <v>17</v>
      </c>
      <c r="L56" s="220">
        <f t="shared" si="0"/>
        <v>63</v>
      </c>
    </row>
    <row r="57" spans="1:12" x14ac:dyDescent="0.35">
      <c r="A57" s="255"/>
      <c r="B57" s="322"/>
      <c r="C57" s="173" t="s">
        <v>1623</v>
      </c>
      <c r="D57" s="173" t="s">
        <v>2974</v>
      </c>
      <c r="E57" s="10" t="s">
        <v>2596</v>
      </c>
      <c r="F57" s="10" t="s">
        <v>3027</v>
      </c>
      <c r="G57" s="21" t="s">
        <v>1760</v>
      </c>
      <c r="H57" s="12">
        <v>6</v>
      </c>
      <c r="I57" s="12">
        <v>4</v>
      </c>
      <c r="J57" s="12">
        <v>25</v>
      </c>
      <c r="K57" s="12">
        <v>11</v>
      </c>
      <c r="L57" s="220">
        <f t="shared" si="0"/>
        <v>46</v>
      </c>
    </row>
    <row r="58" spans="1:12" x14ac:dyDescent="0.35">
      <c r="A58" s="309"/>
      <c r="B58" s="102"/>
      <c r="C58" s="102"/>
      <c r="D58" s="102"/>
      <c r="E58" s="102"/>
      <c r="F58" s="150"/>
      <c r="G58" s="102" t="s">
        <v>3025</v>
      </c>
      <c r="H58" s="102">
        <f>SUM(H50:H57)</f>
        <v>70</v>
      </c>
      <c r="I58" s="102">
        <f t="shared" ref="I58:K58" si="4">SUM(I50:I57)</f>
        <v>62</v>
      </c>
      <c r="J58" s="102">
        <f t="shared" si="4"/>
        <v>314</v>
      </c>
      <c r="K58" s="102">
        <f t="shared" si="4"/>
        <v>257</v>
      </c>
      <c r="L58" s="225">
        <f t="shared" si="0"/>
        <v>703</v>
      </c>
    </row>
    <row r="59" spans="1:12" ht="30" customHeight="1" x14ac:dyDescent="0.35">
      <c r="A59" s="254">
        <v>5</v>
      </c>
      <c r="B59" s="320" t="s">
        <v>3035</v>
      </c>
      <c r="C59" s="173" t="s">
        <v>1623</v>
      </c>
      <c r="D59" s="173" t="s">
        <v>2974</v>
      </c>
      <c r="E59" s="10" t="s">
        <v>3011</v>
      </c>
      <c r="F59" s="10" t="s">
        <v>3036</v>
      </c>
      <c r="G59" s="29" t="s">
        <v>3037</v>
      </c>
      <c r="H59" s="12">
        <v>3</v>
      </c>
      <c r="I59" s="12">
        <v>6</v>
      </c>
      <c r="J59" s="12">
        <v>10</v>
      </c>
      <c r="K59" s="12">
        <v>11</v>
      </c>
      <c r="L59" s="220">
        <f t="shared" si="0"/>
        <v>30</v>
      </c>
    </row>
    <row r="60" spans="1:12" x14ac:dyDescent="0.35">
      <c r="A60" s="255"/>
      <c r="B60" s="321"/>
      <c r="C60" s="173" t="s">
        <v>1623</v>
      </c>
      <c r="D60" s="173" t="s">
        <v>2974</v>
      </c>
      <c r="E60" s="10" t="s">
        <v>3011</v>
      </c>
      <c r="F60" s="10" t="s">
        <v>3038</v>
      </c>
      <c r="G60" s="29" t="s">
        <v>26</v>
      </c>
      <c r="H60" s="12">
        <v>14</v>
      </c>
      <c r="I60" s="12">
        <v>16</v>
      </c>
      <c r="J60" s="12">
        <v>26</v>
      </c>
      <c r="K60" s="12">
        <v>30</v>
      </c>
      <c r="L60" s="220">
        <f t="shared" si="0"/>
        <v>86</v>
      </c>
    </row>
    <row r="61" spans="1:12" x14ac:dyDescent="0.35">
      <c r="A61" s="255"/>
      <c r="B61" s="321"/>
      <c r="C61" s="173" t="s">
        <v>1623</v>
      </c>
      <c r="D61" s="173" t="s">
        <v>2974</v>
      </c>
      <c r="E61" s="10" t="s">
        <v>3011</v>
      </c>
      <c r="F61" s="10" t="s">
        <v>3039</v>
      </c>
      <c r="G61" s="29" t="s">
        <v>3040</v>
      </c>
      <c r="H61" s="12">
        <v>5</v>
      </c>
      <c r="I61" s="12">
        <v>5</v>
      </c>
      <c r="J61" s="12">
        <v>5</v>
      </c>
      <c r="K61" s="12">
        <v>7</v>
      </c>
      <c r="L61" s="220">
        <f t="shared" si="0"/>
        <v>22</v>
      </c>
    </row>
    <row r="62" spans="1:12" x14ac:dyDescent="0.35">
      <c r="A62" s="255"/>
      <c r="B62" s="321"/>
      <c r="C62" s="173" t="s">
        <v>1623</v>
      </c>
      <c r="D62" s="173" t="s">
        <v>2974</v>
      </c>
      <c r="E62" s="10" t="s">
        <v>3041</v>
      </c>
      <c r="F62" s="10" t="s">
        <v>3039</v>
      </c>
      <c r="G62" s="29" t="s">
        <v>22</v>
      </c>
      <c r="H62" s="12">
        <v>9</v>
      </c>
      <c r="I62" s="12">
        <v>7</v>
      </c>
      <c r="J62" s="12">
        <v>5</v>
      </c>
      <c r="K62" s="12">
        <v>10</v>
      </c>
      <c r="L62" s="220">
        <f t="shared" si="0"/>
        <v>31</v>
      </c>
    </row>
    <row r="63" spans="1:12" x14ac:dyDescent="0.35">
      <c r="A63" s="255"/>
      <c r="B63" s="321"/>
      <c r="C63" s="173" t="s">
        <v>1623</v>
      </c>
      <c r="D63" s="173" t="s">
        <v>2974</v>
      </c>
      <c r="E63" s="10" t="s">
        <v>3011</v>
      </c>
      <c r="F63" s="10" t="s">
        <v>3038</v>
      </c>
      <c r="G63" s="29" t="s">
        <v>3042</v>
      </c>
      <c r="H63" s="12">
        <v>6</v>
      </c>
      <c r="I63" s="12">
        <v>4</v>
      </c>
      <c r="J63" s="12">
        <v>13</v>
      </c>
      <c r="K63" s="12">
        <v>12</v>
      </c>
      <c r="L63" s="220">
        <f t="shared" si="0"/>
        <v>35</v>
      </c>
    </row>
    <row r="64" spans="1:12" x14ac:dyDescent="0.35">
      <c r="A64" s="255"/>
      <c r="B64" s="321"/>
      <c r="C64" s="173" t="s">
        <v>1623</v>
      </c>
      <c r="D64" s="173" t="s">
        <v>2974</v>
      </c>
      <c r="E64" s="10" t="s">
        <v>3011</v>
      </c>
      <c r="F64" s="10" t="s">
        <v>3038</v>
      </c>
      <c r="G64" s="29" t="s">
        <v>3043</v>
      </c>
      <c r="H64" s="12">
        <v>5</v>
      </c>
      <c r="I64" s="12">
        <v>17</v>
      </c>
      <c r="J64" s="12">
        <v>15</v>
      </c>
      <c r="K64" s="12">
        <v>13</v>
      </c>
      <c r="L64" s="220">
        <f t="shared" si="0"/>
        <v>50</v>
      </c>
    </row>
    <row r="65" spans="1:12" x14ac:dyDescent="0.35">
      <c r="A65" s="255"/>
      <c r="B65" s="321"/>
      <c r="C65" s="173" t="s">
        <v>1623</v>
      </c>
      <c r="D65" s="173" t="s">
        <v>2974</v>
      </c>
      <c r="E65" s="10" t="s">
        <v>3011</v>
      </c>
      <c r="F65" s="10" t="s">
        <v>3044</v>
      </c>
      <c r="G65" s="29" t="s">
        <v>3045</v>
      </c>
      <c r="H65" s="12">
        <v>6</v>
      </c>
      <c r="I65" s="12">
        <v>4</v>
      </c>
      <c r="J65" s="12">
        <v>5</v>
      </c>
      <c r="K65" s="12">
        <v>6</v>
      </c>
      <c r="L65" s="220">
        <f t="shared" si="0"/>
        <v>21</v>
      </c>
    </row>
    <row r="66" spans="1:12" x14ac:dyDescent="0.35">
      <c r="A66" s="255"/>
      <c r="B66" s="321"/>
      <c r="C66" s="173" t="s">
        <v>1623</v>
      </c>
      <c r="D66" s="173" t="s">
        <v>2974</v>
      </c>
      <c r="E66" s="10" t="s">
        <v>3011</v>
      </c>
      <c r="F66" s="10" t="s">
        <v>3038</v>
      </c>
      <c r="G66" s="29" t="s">
        <v>3046</v>
      </c>
      <c r="H66" s="12">
        <v>4</v>
      </c>
      <c r="I66" s="12">
        <v>9</v>
      </c>
      <c r="J66" s="12">
        <v>8</v>
      </c>
      <c r="K66" s="12">
        <v>7</v>
      </c>
      <c r="L66" s="220">
        <f t="shared" si="0"/>
        <v>28</v>
      </c>
    </row>
    <row r="67" spans="1:12" x14ac:dyDescent="0.35">
      <c r="A67" s="255"/>
      <c r="B67" s="321"/>
      <c r="C67" s="173" t="s">
        <v>1623</v>
      </c>
      <c r="D67" s="173" t="s">
        <v>2974</v>
      </c>
      <c r="E67" s="10" t="s">
        <v>3011</v>
      </c>
      <c r="F67" s="10" t="s">
        <v>3012</v>
      </c>
      <c r="G67" s="29" t="s">
        <v>227</v>
      </c>
      <c r="H67" s="12">
        <v>21</v>
      </c>
      <c r="I67" s="12">
        <v>16</v>
      </c>
      <c r="J67" s="12">
        <v>13</v>
      </c>
      <c r="K67" s="12">
        <v>21</v>
      </c>
      <c r="L67" s="220">
        <f t="shared" si="0"/>
        <v>71</v>
      </c>
    </row>
    <row r="68" spans="1:12" x14ac:dyDescent="0.35">
      <c r="A68" s="255"/>
      <c r="B68" s="321"/>
      <c r="C68" s="173" t="s">
        <v>1623</v>
      </c>
      <c r="D68" s="173" t="s">
        <v>2974</v>
      </c>
      <c r="E68" s="10" t="s">
        <v>3011</v>
      </c>
      <c r="F68" s="10" t="s">
        <v>3012</v>
      </c>
      <c r="G68" s="29" t="s">
        <v>1663</v>
      </c>
      <c r="H68" s="12">
        <v>21</v>
      </c>
      <c r="I68" s="12">
        <v>16</v>
      </c>
      <c r="J68" s="12">
        <v>13</v>
      </c>
      <c r="K68" s="12">
        <v>21</v>
      </c>
      <c r="L68" s="220">
        <f t="shared" si="0"/>
        <v>71</v>
      </c>
    </row>
    <row r="69" spans="1:12" x14ac:dyDescent="0.35">
      <c r="A69" s="255"/>
      <c r="B69" s="321"/>
      <c r="C69" s="173" t="s">
        <v>1623</v>
      </c>
      <c r="D69" s="173" t="s">
        <v>2974</v>
      </c>
      <c r="E69" s="10" t="s">
        <v>3011</v>
      </c>
      <c r="F69" s="10" t="s">
        <v>3047</v>
      </c>
      <c r="G69" s="29" t="s">
        <v>3048</v>
      </c>
      <c r="H69" s="12">
        <v>10</v>
      </c>
      <c r="I69" s="12">
        <v>8</v>
      </c>
      <c r="J69" s="12">
        <v>63</v>
      </c>
      <c r="K69" s="12">
        <v>54</v>
      </c>
      <c r="L69" s="220">
        <f t="shared" si="0"/>
        <v>135</v>
      </c>
    </row>
    <row r="70" spans="1:12" x14ac:dyDescent="0.35">
      <c r="A70" s="255"/>
      <c r="B70" s="321"/>
      <c r="C70" s="173" t="s">
        <v>1623</v>
      </c>
      <c r="D70" s="173" t="s">
        <v>2974</v>
      </c>
      <c r="E70" s="10" t="s">
        <v>3011</v>
      </c>
      <c r="F70" s="10" t="s">
        <v>3047</v>
      </c>
      <c r="G70" s="29" t="s">
        <v>3049</v>
      </c>
      <c r="H70" s="12">
        <v>9</v>
      </c>
      <c r="I70" s="12">
        <v>15</v>
      </c>
      <c r="J70" s="12">
        <v>12</v>
      </c>
      <c r="K70" s="12">
        <v>19</v>
      </c>
      <c r="L70" s="220">
        <f t="shared" si="0"/>
        <v>55</v>
      </c>
    </row>
    <row r="71" spans="1:12" x14ac:dyDescent="0.35">
      <c r="A71" s="255"/>
      <c r="B71" s="321"/>
      <c r="C71" s="173" t="s">
        <v>1623</v>
      </c>
      <c r="D71" s="173" t="s">
        <v>2974</v>
      </c>
      <c r="E71" s="10" t="s">
        <v>3011</v>
      </c>
      <c r="F71" s="10" t="s">
        <v>3047</v>
      </c>
      <c r="G71" s="29" t="s">
        <v>2261</v>
      </c>
      <c r="H71" s="12">
        <v>4</v>
      </c>
      <c r="I71" s="12">
        <v>3</v>
      </c>
      <c r="J71" s="12">
        <v>14</v>
      </c>
      <c r="K71" s="12">
        <v>28</v>
      </c>
      <c r="L71" s="220">
        <f t="shared" ref="L71:L134" si="5">H71+I71+J71+K71</f>
        <v>49</v>
      </c>
    </row>
    <row r="72" spans="1:12" x14ac:dyDescent="0.35">
      <c r="A72" s="255"/>
      <c r="B72" s="321"/>
      <c r="C72" s="173" t="s">
        <v>1623</v>
      </c>
      <c r="D72" s="173" t="s">
        <v>2974</v>
      </c>
      <c r="E72" s="10" t="s">
        <v>3011</v>
      </c>
      <c r="F72" s="3" t="s">
        <v>439</v>
      </c>
      <c r="G72" s="29" t="s">
        <v>3050</v>
      </c>
      <c r="H72" s="12">
        <v>8</v>
      </c>
      <c r="I72" s="12">
        <v>8</v>
      </c>
      <c r="J72" s="12">
        <v>41</v>
      </c>
      <c r="K72" s="12">
        <v>33</v>
      </c>
      <c r="L72" s="220">
        <f t="shared" si="5"/>
        <v>90</v>
      </c>
    </row>
    <row r="73" spans="1:12" x14ac:dyDescent="0.35">
      <c r="A73" s="255"/>
      <c r="B73" s="321"/>
      <c r="C73" s="173" t="s">
        <v>1623</v>
      </c>
      <c r="D73" s="173" t="s">
        <v>2974</v>
      </c>
      <c r="E73" s="10" t="s">
        <v>3011</v>
      </c>
      <c r="F73" s="3" t="s">
        <v>439</v>
      </c>
      <c r="G73" s="29" t="s">
        <v>3051</v>
      </c>
      <c r="H73" s="12">
        <v>5</v>
      </c>
      <c r="I73" s="12">
        <v>11</v>
      </c>
      <c r="J73" s="12">
        <v>71</v>
      </c>
      <c r="K73" s="12">
        <v>79</v>
      </c>
      <c r="L73" s="220">
        <f t="shared" si="5"/>
        <v>166</v>
      </c>
    </row>
    <row r="74" spans="1:12" x14ac:dyDescent="0.35">
      <c r="A74" s="255"/>
      <c r="B74" s="321"/>
      <c r="C74" s="173" t="s">
        <v>1623</v>
      </c>
      <c r="D74" s="173" t="s">
        <v>2974</v>
      </c>
      <c r="E74" s="10" t="s">
        <v>3011</v>
      </c>
      <c r="F74" s="3" t="s">
        <v>439</v>
      </c>
      <c r="G74" s="29" t="s">
        <v>3052</v>
      </c>
      <c r="H74" s="12">
        <v>3</v>
      </c>
      <c r="I74" s="12">
        <v>6</v>
      </c>
      <c r="J74" s="12">
        <v>36</v>
      </c>
      <c r="K74" s="12">
        <v>33</v>
      </c>
      <c r="L74" s="220">
        <f t="shared" si="5"/>
        <v>78</v>
      </c>
    </row>
    <row r="75" spans="1:12" x14ac:dyDescent="0.35">
      <c r="A75" s="255"/>
      <c r="B75" s="321"/>
      <c r="C75" s="173" t="s">
        <v>1623</v>
      </c>
      <c r="D75" s="173" t="s">
        <v>2974</v>
      </c>
      <c r="E75" s="10" t="s">
        <v>3011</v>
      </c>
      <c r="F75" s="10" t="s">
        <v>439</v>
      </c>
      <c r="G75" s="29" t="s">
        <v>3053</v>
      </c>
      <c r="H75" s="12">
        <v>11</v>
      </c>
      <c r="I75" s="12">
        <v>11</v>
      </c>
      <c r="J75" s="12">
        <v>49</v>
      </c>
      <c r="K75" s="12">
        <v>57</v>
      </c>
      <c r="L75" s="220">
        <f t="shared" si="5"/>
        <v>128</v>
      </c>
    </row>
    <row r="76" spans="1:12" x14ac:dyDescent="0.35">
      <c r="A76" s="255"/>
      <c r="B76" s="321"/>
      <c r="C76" s="173" t="s">
        <v>1623</v>
      </c>
      <c r="D76" s="173" t="s">
        <v>2974</v>
      </c>
      <c r="E76" s="10" t="s">
        <v>3011</v>
      </c>
      <c r="F76" s="3" t="s">
        <v>439</v>
      </c>
      <c r="G76" s="29" t="s">
        <v>3054</v>
      </c>
      <c r="H76" s="12">
        <v>16</v>
      </c>
      <c r="I76" s="12">
        <v>13</v>
      </c>
      <c r="J76" s="12">
        <v>32</v>
      </c>
      <c r="K76" s="12">
        <v>45</v>
      </c>
      <c r="L76" s="220">
        <f t="shared" si="5"/>
        <v>106</v>
      </c>
    </row>
    <row r="77" spans="1:12" x14ac:dyDescent="0.35">
      <c r="A77" s="255"/>
      <c r="B77" s="321"/>
      <c r="C77" s="173" t="s">
        <v>1623</v>
      </c>
      <c r="D77" s="173" t="s">
        <v>2974</v>
      </c>
      <c r="E77" s="10" t="s">
        <v>3011</v>
      </c>
      <c r="F77" s="3" t="s">
        <v>439</v>
      </c>
      <c r="G77" s="29" t="s">
        <v>3055</v>
      </c>
      <c r="H77" s="12">
        <v>2</v>
      </c>
      <c r="I77" s="12">
        <v>6</v>
      </c>
      <c r="J77" s="12">
        <v>20</v>
      </c>
      <c r="K77" s="12">
        <v>28</v>
      </c>
      <c r="L77" s="220">
        <f t="shared" si="5"/>
        <v>56</v>
      </c>
    </row>
    <row r="78" spans="1:12" x14ac:dyDescent="0.35">
      <c r="A78" s="255"/>
      <c r="B78" s="321"/>
      <c r="C78" s="173" t="s">
        <v>1623</v>
      </c>
      <c r="D78" s="173" t="s">
        <v>2974</v>
      </c>
      <c r="E78" s="10" t="s">
        <v>3011</v>
      </c>
      <c r="F78" s="10" t="s">
        <v>439</v>
      </c>
      <c r="G78" s="29" t="s">
        <v>3056</v>
      </c>
      <c r="H78" s="12">
        <v>2</v>
      </c>
      <c r="I78" s="12">
        <v>6</v>
      </c>
      <c r="J78" s="12">
        <v>20</v>
      </c>
      <c r="K78" s="12">
        <v>28</v>
      </c>
      <c r="L78" s="220">
        <f t="shared" si="5"/>
        <v>56</v>
      </c>
    </row>
    <row r="79" spans="1:12" x14ac:dyDescent="0.35">
      <c r="A79" s="255"/>
      <c r="B79" s="321"/>
      <c r="C79" s="173" t="s">
        <v>1623</v>
      </c>
      <c r="D79" s="173" t="s">
        <v>2974</v>
      </c>
      <c r="E79" s="10" t="s">
        <v>3011</v>
      </c>
      <c r="F79" s="10" t="s">
        <v>3057</v>
      </c>
      <c r="G79" s="29" t="s">
        <v>3058</v>
      </c>
      <c r="H79" s="12">
        <v>4</v>
      </c>
      <c r="I79" s="12">
        <v>7</v>
      </c>
      <c r="J79" s="12">
        <v>49</v>
      </c>
      <c r="K79" s="12">
        <v>54</v>
      </c>
      <c r="L79" s="220">
        <f t="shared" si="5"/>
        <v>114</v>
      </c>
    </row>
    <row r="80" spans="1:12" x14ac:dyDescent="0.35">
      <c r="A80" s="255"/>
      <c r="B80" s="321"/>
      <c r="C80" s="173" t="s">
        <v>1623</v>
      </c>
      <c r="D80" s="173" t="s">
        <v>2974</v>
      </c>
      <c r="E80" s="10" t="s">
        <v>3011</v>
      </c>
      <c r="F80" s="10" t="s">
        <v>3057</v>
      </c>
      <c r="G80" s="29" t="s">
        <v>323</v>
      </c>
      <c r="H80" s="12">
        <v>6</v>
      </c>
      <c r="I80" s="12">
        <v>5</v>
      </c>
      <c r="J80" s="12">
        <v>13</v>
      </c>
      <c r="K80" s="12">
        <v>21</v>
      </c>
      <c r="L80" s="220">
        <f t="shared" si="5"/>
        <v>45</v>
      </c>
    </row>
    <row r="81" spans="1:12" x14ac:dyDescent="0.35">
      <c r="A81" s="255"/>
      <c r="B81" s="321"/>
      <c r="C81" s="173" t="s">
        <v>1623</v>
      </c>
      <c r="D81" s="173" t="s">
        <v>2974</v>
      </c>
      <c r="E81" s="10" t="s">
        <v>3011</v>
      </c>
      <c r="F81" s="3" t="s">
        <v>439</v>
      </c>
      <c r="G81" s="29" t="s">
        <v>3059</v>
      </c>
      <c r="H81" s="12">
        <v>3</v>
      </c>
      <c r="I81" s="12">
        <v>3</v>
      </c>
      <c r="J81" s="12">
        <v>12</v>
      </c>
      <c r="K81" s="12">
        <v>24</v>
      </c>
      <c r="L81" s="220">
        <f t="shared" si="5"/>
        <v>42</v>
      </c>
    </row>
    <row r="82" spans="1:12" x14ac:dyDescent="0.35">
      <c r="A82" s="255"/>
      <c r="B82" s="321"/>
      <c r="C82" s="173" t="s">
        <v>1623</v>
      </c>
      <c r="D82" s="173" t="s">
        <v>2974</v>
      </c>
      <c r="E82" s="10" t="s">
        <v>3011</v>
      </c>
      <c r="F82" s="10" t="s">
        <v>3057</v>
      </c>
      <c r="G82" s="29" t="s">
        <v>334</v>
      </c>
      <c r="H82" s="12">
        <v>8</v>
      </c>
      <c r="I82" s="12">
        <v>8</v>
      </c>
      <c r="J82" s="12">
        <v>33</v>
      </c>
      <c r="K82" s="12">
        <v>49</v>
      </c>
      <c r="L82" s="220">
        <f t="shared" si="5"/>
        <v>98</v>
      </c>
    </row>
    <row r="83" spans="1:12" x14ac:dyDescent="0.35">
      <c r="A83" s="255"/>
      <c r="B83" s="321"/>
      <c r="C83" s="173" t="s">
        <v>1623</v>
      </c>
      <c r="D83" s="173" t="s">
        <v>2974</v>
      </c>
      <c r="E83" s="10" t="s">
        <v>3011</v>
      </c>
      <c r="F83" s="10" t="s">
        <v>3057</v>
      </c>
      <c r="G83" s="29" t="s">
        <v>3060</v>
      </c>
      <c r="H83" s="12">
        <v>14</v>
      </c>
      <c r="I83" s="12">
        <v>10</v>
      </c>
      <c r="J83" s="12">
        <v>77</v>
      </c>
      <c r="K83" s="12">
        <v>70</v>
      </c>
      <c r="L83" s="220">
        <f t="shared" si="5"/>
        <v>171</v>
      </c>
    </row>
    <row r="84" spans="1:12" ht="19.5" customHeight="1" x14ac:dyDescent="0.35">
      <c r="A84" s="255"/>
      <c r="B84" s="321"/>
      <c r="C84" s="173" t="s">
        <v>1623</v>
      </c>
      <c r="D84" s="173" t="s">
        <v>2974</v>
      </c>
      <c r="E84" s="10" t="s">
        <v>3061</v>
      </c>
      <c r="F84" s="10" t="s">
        <v>3044</v>
      </c>
      <c r="G84" s="29" t="s">
        <v>255</v>
      </c>
      <c r="H84" s="12">
        <v>4</v>
      </c>
      <c r="I84" s="12">
        <v>6</v>
      </c>
      <c r="J84" s="12">
        <v>13</v>
      </c>
      <c r="K84" s="12">
        <v>17</v>
      </c>
      <c r="L84" s="220">
        <f t="shared" si="5"/>
        <v>40</v>
      </c>
    </row>
    <row r="85" spans="1:12" ht="20.25" customHeight="1" x14ac:dyDescent="0.35">
      <c r="A85" s="255"/>
      <c r="B85" s="321"/>
      <c r="C85" s="173" t="s">
        <v>1623</v>
      </c>
      <c r="D85" s="173" t="s">
        <v>2974</v>
      </c>
      <c r="E85" s="10" t="s">
        <v>3061</v>
      </c>
      <c r="F85" s="10" t="s">
        <v>3044</v>
      </c>
      <c r="G85" s="29" t="s">
        <v>516</v>
      </c>
      <c r="H85" s="12">
        <v>17</v>
      </c>
      <c r="I85" s="12">
        <v>18</v>
      </c>
      <c r="J85" s="12">
        <v>36</v>
      </c>
      <c r="K85" s="12">
        <v>48</v>
      </c>
      <c r="L85" s="220">
        <f t="shared" si="5"/>
        <v>119</v>
      </c>
    </row>
    <row r="86" spans="1:12" ht="22.5" customHeight="1" x14ac:dyDescent="0.35">
      <c r="A86" s="255"/>
      <c r="B86" s="321"/>
      <c r="C86" s="173" t="s">
        <v>1623</v>
      </c>
      <c r="D86" s="173" t="s">
        <v>2974</v>
      </c>
      <c r="E86" s="10" t="s">
        <v>3061</v>
      </c>
      <c r="F86" s="10" t="s">
        <v>3044</v>
      </c>
      <c r="G86" s="29" t="s">
        <v>3062</v>
      </c>
      <c r="H86" s="12">
        <v>4</v>
      </c>
      <c r="I86" s="12">
        <v>5</v>
      </c>
      <c r="J86" s="12">
        <v>30</v>
      </c>
      <c r="K86" s="12">
        <v>40</v>
      </c>
      <c r="L86" s="220">
        <f t="shared" si="5"/>
        <v>79</v>
      </c>
    </row>
    <row r="87" spans="1:12" ht="21" customHeight="1" x14ac:dyDescent="0.35">
      <c r="A87" s="255"/>
      <c r="B87" s="321"/>
      <c r="C87" s="173" t="s">
        <v>1623</v>
      </c>
      <c r="D87" s="173" t="s">
        <v>2974</v>
      </c>
      <c r="E87" s="10" t="s">
        <v>3061</v>
      </c>
      <c r="F87" s="10" t="s">
        <v>3063</v>
      </c>
      <c r="G87" s="29" t="s">
        <v>3064</v>
      </c>
      <c r="H87" s="12">
        <v>5</v>
      </c>
      <c r="I87" s="12">
        <v>11</v>
      </c>
      <c r="J87" s="12">
        <v>36</v>
      </c>
      <c r="K87" s="12">
        <v>33</v>
      </c>
      <c r="L87" s="220">
        <f t="shared" si="5"/>
        <v>85</v>
      </c>
    </row>
    <row r="88" spans="1:12" ht="21.75" customHeight="1" x14ac:dyDescent="0.35">
      <c r="A88" s="255"/>
      <c r="B88" s="321"/>
      <c r="C88" s="173" t="s">
        <v>1623</v>
      </c>
      <c r="D88" s="173" t="s">
        <v>2974</v>
      </c>
      <c r="E88" s="10" t="s">
        <v>3061</v>
      </c>
      <c r="F88" s="10" t="s">
        <v>3063</v>
      </c>
      <c r="G88" s="29" t="s">
        <v>3065</v>
      </c>
      <c r="H88" s="12">
        <v>21</v>
      </c>
      <c r="I88" s="12">
        <v>20</v>
      </c>
      <c r="J88" s="12">
        <v>70</v>
      </c>
      <c r="K88" s="12">
        <v>42</v>
      </c>
      <c r="L88" s="220">
        <f t="shared" si="5"/>
        <v>153</v>
      </c>
    </row>
    <row r="89" spans="1:12" ht="18" customHeight="1" x14ac:dyDescent="0.35">
      <c r="A89" s="255"/>
      <c r="B89" s="321"/>
      <c r="C89" s="173" t="s">
        <v>1623</v>
      </c>
      <c r="D89" s="173" t="s">
        <v>2974</v>
      </c>
      <c r="E89" s="10" t="s">
        <v>3061</v>
      </c>
      <c r="F89" s="10" t="s">
        <v>3063</v>
      </c>
      <c r="G89" s="29" t="s">
        <v>3066</v>
      </c>
      <c r="H89" s="12">
        <v>13</v>
      </c>
      <c r="I89" s="12">
        <v>11</v>
      </c>
      <c r="J89" s="12">
        <v>27</v>
      </c>
      <c r="K89" s="12">
        <v>23</v>
      </c>
      <c r="L89" s="220">
        <f t="shared" si="5"/>
        <v>74</v>
      </c>
    </row>
    <row r="90" spans="1:12" ht="23.25" customHeight="1" x14ac:dyDescent="0.35">
      <c r="A90" s="255"/>
      <c r="B90" s="321"/>
      <c r="C90" s="173" t="s">
        <v>1623</v>
      </c>
      <c r="D90" s="173" t="s">
        <v>2974</v>
      </c>
      <c r="E90" s="10" t="s">
        <v>3061</v>
      </c>
      <c r="F90" s="10" t="s">
        <v>3067</v>
      </c>
      <c r="G90" s="29" t="s">
        <v>473</v>
      </c>
      <c r="H90" s="12">
        <v>12</v>
      </c>
      <c r="I90" s="12">
        <v>8</v>
      </c>
      <c r="J90" s="12">
        <v>35</v>
      </c>
      <c r="K90" s="12">
        <v>37</v>
      </c>
      <c r="L90" s="220">
        <f t="shared" si="5"/>
        <v>92</v>
      </c>
    </row>
    <row r="91" spans="1:12" ht="21.75" customHeight="1" x14ac:dyDescent="0.35">
      <c r="A91" s="255"/>
      <c r="B91" s="321"/>
      <c r="C91" s="173" t="s">
        <v>1623</v>
      </c>
      <c r="D91" s="173" t="s">
        <v>2974</v>
      </c>
      <c r="E91" s="10" t="s">
        <v>3061</v>
      </c>
      <c r="F91" s="10" t="s">
        <v>3067</v>
      </c>
      <c r="G91" s="29" t="s">
        <v>3068</v>
      </c>
      <c r="H91" s="12">
        <v>16</v>
      </c>
      <c r="I91" s="12">
        <v>3</v>
      </c>
      <c r="J91" s="12">
        <v>44</v>
      </c>
      <c r="K91" s="12">
        <v>54</v>
      </c>
      <c r="L91" s="220">
        <f t="shared" si="5"/>
        <v>117</v>
      </c>
    </row>
    <row r="92" spans="1:12" x14ac:dyDescent="0.35">
      <c r="A92" s="255"/>
      <c r="B92" s="321"/>
      <c r="C92" s="173" t="s">
        <v>1623</v>
      </c>
      <c r="D92" s="173" t="s">
        <v>2974</v>
      </c>
      <c r="E92" s="10" t="s">
        <v>3011</v>
      </c>
      <c r="F92" s="10" t="s">
        <v>3038</v>
      </c>
      <c r="G92" s="29" t="s">
        <v>3069</v>
      </c>
      <c r="H92" s="12">
        <v>5</v>
      </c>
      <c r="I92" s="12">
        <v>6</v>
      </c>
      <c r="J92" s="12">
        <v>53</v>
      </c>
      <c r="K92" s="12">
        <v>48</v>
      </c>
      <c r="L92" s="220">
        <f t="shared" si="5"/>
        <v>112</v>
      </c>
    </row>
    <row r="93" spans="1:12" ht="20.25" customHeight="1" x14ac:dyDescent="0.35">
      <c r="A93" s="255"/>
      <c r="B93" s="321"/>
      <c r="C93" s="173" t="s">
        <v>1623</v>
      </c>
      <c r="D93" s="173" t="s">
        <v>2974</v>
      </c>
      <c r="E93" s="10" t="s">
        <v>3061</v>
      </c>
      <c r="F93" s="10" t="s">
        <v>3067</v>
      </c>
      <c r="G93" s="29" t="s">
        <v>3070</v>
      </c>
      <c r="H93" s="12">
        <v>3</v>
      </c>
      <c r="I93" s="12">
        <v>7</v>
      </c>
      <c r="J93" s="12">
        <v>33</v>
      </c>
      <c r="K93" s="12">
        <v>42</v>
      </c>
      <c r="L93" s="220">
        <f t="shared" si="5"/>
        <v>85</v>
      </c>
    </row>
    <row r="94" spans="1:12" x14ac:dyDescent="0.35">
      <c r="A94" s="255"/>
      <c r="B94" s="321"/>
      <c r="C94" s="173" t="s">
        <v>1623</v>
      </c>
      <c r="D94" s="173" t="s">
        <v>2974</v>
      </c>
      <c r="E94" s="10" t="s">
        <v>3011</v>
      </c>
      <c r="F94" s="3" t="s">
        <v>439</v>
      </c>
      <c r="G94" s="29" t="s">
        <v>3071</v>
      </c>
      <c r="H94" s="12">
        <v>0</v>
      </c>
      <c r="I94" s="12">
        <v>1</v>
      </c>
      <c r="J94" s="12">
        <v>13</v>
      </c>
      <c r="K94" s="12">
        <v>14</v>
      </c>
      <c r="L94" s="220">
        <f t="shared" si="5"/>
        <v>28</v>
      </c>
    </row>
    <row r="95" spans="1:12" x14ac:dyDescent="0.35">
      <c r="A95" s="255"/>
      <c r="B95" s="321"/>
      <c r="C95" s="173" t="s">
        <v>1623</v>
      </c>
      <c r="D95" s="173" t="s">
        <v>2974</v>
      </c>
      <c r="E95" s="10" t="s">
        <v>3011</v>
      </c>
      <c r="F95" s="10" t="s">
        <v>3036</v>
      </c>
      <c r="G95" s="29" t="s">
        <v>3072</v>
      </c>
      <c r="H95" s="12">
        <v>6</v>
      </c>
      <c r="I95" s="12">
        <v>8</v>
      </c>
      <c r="J95" s="12">
        <v>11</v>
      </c>
      <c r="K95" s="12">
        <v>18</v>
      </c>
      <c r="L95" s="220">
        <f t="shared" si="5"/>
        <v>43</v>
      </c>
    </row>
    <row r="96" spans="1:12" x14ac:dyDescent="0.35">
      <c r="A96" s="255"/>
      <c r="B96" s="321"/>
      <c r="C96" s="173" t="s">
        <v>1623</v>
      </c>
      <c r="D96" s="173" t="s">
        <v>2974</v>
      </c>
      <c r="E96" s="10" t="s">
        <v>3011</v>
      </c>
      <c r="F96" s="3" t="s">
        <v>439</v>
      </c>
      <c r="G96" s="29" t="s">
        <v>3073</v>
      </c>
      <c r="H96" s="12">
        <v>7</v>
      </c>
      <c r="I96" s="12">
        <v>10</v>
      </c>
      <c r="J96" s="12">
        <v>9</v>
      </c>
      <c r="K96" s="12">
        <v>11</v>
      </c>
      <c r="L96" s="220">
        <f t="shared" si="5"/>
        <v>37</v>
      </c>
    </row>
    <row r="97" spans="1:12" x14ac:dyDescent="0.35">
      <c r="A97" s="255"/>
      <c r="B97" s="321"/>
      <c r="C97" s="173" t="s">
        <v>1623</v>
      </c>
      <c r="D97" s="173" t="s">
        <v>2974</v>
      </c>
      <c r="E97" s="10" t="s">
        <v>3011</v>
      </c>
      <c r="F97" s="3" t="s">
        <v>439</v>
      </c>
      <c r="G97" s="29" t="s">
        <v>3074</v>
      </c>
      <c r="H97" s="12">
        <v>14</v>
      </c>
      <c r="I97" s="12">
        <v>16</v>
      </c>
      <c r="J97" s="12">
        <v>20</v>
      </c>
      <c r="K97" s="12">
        <v>24</v>
      </c>
      <c r="L97" s="220">
        <f t="shared" si="5"/>
        <v>74</v>
      </c>
    </row>
    <row r="98" spans="1:12" x14ac:dyDescent="0.35">
      <c r="A98" s="255"/>
      <c r="B98" s="321"/>
      <c r="C98" s="173" t="s">
        <v>1623</v>
      </c>
      <c r="D98" s="173" t="s">
        <v>2974</v>
      </c>
      <c r="E98" s="10" t="s">
        <v>3011</v>
      </c>
      <c r="F98" s="10" t="s">
        <v>3036</v>
      </c>
      <c r="G98" s="29" t="s">
        <v>3075</v>
      </c>
      <c r="H98" s="12">
        <v>8</v>
      </c>
      <c r="I98" s="12">
        <v>10</v>
      </c>
      <c r="J98" s="12">
        <v>12</v>
      </c>
      <c r="K98" s="12">
        <v>37</v>
      </c>
      <c r="L98" s="220">
        <f t="shared" si="5"/>
        <v>67</v>
      </c>
    </row>
    <row r="99" spans="1:12" x14ac:dyDescent="0.35">
      <c r="A99" s="255"/>
      <c r="B99" s="321"/>
      <c r="C99" s="173" t="s">
        <v>1623</v>
      </c>
      <c r="D99" s="173" t="s">
        <v>2974</v>
      </c>
      <c r="E99" s="10" t="s">
        <v>3011</v>
      </c>
      <c r="F99" s="3" t="s">
        <v>3036</v>
      </c>
      <c r="G99" s="29" t="s">
        <v>3076</v>
      </c>
      <c r="H99" s="12">
        <v>8</v>
      </c>
      <c r="I99" s="12">
        <v>11</v>
      </c>
      <c r="J99" s="12">
        <v>24</v>
      </c>
      <c r="K99" s="12">
        <v>39</v>
      </c>
      <c r="L99" s="220">
        <f t="shared" si="5"/>
        <v>82</v>
      </c>
    </row>
    <row r="100" spans="1:12" x14ac:dyDescent="0.35">
      <c r="A100" s="255"/>
      <c r="B100" s="322"/>
      <c r="C100" s="173" t="s">
        <v>1623</v>
      </c>
      <c r="D100" s="173" t="s">
        <v>2974</v>
      </c>
      <c r="E100" s="10" t="s">
        <v>3011</v>
      </c>
      <c r="F100" s="3" t="s">
        <v>3036</v>
      </c>
      <c r="G100" s="29" t="s">
        <v>3077</v>
      </c>
      <c r="H100" s="12">
        <v>10</v>
      </c>
      <c r="I100" s="12">
        <v>13</v>
      </c>
      <c r="J100" s="12">
        <v>30</v>
      </c>
      <c r="K100" s="12">
        <v>43</v>
      </c>
      <c r="L100" s="220">
        <f t="shared" si="5"/>
        <v>96</v>
      </c>
    </row>
    <row r="101" spans="1:12" x14ac:dyDescent="0.35">
      <c r="A101" s="309"/>
      <c r="B101" s="102"/>
      <c r="C101" s="102"/>
      <c r="D101" s="102"/>
      <c r="E101" s="102"/>
      <c r="F101" s="150"/>
      <c r="G101" s="102" t="s">
        <v>3025</v>
      </c>
      <c r="H101" s="102">
        <f>SUM(H59:H100)</f>
        <v>352</v>
      </c>
      <c r="I101" s="102">
        <f t="shared" ref="I101:K101" si="6">SUM(I59:I100)</f>
        <v>384</v>
      </c>
      <c r="J101" s="102">
        <f t="shared" si="6"/>
        <v>1151</v>
      </c>
      <c r="K101" s="102">
        <f t="shared" si="6"/>
        <v>1330</v>
      </c>
      <c r="L101" s="225">
        <f t="shared" si="5"/>
        <v>3217</v>
      </c>
    </row>
    <row r="102" spans="1:12" ht="18.75" customHeight="1" x14ac:dyDescent="0.35">
      <c r="A102" s="254">
        <v>6</v>
      </c>
      <c r="B102" s="320" t="s">
        <v>3078</v>
      </c>
      <c r="C102" s="173" t="s">
        <v>1623</v>
      </c>
      <c r="D102" s="173" t="s">
        <v>2974</v>
      </c>
      <c r="E102" s="10" t="s">
        <v>3041</v>
      </c>
      <c r="F102" s="10" t="s">
        <v>3079</v>
      </c>
      <c r="G102" s="26" t="s">
        <v>3080</v>
      </c>
      <c r="H102" s="12">
        <v>10.34</v>
      </c>
      <c r="I102" s="12">
        <v>12</v>
      </c>
      <c r="J102" s="12">
        <v>26</v>
      </c>
      <c r="K102" s="12">
        <v>40</v>
      </c>
      <c r="L102" s="220">
        <f t="shared" si="5"/>
        <v>88.34</v>
      </c>
    </row>
    <row r="103" spans="1:12" x14ac:dyDescent="0.35">
      <c r="A103" s="255"/>
      <c r="B103" s="321"/>
      <c r="C103" s="173" t="s">
        <v>1623</v>
      </c>
      <c r="D103" s="173" t="s">
        <v>2974</v>
      </c>
      <c r="E103" s="10" t="s">
        <v>3081</v>
      </c>
      <c r="F103" s="10" t="s">
        <v>3039</v>
      </c>
      <c r="G103" s="26" t="s">
        <v>3082</v>
      </c>
      <c r="H103" s="12">
        <v>7</v>
      </c>
      <c r="I103" s="12">
        <v>8</v>
      </c>
      <c r="J103" s="12">
        <v>18</v>
      </c>
      <c r="K103" s="12">
        <v>27</v>
      </c>
      <c r="L103" s="220">
        <f t="shared" si="5"/>
        <v>60</v>
      </c>
    </row>
    <row r="104" spans="1:12" x14ac:dyDescent="0.35">
      <c r="A104" s="255"/>
      <c r="B104" s="321"/>
      <c r="C104" s="173" t="s">
        <v>1623</v>
      </c>
      <c r="D104" s="173" t="s">
        <v>2974</v>
      </c>
      <c r="E104" s="10" t="s">
        <v>3081</v>
      </c>
      <c r="F104" s="10" t="s">
        <v>3039</v>
      </c>
      <c r="G104" s="26" t="s">
        <v>3083</v>
      </c>
      <c r="H104" s="12">
        <v>13</v>
      </c>
      <c r="I104" s="12">
        <v>15</v>
      </c>
      <c r="J104" s="12">
        <v>33</v>
      </c>
      <c r="K104" s="12">
        <v>51</v>
      </c>
      <c r="L104" s="220">
        <f t="shared" si="5"/>
        <v>112</v>
      </c>
    </row>
    <row r="105" spans="1:12" x14ac:dyDescent="0.35">
      <c r="A105" s="255"/>
      <c r="B105" s="321"/>
      <c r="C105" s="173" t="s">
        <v>1623</v>
      </c>
      <c r="D105" s="173" t="s">
        <v>2974</v>
      </c>
      <c r="E105" s="10" t="s">
        <v>3041</v>
      </c>
      <c r="F105" s="10" t="s">
        <v>3084</v>
      </c>
      <c r="G105" s="26" t="s">
        <v>3085</v>
      </c>
      <c r="H105" s="12">
        <v>2</v>
      </c>
      <c r="I105" s="12">
        <v>2</v>
      </c>
      <c r="J105" s="12">
        <v>5</v>
      </c>
      <c r="K105" s="12">
        <v>7</v>
      </c>
      <c r="L105" s="220">
        <f t="shared" si="5"/>
        <v>16</v>
      </c>
    </row>
    <row r="106" spans="1:12" x14ac:dyDescent="0.35">
      <c r="A106" s="255"/>
      <c r="B106" s="321"/>
      <c r="C106" s="173" t="s">
        <v>1623</v>
      </c>
      <c r="D106" s="173" t="s">
        <v>2974</v>
      </c>
      <c r="E106" s="10" t="s">
        <v>3081</v>
      </c>
      <c r="F106" s="10" t="s">
        <v>3039</v>
      </c>
      <c r="G106" s="26" t="s">
        <v>3086</v>
      </c>
      <c r="H106" s="12">
        <v>11</v>
      </c>
      <c r="I106" s="12">
        <v>12</v>
      </c>
      <c r="J106" s="12">
        <v>27</v>
      </c>
      <c r="K106" s="12">
        <v>42</v>
      </c>
      <c r="L106" s="220">
        <f t="shared" si="5"/>
        <v>92</v>
      </c>
    </row>
    <row r="107" spans="1:12" x14ac:dyDescent="0.35">
      <c r="A107" s="255"/>
      <c r="B107" s="321"/>
      <c r="C107" s="173" t="s">
        <v>1623</v>
      </c>
      <c r="D107" s="173" t="s">
        <v>2974</v>
      </c>
      <c r="E107" s="10" t="s">
        <v>3081</v>
      </c>
      <c r="F107" s="10" t="s">
        <v>3079</v>
      </c>
      <c r="G107" s="26" t="s">
        <v>511</v>
      </c>
      <c r="H107" s="12">
        <v>9</v>
      </c>
      <c r="I107" s="12">
        <v>10</v>
      </c>
      <c r="J107" s="12">
        <v>22</v>
      </c>
      <c r="K107" s="12">
        <v>35</v>
      </c>
      <c r="L107" s="220">
        <f t="shared" si="5"/>
        <v>76</v>
      </c>
    </row>
    <row r="108" spans="1:12" x14ac:dyDescent="0.35">
      <c r="A108" s="255"/>
      <c r="B108" s="321"/>
      <c r="C108" s="173" t="s">
        <v>1623</v>
      </c>
      <c r="D108" s="173" t="s">
        <v>2974</v>
      </c>
      <c r="E108" s="10" t="s">
        <v>3041</v>
      </c>
      <c r="F108" s="10" t="s">
        <v>3084</v>
      </c>
      <c r="G108" s="26" t="s">
        <v>3087</v>
      </c>
      <c r="H108" s="12">
        <v>6</v>
      </c>
      <c r="I108" s="12">
        <v>6</v>
      </c>
      <c r="J108" s="12">
        <v>14</v>
      </c>
      <c r="K108" s="12">
        <v>22</v>
      </c>
      <c r="L108" s="220">
        <f t="shared" si="5"/>
        <v>48</v>
      </c>
    </row>
    <row r="109" spans="1:12" x14ac:dyDescent="0.35">
      <c r="A109" s="255"/>
      <c r="B109" s="321"/>
      <c r="C109" s="173" t="s">
        <v>1623</v>
      </c>
      <c r="D109" s="173" t="s">
        <v>2974</v>
      </c>
      <c r="E109" s="10" t="s">
        <v>3041</v>
      </c>
      <c r="F109" s="10" t="s">
        <v>3079</v>
      </c>
      <c r="G109" s="26" t="s">
        <v>3088</v>
      </c>
      <c r="H109" s="12">
        <v>4</v>
      </c>
      <c r="I109" s="12">
        <v>4</v>
      </c>
      <c r="J109" s="12">
        <v>9</v>
      </c>
      <c r="K109" s="12">
        <v>15</v>
      </c>
      <c r="L109" s="220">
        <f t="shared" si="5"/>
        <v>32</v>
      </c>
    </row>
    <row r="110" spans="1:12" x14ac:dyDescent="0.35">
      <c r="A110" s="255"/>
      <c r="B110" s="321"/>
      <c r="C110" s="173" t="s">
        <v>1623</v>
      </c>
      <c r="D110" s="173" t="s">
        <v>2974</v>
      </c>
      <c r="E110" s="10" t="s">
        <v>3041</v>
      </c>
      <c r="F110" s="10" t="s">
        <v>3084</v>
      </c>
      <c r="G110" s="26" t="s">
        <v>159</v>
      </c>
      <c r="H110" s="12">
        <v>16</v>
      </c>
      <c r="I110" s="12">
        <v>19</v>
      </c>
      <c r="J110" s="12">
        <v>41</v>
      </c>
      <c r="K110" s="12">
        <v>64</v>
      </c>
      <c r="L110" s="220">
        <f t="shared" si="5"/>
        <v>140</v>
      </c>
    </row>
    <row r="111" spans="1:12" x14ac:dyDescent="0.35">
      <c r="A111" s="255"/>
      <c r="B111" s="321"/>
      <c r="C111" s="173" t="s">
        <v>1623</v>
      </c>
      <c r="D111" s="173" t="s">
        <v>2974</v>
      </c>
      <c r="E111" s="10" t="s">
        <v>3081</v>
      </c>
      <c r="F111" s="10" t="s">
        <v>3079</v>
      </c>
      <c r="G111" s="26" t="s">
        <v>149</v>
      </c>
      <c r="H111" s="12">
        <v>15</v>
      </c>
      <c r="I111" s="12">
        <v>17</v>
      </c>
      <c r="J111" s="12">
        <v>37</v>
      </c>
      <c r="K111" s="12">
        <v>59</v>
      </c>
      <c r="L111" s="220">
        <f t="shared" si="5"/>
        <v>128</v>
      </c>
    </row>
    <row r="112" spans="1:12" x14ac:dyDescent="0.35">
      <c r="A112" s="255"/>
      <c r="B112" s="321"/>
      <c r="C112" s="173" t="s">
        <v>1623</v>
      </c>
      <c r="D112" s="173" t="s">
        <v>2974</v>
      </c>
      <c r="E112" s="10" t="s">
        <v>3081</v>
      </c>
      <c r="F112" s="10" t="s">
        <v>3081</v>
      </c>
      <c r="G112" s="26" t="s">
        <v>3089</v>
      </c>
      <c r="H112" s="12">
        <v>9</v>
      </c>
      <c r="I112" s="12">
        <v>10</v>
      </c>
      <c r="J112" s="12">
        <v>22</v>
      </c>
      <c r="K112" s="12">
        <v>35</v>
      </c>
      <c r="L112" s="220">
        <f t="shared" si="5"/>
        <v>76</v>
      </c>
    </row>
    <row r="113" spans="1:12" x14ac:dyDescent="0.35">
      <c r="A113" s="255"/>
      <c r="B113" s="321"/>
      <c r="C113" s="173" t="s">
        <v>1623</v>
      </c>
      <c r="D113" s="173" t="s">
        <v>2974</v>
      </c>
      <c r="E113" s="10" t="s">
        <v>3081</v>
      </c>
      <c r="F113" s="10" t="s">
        <v>3084</v>
      </c>
      <c r="G113" s="26" t="s">
        <v>3090</v>
      </c>
      <c r="H113" s="12">
        <v>1</v>
      </c>
      <c r="I113" s="12">
        <v>1</v>
      </c>
      <c r="J113" s="12">
        <v>2</v>
      </c>
      <c r="K113" s="12">
        <v>4</v>
      </c>
      <c r="L113" s="220">
        <f t="shared" si="5"/>
        <v>8</v>
      </c>
    </row>
    <row r="114" spans="1:12" x14ac:dyDescent="0.35">
      <c r="A114" s="255"/>
      <c r="B114" s="322"/>
      <c r="C114" s="173" t="s">
        <v>1623</v>
      </c>
      <c r="D114" s="173" t="s">
        <v>2974</v>
      </c>
      <c r="E114" s="10" t="s">
        <v>3081</v>
      </c>
      <c r="F114" s="10" t="s">
        <v>3084</v>
      </c>
      <c r="G114" s="26" t="s">
        <v>3091</v>
      </c>
      <c r="H114" s="12">
        <v>8</v>
      </c>
      <c r="I114" s="12">
        <v>10</v>
      </c>
      <c r="J114" s="12">
        <v>21</v>
      </c>
      <c r="K114" s="12">
        <v>33</v>
      </c>
      <c r="L114" s="220">
        <f t="shared" si="5"/>
        <v>72</v>
      </c>
    </row>
    <row r="115" spans="1:12" ht="15" thickBot="1" x14ac:dyDescent="0.4">
      <c r="A115" s="309"/>
      <c r="B115" s="102"/>
      <c r="C115" s="102"/>
      <c r="D115" s="102"/>
      <c r="E115" s="102"/>
      <c r="F115" s="150"/>
      <c r="G115" s="102" t="s">
        <v>3025</v>
      </c>
      <c r="H115" s="22">
        <f>SUM(H102:H114)</f>
        <v>111.34</v>
      </c>
      <c r="I115" s="102">
        <f t="shared" ref="I115:K115" si="7">SUM(I102:I114)</f>
        <v>126</v>
      </c>
      <c r="J115" s="102">
        <f t="shared" si="7"/>
        <v>277</v>
      </c>
      <c r="K115" s="102">
        <f t="shared" si="7"/>
        <v>434</v>
      </c>
      <c r="L115" s="225">
        <f t="shared" si="5"/>
        <v>948.34</v>
      </c>
    </row>
    <row r="116" spans="1:12" ht="15" customHeight="1" x14ac:dyDescent="0.35">
      <c r="A116" s="241">
        <v>7</v>
      </c>
      <c r="B116" s="323" t="s">
        <v>3092</v>
      </c>
      <c r="C116" s="173" t="s">
        <v>1623</v>
      </c>
      <c r="D116" s="173" t="s">
        <v>2974</v>
      </c>
      <c r="E116" s="10" t="s">
        <v>3033</v>
      </c>
      <c r="F116" s="10" t="s">
        <v>1291</v>
      </c>
      <c r="G116" s="174" t="s">
        <v>3093</v>
      </c>
      <c r="H116" s="12">
        <v>15</v>
      </c>
      <c r="I116" s="12">
        <v>20</v>
      </c>
      <c r="J116" s="12">
        <v>34</v>
      </c>
      <c r="K116" s="12">
        <v>43</v>
      </c>
      <c r="L116" s="220">
        <f t="shared" si="5"/>
        <v>112</v>
      </c>
    </row>
    <row r="117" spans="1:12" x14ac:dyDescent="0.35">
      <c r="A117" s="242"/>
      <c r="B117" s="324"/>
      <c r="C117" s="173" t="s">
        <v>1623</v>
      </c>
      <c r="D117" s="173" t="s">
        <v>2974</v>
      </c>
      <c r="E117" s="10" t="s">
        <v>3033</v>
      </c>
      <c r="F117" s="10" t="s">
        <v>3094</v>
      </c>
      <c r="G117" s="175" t="s">
        <v>3095</v>
      </c>
      <c r="H117" s="12">
        <v>26</v>
      </c>
      <c r="I117" s="12">
        <v>22</v>
      </c>
      <c r="J117" s="12">
        <v>84</v>
      </c>
      <c r="K117" s="12">
        <v>76</v>
      </c>
      <c r="L117" s="220">
        <f t="shared" si="5"/>
        <v>208</v>
      </c>
    </row>
    <row r="118" spans="1:12" x14ac:dyDescent="0.35">
      <c r="A118" s="242"/>
      <c r="B118" s="324"/>
      <c r="C118" s="173" t="s">
        <v>1623</v>
      </c>
      <c r="D118" s="173" t="s">
        <v>2974</v>
      </c>
      <c r="E118" s="10" t="s">
        <v>3033</v>
      </c>
      <c r="F118" s="10" t="s">
        <v>3096</v>
      </c>
      <c r="G118" s="175" t="s">
        <v>3097</v>
      </c>
      <c r="H118" s="12">
        <v>16</v>
      </c>
      <c r="I118" s="12">
        <v>15</v>
      </c>
      <c r="J118" s="12">
        <v>32</v>
      </c>
      <c r="K118" s="12">
        <v>20</v>
      </c>
      <c r="L118" s="220">
        <f t="shared" si="5"/>
        <v>83</v>
      </c>
    </row>
    <row r="119" spans="1:12" x14ac:dyDescent="0.35">
      <c r="A119" s="242"/>
      <c r="B119" s="324"/>
      <c r="C119" s="173" t="s">
        <v>1623</v>
      </c>
      <c r="D119" s="173" t="s">
        <v>2974</v>
      </c>
      <c r="E119" s="10" t="s">
        <v>3033</v>
      </c>
      <c r="F119" s="10" t="s">
        <v>3098</v>
      </c>
      <c r="G119" s="175" t="s">
        <v>3099</v>
      </c>
      <c r="H119" s="12">
        <v>10</v>
      </c>
      <c r="I119" s="12">
        <v>13</v>
      </c>
      <c r="J119" s="12">
        <v>25</v>
      </c>
      <c r="K119" s="12">
        <v>36</v>
      </c>
      <c r="L119" s="220">
        <f t="shared" si="5"/>
        <v>84</v>
      </c>
    </row>
    <row r="120" spans="1:12" x14ac:dyDescent="0.35">
      <c r="A120" s="242"/>
      <c r="B120" s="324"/>
      <c r="C120" s="173" t="s">
        <v>1623</v>
      </c>
      <c r="D120" s="173" t="s">
        <v>2974</v>
      </c>
      <c r="E120" s="10" t="s">
        <v>3033</v>
      </c>
      <c r="F120" s="10" t="s">
        <v>1291</v>
      </c>
      <c r="G120" s="175" t="s">
        <v>232</v>
      </c>
      <c r="H120" s="12">
        <v>14</v>
      </c>
      <c r="I120" s="12">
        <v>14</v>
      </c>
      <c r="J120" s="12">
        <v>42</v>
      </c>
      <c r="K120" s="12">
        <v>35</v>
      </c>
      <c r="L120" s="220">
        <f t="shared" si="5"/>
        <v>105</v>
      </c>
    </row>
    <row r="121" spans="1:12" x14ac:dyDescent="0.35">
      <c r="A121" s="242"/>
      <c r="B121" s="324"/>
      <c r="C121" s="173" t="s">
        <v>1623</v>
      </c>
      <c r="D121" s="173" t="s">
        <v>2974</v>
      </c>
      <c r="E121" s="10" t="s">
        <v>3033</v>
      </c>
      <c r="F121" s="10" t="s">
        <v>1291</v>
      </c>
      <c r="G121" s="175" t="s">
        <v>3100</v>
      </c>
      <c r="H121" s="12">
        <v>15</v>
      </c>
      <c r="I121" s="12">
        <v>10</v>
      </c>
      <c r="J121" s="12">
        <v>29</v>
      </c>
      <c r="K121" s="12">
        <v>28</v>
      </c>
      <c r="L121" s="220">
        <f t="shared" si="5"/>
        <v>82</v>
      </c>
    </row>
    <row r="122" spans="1:12" x14ac:dyDescent="0.35">
      <c r="A122" s="242"/>
      <c r="B122" s="324"/>
      <c r="C122" s="173" t="s">
        <v>1623</v>
      </c>
      <c r="D122" s="173" t="s">
        <v>2974</v>
      </c>
      <c r="E122" s="10" t="s">
        <v>3033</v>
      </c>
      <c r="F122" s="10" t="s">
        <v>3101</v>
      </c>
      <c r="G122" s="175" t="s">
        <v>3102</v>
      </c>
      <c r="H122" s="15">
        <v>8</v>
      </c>
      <c r="I122" s="15">
        <v>4</v>
      </c>
      <c r="J122" s="15">
        <v>21</v>
      </c>
      <c r="K122" s="15">
        <v>16</v>
      </c>
      <c r="L122" s="220">
        <f t="shared" si="5"/>
        <v>49</v>
      </c>
    </row>
    <row r="123" spans="1:12" x14ac:dyDescent="0.35">
      <c r="A123" s="242"/>
      <c r="B123" s="324"/>
      <c r="C123" s="173" t="s">
        <v>1623</v>
      </c>
      <c r="D123" s="173" t="s">
        <v>2974</v>
      </c>
      <c r="E123" s="10" t="s">
        <v>3033</v>
      </c>
      <c r="F123" s="10" t="s">
        <v>3057</v>
      </c>
      <c r="G123" s="175" t="s">
        <v>3103</v>
      </c>
      <c r="H123" s="15">
        <v>12</v>
      </c>
      <c r="I123" s="15">
        <v>10</v>
      </c>
      <c r="J123" s="15">
        <v>18</v>
      </c>
      <c r="K123" s="15">
        <v>13</v>
      </c>
      <c r="L123" s="220">
        <f t="shared" si="5"/>
        <v>53</v>
      </c>
    </row>
    <row r="124" spans="1:12" x14ac:dyDescent="0.35">
      <c r="A124" s="242"/>
      <c r="B124" s="324"/>
      <c r="C124" s="173" t="s">
        <v>1623</v>
      </c>
      <c r="D124" s="173" t="s">
        <v>2974</v>
      </c>
      <c r="E124" s="10" t="s">
        <v>3041</v>
      </c>
      <c r="F124" s="10" t="s">
        <v>3104</v>
      </c>
      <c r="G124" s="175" t="s">
        <v>22</v>
      </c>
      <c r="H124" s="15">
        <v>11</v>
      </c>
      <c r="I124" s="15">
        <v>7</v>
      </c>
      <c r="J124" s="15">
        <v>28</v>
      </c>
      <c r="K124" s="15">
        <v>19</v>
      </c>
      <c r="L124" s="220">
        <f t="shared" si="5"/>
        <v>65</v>
      </c>
    </row>
    <row r="125" spans="1:12" x14ac:dyDescent="0.35">
      <c r="A125" s="242"/>
      <c r="B125" s="324"/>
      <c r="C125" s="173" t="s">
        <v>1623</v>
      </c>
      <c r="D125" s="173" t="s">
        <v>2974</v>
      </c>
      <c r="E125" s="10" t="s">
        <v>3033</v>
      </c>
      <c r="F125" s="10" t="s">
        <v>3098</v>
      </c>
      <c r="G125" s="175" t="s">
        <v>3105</v>
      </c>
      <c r="H125" s="15">
        <v>7</v>
      </c>
      <c r="I125" s="15">
        <v>3</v>
      </c>
      <c r="J125" s="15">
        <v>37</v>
      </c>
      <c r="K125" s="15">
        <v>33</v>
      </c>
      <c r="L125" s="220">
        <f t="shared" si="5"/>
        <v>80</v>
      </c>
    </row>
    <row r="126" spans="1:12" x14ac:dyDescent="0.35">
      <c r="A126" s="242"/>
      <c r="B126" s="324"/>
      <c r="C126" s="173" t="s">
        <v>1623</v>
      </c>
      <c r="D126" s="173" t="s">
        <v>2974</v>
      </c>
      <c r="E126" s="10" t="s">
        <v>3041</v>
      </c>
      <c r="F126" s="10" t="s">
        <v>3104</v>
      </c>
      <c r="G126" s="175" t="s">
        <v>3106</v>
      </c>
      <c r="H126" s="15">
        <v>10</v>
      </c>
      <c r="I126" s="15">
        <v>12</v>
      </c>
      <c r="J126" s="15">
        <v>28</v>
      </c>
      <c r="K126" s="15">
        <v>35</v>
      </c>
      <c r="L126" s="220">
        <f t="shared" si="5"/>
        <v>85</v>
      </c>
    </row>
    <row r="127" spans="1:12" x14ac:dyDescent="0.35">
      <c r="A127" s="242"/>
      <c r="B127" s="324"/>
      <c r="C127" s="173" t="s">
        <v>1623</v>
      </c>
      <c r="D127" s="173" t="s">
        <v>2974</v>
      </c>
      <c r="E127" s="10" t="s">
        <v>3033</v>
      </c>
      <c r="F127" s="10" t="s">
        <v>1291</v>
      </c>
      <c r="G127" s="175" t="s">
        <v>3107</v>
      </c>
      <c r="H127" s="15">
        <v>10</v>
      </c>
      <c r="I127" s="15">
        <v>12</v>
      </c>
      <c r="J127" s="15">
        <v>69</v>
      </c>
      <c r="K127" s="15">
        <v>66</v>
      </c>
      <c r="L127" s="220">
        <f t="shared" si="5"/>
        <v>157</v>
      </c>
    </row>
    <row r="128" spans="1:12" x14ac:dyDescent="0.35">
      <c r="A128" s="242"/>
      <c r="B128" s="324"/>
      <c r="C128" s="173" t="s">
        <v>1623</v>
      </c>
      <c r="D128" s="173" t="s">
        <v>2974</v>
      </c>
      <c r="E128" s="10" t="s">
        <v>3033</v>
      </c>
      <c r="F128" s="10" t="s">
        <v>1291</v>
      </c>
      <c r="G128" s="175" t="s">
        <v>3108</v>
      </c>
      <c r="H128" s="15">
        <v>10</v>
      </c>
      <c r="I128" s="15">
        <v>5</v>
      </c>
      <c r="J128" s="15">
        <v>28</v>
      </c>
      <c r="K128" s="15">
        <v>29</v>
      </c>
      <c r="L128" s="220">
        <f t="shared" si="5"/>
        <v>72</v>
      </c>
    </row>
    <row r="129" spans="1:12" x14ac:dyDescent="0.35">
      <c r="A129" s="242"/>
      <c r="B129" s="324"/>
      <c r="C129" s="173" t="s">
        <v>1623</v>
      </c>
      <c r="D129" s="173" t="s">
        <v>2974</v>
      </c>
      <c r="E129" s="10" t="s">
        <v>3033</v>
      </c>
      <c r="F129" s="10" t="s">
        <v>1291</v>
      </c>
      <c r="G129" s="175" t="s">
        <v>3109</v>
      </c>
      <c r="H129" s="15">
        <v>5</v>
      </c>
      <c r="I129" s="15">
        <v>6</v>
      </c>
      <c r="J129" s="15">
        <v>19</v>
      </c>
      <c r="K129" s="15">
        <v>23</v>
      </c>
      <c r="L129" s="220">
        <f t="shared" si="5"/>
        <v>53</v>
      </c>
    </row>
    <row r="130" spans="1:12" x14ac:dyDescent="0.35">
      <c r="A130" s="242"/>
      <c r="B130" s="324"/>
      <c r="C130" s="173" t="s">
        <v>1623</v>
      </c>
      <c r="D130" s="173" t="s">
        <v>2974</v>
      </c>
      <c r="E130" s="10" t="s">
        <v>3033</v>
      </c>
      <c r="F130" s="10" t="s">
        <v>3096</v>
      </c>
      <c r="G130" s="175" t="s">
        <v>2266</v>
      </c>
      <c r="H130" s="12">
        <v>14</v>
      </c>
      <c r="I130" s="12">
        <v>11</v>
      </c>
      <c r="J130" s="12">
        <v>33</v>
      </c>
      <c r="K130" s="12">
        <v>42</v>
      </c>
      <c r="L130" s="220">
        <f t="shared" si="5"/>
        <v>100</v>
      </c>
    </row>
    <row r="131" spans="1:12" x14ac:dyDescent="0.35">
      <c r="A131" s="242"/>
      <c r="B131" s="324"/>
      <c r="C131" s="173" t="s">
        <v>1623</v>
      </c>
      <c r="D131" s="173" t="s">
        <v>2974</v>
      </c>
      <c r="E131" s="10" t="s">
        <v>3033</v>
      </c>
      <c r="F131" s="10" t="s">
        <v>3098</v>
      </c>
      <c r="G131" s="175" t="s">
        <v>458</v>
      </c>
      <c r="H131" s="12">
        <v>19</v>
      </c>
      <c r="I131" s="12">
        <v>26</v>
      </c>
      <c r="J131" s="12">
        <v>90</v>
      </c>
      <c r="K131" s="12">
        <v>100</v>
      </c>
      <c r="L131" s="220">
        <f t="shared" si="5"/>
        <v>235</v>
      </c>
    </row>
    <row r="132" spans="1:12" x14ac:dyDescent="0.35">
      <c r="A132" s="242"/>
      <c r="B132" s="324"/>
      <c r="C132" s="173" t="s">
        <v>1623</v>
      </c>
      <c r="D132" s="173" t="s">
        <v>2974</v>
      </c>
      <c r="E132" s="10" t="s">
        <v>3033</v>
      </c>
      <c r="F132" s="10" t="s">
        <v>3104</v>
      </c>
      <c r="G132" s="175" t="s">
        <v>3110</v>
      </c>
      <c r="H132" s="12">
        <v>17</v>
      </c>
      <c r="I132" s="12">
        <v>16</v>
      </c>
      <c r="J132" s="12">
        <v>35</v>
      </c>
      <c r="K132" s="12">
        <v>50</v>
      </c>
      <c r="L132" s="220">
        <f t="shared" si="5"/>
        <v>118</v>
      </c>
    </row>
    <row r="133" spans="1:12" x14ac:dyDescent="0.35">
      <c r="A133" s="242"/>
      <c r="B133" s="324"/>
      <c r="C133" s="173" t="s">
        <v>1623</v>
      </c>
      <c r="D133" s="173" t="s">
        <v>2974</v>
      </c>
      <c r="E133" s="10" t="s">
        <v>3033</v>
      </c>
      <c r="F133" s="10" t="s">
        <v>3094</v>
      </c>
      <c r="G133" s="175" t="s">
        <v>3111</v>
      </c>
      <c r="H133" s="12">
        <v>12</v>
      </c>
      <c r="I133" s="12">
        <v>8</v>
      </c>
      <c r="J133" s="12">
        <v>34</v>
      </c>
      <c r="K133" s="12">
        <v>25</v>
      </c>
      <c r="L133" s="220">
        <f t="shared" si="5"/>
        <v>79</v>
      </c>
    </row>
    <row r="134" spans="1:12" x14ac:dyDescent="0.35">
      <c r="A134" s="242"/>
      <c r="B134" s="324"/>
      <c r="C134" s="173" t="s">
        <v>1623</v>
      </c>
      <c r="D134" s="173" t="s">
        <v>2974</v>
      </c>
      <c r="E134" s="10" t="s">
        <v>3033</v>
      </c>
      <c r="F134" s="10" t="s">
        <v>3098</v>
      </c>
      <c r="G134" s="175" t="s">
        <v>3105</v>
      </c>
      <c r="H134" s="12">
        <v>7</v>
      </c>
      <c r="I134" s="12">
        <v>3</v>
      </c>
      <c r="J134" s="12">
        <v>37</v>
      </c>
      <c r="K134" s="12">
        <v>33</v>
      </c>
      <c r="L134" s="220">
        <f t="shared" si="5"/>
        <v>80</v>
      </c>
    </row>
    <row r="135" spans="1:12" x14ac:dyDescent="0.35">
      <c r="A135" s="242"/>
      <c r="B135" s="324"/>
      <c r="C135" s="173" t="s">
        <v>1623</v>
      </c>
      <c r="D135" s="173" t="s">
        <v>2974</v>
      </c>
      <c r="E135" s="10" t="s">
        <v>3033</v>
      </c>
      <c r="F135" s="10" t="s">
        <v>3094</v>
      </c>
      <c r="G135" s="175" t="s">
        <v>3112</v>
      </c>
      <c r="H135" s="12">
        <v>10</v>
      </c>
      <c r="I135" s="12">
        <v>15</v>
      </c>
      <c r="J135" s="12">
        <v>27</v>
      </c>
      <c r="K135" s="12">
        <v>24</v>
      </c>
      <c r="L135" s="220">
        <f t="shared" ref="L135:L198" si="8">H135+I135+J135+K135</f>
        <v>76</v>
      </c>
    </row>
    <row r="136" spans="1:12" x14ac:dyDescent="0.35">
      <c r="A136" s="242"/>
      <c r="B136" s="324"/>
      <c r="C136" s="173" t="s">
        <v>1623</v>
      </c>
      <c r="D136" s="173" t="s">
        <v>2974</v>
      </c>
      <c r="E136" s="10" t="s">
        <v>3033</v>
      </c>
      <c r="F136" s="10" t="s">
        <v>3094</v>
      </c>
      <c r="G136" s="175" t="s">
        <v>3113</v>
      </c>
      <c r="H136" s="12">
        <v>15</v>
      </c>
      <c r="I136" s="12">
        <v>8</v>
      </c>
      <c r="J136" s="12">
        <v>23</v>
      </c>
      <c r="K136" s="12">
        <v>21</v>
      </c>
      <c r="L136" s="220">
        <f t="shared" si="8"/>
        <v>67</v>
      </c>
    </row>
    <row r="137" spans="1:12" x14ac:dyDescent="0.35">
      <c r="A137" s="242"/>
      <c r="B137" s="324"/>
      <c r="C137" s="173" t="s">
        <v>1623</v>
      </c>
      <c r="D137" s="173" t="s">
        <v>2974</v>
      </c>
      <c r="E137" s="10" t="s">
        <v>3033</v>
      </c>
      <c r="F137" s="10" t="s">
        <v>3094</v>
      </c>
      <c r="G137" s="175" t="s">
        <v>3112</v>
      </c>
      <c r="H137" s="12">
        <v>18</v>
      </c>
      <c r="I137" s="12">
        <v>12</v>
      </c>
      <c r="J137" s="12">
        <v>33</v>
      </c>
      <c r="K137" s="12">
        <v>43</v>
      </c>
      <c r="L137" s="220">
        <f t="shared" si="8"/>
        <v>106</v>
      </c>
    </row>
    <row r="138" spans="1:12" x14ac:dyDescent="0.35">
      <c r="A138" s="242"/>
      <c r="B138" s="324"/>
      <c r="C138" s="173" t="s">
        <v>1623</v>
      </c>
      <c r="D138" s="173" t="s">
        <v>2974</v>
      </c>
      <c r="E138" s="10" t="s">
        <v>3033</v>
      </c>
      <c r="F138" s="10" t="s">
        <v>3094</v>
      </c>
      <c r="G138" s="175" t="s">
        <v>64</v>
      </c>
      <c r="H138" s="12">
        <v>10</v>
      </c>
      <c r="I138" s="12">
        <v>18</v>
      </c>
      <c r="J138" s="12">
        <v>30</v>
      </c>
      <c r="K138" s="12">
        <v>35</v>
      </c>
      <c r="L138" s="220">
        <f t="shared" si="8"/>
        <v>93</v>
      </c>
    </row>
    <row r="139" spans="1:12" x14ac:dyDescent="0.35">
      <c r="A139" s="242"/>
      <c r="B139" s="324"/>
      <c r="C139" s="173" t="s">
        <v>1623</v>
      </c>
      <c r="D139" s="173" t="s">
        <v>2974</v>
      </c>
      <c r="E139" s="10" t="s">
        <v>3041</v>
      </c>
      <c r="F139" s="10" t="s">
        <v>3104</v>
      </c>
      <c r="G139" s="175" t="s">
        <v>3106</v>
      </c>
      <c r="H139" s="12">
        <v>10</v>
      </c>
      <c r="I139" s="12">
        <v>12</v>
      </c>
      <c r="J139" s="12">
        <v>28</v>
      </c>
      <c r="K139" s="12">
        <v>35</v>
      </c>
      <c r="L139" s="220">
        <f t="shared" si="8"/>
        <v>85</v>
      </c>
    </row>
    <row r="140" spans="1:12" x14ac:dyDescent="0.35">
      <c r="A140" s="242"/>
      <c r="B140" s="324"/>
      <c r="C140" s="173" t="s">
        <v>1623</v>
      </c>
      <c r="D140" s="173" t="s">
        <v>2974</v>
      </c>
      <c r="E140" s="10" t="s">
        <v>3033</v>
      </c>
      <c r="F140" s="10" t="s">
        <v>3094</v>
      </c>
      <c r="G140" s="175" t="s">
        <v>3114</v>
      </c>
      <c r="H140" s="12">
        <v>8</v>
      </c>
      <c r="I140" s="12">
        <v>7</v>
      </c>
      <c r="J140" s="12">
        <v>13</v>
      </c>
      <c r="K140" s="12">
        <v>11</v>
      </c>
      <c r="L140" s="220">
        <f t="shared" si="8"/>
        <v>39</v>
      </c>
    </row>
    <row r="141" spans="1:12" x14ac:dyDescent="0.35">
      <c r="A141" s="242"/>
      <c r="B141" s="324"/>
      <c r="C141" s="173" t="s">
        <v>1623</v>
      </c>
      <c r="D141" s="173" t="s">
        <v>2974</v>
      </c>
      <c r="E141" s="10" t="s">
        <v>3033</v>
      </c>
      <c r="F141" s="10" t="s">
        <v>3094</v>
      </c>
      <c r="G141" s="175" t="s">
        <v>3115</v>
      </c>
      <c r="H141" s="12">
        <v>10</v>
      </c>
      <c r="I141" s="12">
        <v>14</v>
      </c>
      <c r="J141" s="12">
        <v>35</v>
      </c>
      <c r="K141" s="12">
        <v>24</v>
      </c>
      <c r="L141" s="220">
        <f t="shared" si="8"/>
        <v>83</v>
      </c>
    </row>
    <row r="142" spans="1:12" x14ac:dyDescent="0.35">
      <c r="A142" s="242"/>
      <c r="B142" s="324"/>
      <c r="C142" s="173" t="s">
        <v>1623</v>
      </c>
      <c r="D142" s="173" t="s">
        <v>2974</v>
      </c>
      <c r="E142" s="10" t="s">
        <v>3041</v>
      </c>
      <c r="F142" s="10" t="s">
        <v>3116</v>
      </c>
      <c r="G142" s="175" t="s">
        <v>3117</v>
      </c>
      <c r="H142" s="12">
        <v>19</v>
      </c>
      <c r="I142" s="12">
        <v>18</v>
      </c>
      <c r="J142" s="12">
        <v>53</v>
      </c>
      <c r="K142" s="12">
        <v>51</v>
      </c>
      <c r="L142" s="220">
        <f t="shared" si="8"/>
        <v>141</v>
      </c>
    </row>
    <row r="143" spans="1:12" x14ac:dyDescent="0.35">
      <c r="A143" s="242"/>
      <c r="B143" s="324"/>
      <c r="C143" s="173" t="s">
        <v>1623</v>
      </c>
      <c r="D143" s="173" t="s">
        <v>2974</v>
      </c>
      <c r="E143" s="10" t="s">
        <v>3033</v>
      </c>
      <c r="F143" s="10" t="s">
        <v>1291</v>
      </c>
      <c r="G143" s="175" t="s">
        <v>3118</v>
      </c>
      <c r="H143" s="12">
        <v>8</v>
      </c>
      <c r="I143" s="12">
        <v>10</v>
      </c>
      <c r="J143" s="12">
        <v>32</v>
      </c>
      <c r="K143" s="12">
        <v>33</v>
      </c>
      <c r="L143" s="220">
        <f t="shared" si="8"/>
        <v>83</v>
      </c>
    </row>
    <row r="144" spans="1:12" x14ac:dyDescent="0.35">
      <c r="A144" s="242"/>
      <c r="B144" s="324"/>
      <c r="C144" s="173" t="s">
        <v>1623</v>
      </c>
      <c r="D144" s="173" t="s">
        <v>2974</v>
      </c>
      <c r="E144" s="10" t="s">
        <v>3033</v>
      </c>
      <c r="F144" s="10" t="s">
        <v>3096</v>
      </c>
      <c r="G144" s="175" t="s">
        <v>3119</v>
      </c>
      <c r="H144" s="12">
        <v>33</v>
      </c>
      <c r="I144" s="12">
        <v>26</v>
      </c>
      <c r="J144" s="12">
        <v>13</v>
      </c>
      <c r="K144" s="12">
        <v>17</v>
      </c>
      <c r="L144" s="220">
        <f t="shared" si="8"/>
        <v>89</v>
      </c>
    </row>
    <row r="145" spans="1:12" x14ac:dyDescent="0.35">
      <c r="A145" s="242"/>
      <c r="B145" s="324"/>
      <c r="C145" s="173" t="s">
        <v>1623</v>
      </c>
      <c r="D145" s="173" t="s">
        <v>2974</v>
      </c>
      <c r="E145" s="10" t="s">
        <v>3041</v>
      </c>
      <c r="F145" s="10" t="s">
        <v>3104</v>
      </c>
      <c r="G145" s="175" t="s">
        <v>3120</v>
      </c>
      <c r="H145" s="12">
        <v>10</v>
      </c>
      <c r="I145" s="12">
        <v>8</v>
      </c>
      <c r="J145" s="12">
        <v>25</v>
      </c>
      <c r="K145" s="12">
        <v>25</v>
      </c>
      <c r="L145" s="220">
        <f t="shared" si="8"/>
        <v>68</v>
      </c>
    </row>
    <row r="146" spans="1:12" x14ac:dyDescent="0.35">
      <c r="A146" s="242"/>
      <c r="B146" s="324"/>
      <c r="C146" s="173" t="s">
        <v>1623</v>
      </c>
      <c r="D146" s="173" t="s">
        <v>2974</v>
      </c>
      <c r="E146" s="10" t="s">
        <v>3033</v>
      </c>
      <c r="F146" s="10" t="s">
        <v>1291</v>
      </c>
      <c r="G146" s="175" t="s">
        <v>3121</v>
      </c>
      <c r="H146" s="12">
        <v>13</v>
      </c>
      <c r="I146" s="12">
        <v>15</v>
      </c>
      <c r="J146" s="12">
        <v>40</v>
      </c>
      <c r="K146" s="12">
        <v>44</v>
      </c>
      <c r="L146" s="220">
        <f t="shared" si="8"/>
        <v>112</v>
      </c>
    </row>
    <row r="147" spans="1:12" x14ac:dyDescent="0.35">
      <c r="A147" s="242"/>
      <c r="B147" s="324"/>
      <c r="C147" s="173" t="s">
        <v>1623</v>
      </c>
      <c r="D147" s="173" t="s">
        <v>2974</v>
      </c>
      <c r="E147" s="10" t="s">
        <v>3041</v>
      </c>
      <c r="F147" s="10" t="s">
        <v>3101</v>
      </c>
      <c r="G147" s="175" t="s">
        <v>3122</v>
      </c>
      <c r="H147" s="12">
        <v>17</v>
      </c>
      <c r="I147" s="12">
        <v>17</v>
      </c>
      <c r="J147" s="12">
        <v>78</v>
      </c>
      <c r="K147" s="12">
        <v>82</v>
      </c>
      <c r="L147" s="220">
        <f t="shared" si="8"/>
        <v>194</v>
      </c>
    </row>
    <row r="148" spans="1:12" x14ac:dyDescent="0.35">
      <c r="A148" s="242"/>
      <c r="B148" s="324"/>
      <c r="C148" s="173" t="s">
        <v>1623</v>
      </c>
      <c r="D148" s="173" t="s">
        <v>2974</v>
      </c>
      <c r="E148" s="10" t="s">
        <v>3033</v>
      </c>
      <c r="F148" s="10" t="s">
        <v>3096</v>
      </c>
      <c r="G148" s="175" t="s">
        <v>3123</v>
      </c>
      <c r="H148" s="12">
        <v>16</v>
      </c>
      <c r="I148" s="12">
        <v>11</v>
      </c>
      <c r="J148" s="12">
        <v>37</v>
      </c>
      <c r="K148" s="12">
        <v>40</v>
      </c>
      <c r="L148" s="220">
        <f t="shared" si="8"/>
        <v>104</v>
      </c>
    </row>
    <row r="149" spans="1:12" x14ac:dyDescent="0.35">
      <c r="A149" s="242"/>
      <c r="B149" s="324"/>
      <c r="C149" s="173" t="s">
        <v>1623</v>
      </c>
      <c r="D149" s="173" t="s">
        <v>2974</v>
      </c>
      <c r="E149" s="10" t="s">
        <v>3033</v>
      </c>
      <c r="F149" s="10" t="s">
        <v>3057</v>
      </c>
      <c r="G149" s="175" t="s">
        <v>477</v>
      </c>
      <c r="H149" s="12">
        <v>16</v>
      </c>
      <c r="I149" s="12">
        <v>16</v>
      </c>
      <c r="J149" s="12">
        <v>39</v>
      </c>
      <c r="K149" s="12">
        <v>40</v>
      </c>
      <c r="L149" s="220">
        <f t="shared" si="8"/>
        <v>111</v>
      </c>
    </row>
    <row r="150" spans="1:12" x14ac:dyDescent="0.35">
      <c r="A150" s="242"/>
      <c r="B150" s="324"/>
      <c r="C150" s="173" t="s">
        <v>1623</v>
      </c>
      <c r="D150" s="173" t="s">
        <v>2974</v>
      </c>
      <c r="E150" s="10" t="s">
        <v>3033</v>
      </c>
      <c r="F150" s="10" t="s">
        <v>1291</v>
      </c>
      <c r="G150" s="175" t="s">
        <v>3124</v>
      </c>
      <c r="H150" s="12">
        <v>16</v>
      </c>
      <c r="I150" s="12">
        <v>14</v>
      </c>
      <c r="J150" s="12">
        <v>25</v>
      </c>
      <c r="K150" s="12">
        <v>30</v>
      </c>
      <c r="L150" s="220">
        <f t="shared" si="8"/>
        <v>85</v>
      </c>
    </row>
    <row r="151" spans="1:12" x14ac:dyDescent="0.35">
      <c r="A151" s="242"/>
      <c r="B151" s="324"/>
      <c r="C151" s="173" t="s">
        <v>1623</v>
      </c>
      <c r="D151" s="173" t="s">
        <v>2974</v>
      </c>
      <c r="E151" s="10" t="s">
        <v>3033</v>
      </c>
      <c r="F151" s="10" t="s">
        <v>607</v>
      </c>
      <c r="G151" s="175" t="s">
        <v>3022</v>
      </c>
      <c r="H151" s="12">
        <v>8</v>
      </c>
      <c r="I151" s="12">
        <v>9</v>
      </c>
      <c r="J151" s="12">
        <v>42</v>
      </c>
      <c r="K151" s="12">
        <v>36</v>
      </c>
      <c r="L151" s="220">
        <f t="shared" si="8"/>
        <v>95</v>
      </c>
    </row>
    <row r="152" spans="1:12" ht="15.75" customHeight="1" x14ac:dyDescent="0.35">
      <c r="A152" s="242"/>
      <c r="B152" s="324"/>
      <c r="C152" s="173" t="s">
        <v>1623</v>
      </c>
      <c r="D152" s="173" t="s">
        <v>2974</v>
      </c>
      <c r="E152" s="10" t="s">
        <v>3033</v>
      </c>
      <c r="F152" s="10" t="s">
        <v>3027</v>
      </c>
      <c r="G152" s="175" t="s">
        <v>124</v>
      </c>
      <c r="H152" s="15">
        <v>22</v>
      </c>
      <c r="I152" s="15">
        <v>17</v>
      </c>
      <c r="J152" s="15">
        <v>32</v>
      </c>
      <c r="K152" s="15">
        <v>28</v>
      </c>
      <c r="L152" s="220">
        <f t="shared" si="8"/>
        <v>99</v>
      </c>
    </row>
    <row r="153" spans="1:12" x14ac:dyDescent="0.35">
      <c r="A153" s="242"/>
      <c r="B153" s="324"/>
      <c r="C153" s="173" t="s">
        <v>1623</v>
      </c>
      <c r="D153" s="173" t="s">
        <v>2974</v>
      </c>
      <c r="E153" s="10" t="s">
        <v>3033</v>
      </c>
      <c r="F153" s="10" t="s">
        <v>3094</v>
      </c>
      <c r="G153" s="175" t="s">
        <v>3125</v>
      </c>
      <c r="H153" s="15">
        <v>18</v>
      </c>
      <c r="I153" s="15">
        <v>12</v>
      </c>
      <c r="J153" s="15">
        <v>43</v>
      </c>
      <c r="K153" s="15">
        <v>40</v>
      </c>
      <c r="L153" s="220">
        <f t="shared" si="8"/>
        <v>113</v>
      </c>
    </row>
    <row r="154" spans="1:12" x14ac:dyDescent="0.35">
      <c r="A154" s="242"/>
      <c r="B154" s="324"/>
      <c r="C154" s="173" t="s">
        <v>1623</v>
      </c>
      <c r="D154" s="173" t="s">
        <v>2974</v>
      </c>
      <c r="E154" s="10" t="s">
        <v>3033</v>
      </c>
      <c r="F154" s="10" t="s">
        <v>3057</v>
      </c>
      <c r="G154" s="176" t="s">
        <v>323</v>
      </c>
      <c r="H154" s="12">
        <v>13</v>
      </c>
      <c r="I154" s="12">
        <v>18</v>
      </c>
      <c r="J154" s="12">
        <v>47</v>
      </c>
      <c r="K154" s="12">
        <v>44</v>
      </c>
      <c r="L154" s="220">
        <f t="shared" si="8"/>
        <v>122</v>
      </c>
    </row>
    <row r="155" spans="1:12" x14ac:dyDescent="0.35">
      <c r="A155" s="242"/>
      <c r="B155" s="324"/>
      <c r="C155" s="173" t="s">
        <v>1623</v>
      </c>
      <c r="D155" s="173" t="s">
        <v>2974</v>
      </c>
      <c r="E155" s="10" t="s">
        <v>3033</v>
      </c>
      <c r="F155" s="10" t="s">
        <v>3096</v>
      </c>
      <c r="G155" s="175" t="s">
        <v>3126</v>
      </c>
      <c r="H155" s="15">
        <v>6</v>
      </c>
      <c r="I155" s="15">
        <v>9</v>
      </c>
      <c r="J155" s="15">
        <v>23</v>
      </c>
      <c r="K155" s="15">
        <v>23</v>
      </c>
      <c r="L155" s="220">
        <f t="shared" si="8"/>
        <v>61</v>
      </c>
    </row>
    <row r="156" spans="1:12" x14ac:dyDescent="0.35">
      <c r="A156" s="242"/>
      <c r="B156" s="324"/>
      <c r="C156" s="173" t="s">
        <v>1623</v>
      </c>
      <c r="D156" s="173" t="s">
        <v>2974</v>
      </c>
      <c r="E156" s="10" t="s">
        <v>3033</v>
      </c>
      <c r="F156" s="10" t="s">
        <v>3096</v>
      </c>
      <c r="G156" s="177" t="s">
        <v>3127</v>
      </c>
      <c r="H156" s="15">
        <v>38</v>
      </c>
      <c r="I156" s="15">
        <v>23</v>
      </c>
      <c r="J156" s="15">
        <v>14</v>
      </c>
      <c r="K156" s="15">
        <v>14</v>
      </c>
      <c r="L156" s="220">
        <f t="shared" si="8"/>
        <v>89</v>
      </c>
    </row>
    <row r="157" spans="1:12" x14ac:dyDescent="0.35">
      <c r="A157" s="242"/>
      <c r="B157" s="324"/>
      <c r="C157" s="173" t="s">
        <v>1623</v>
      </c>
      <c r="D157" s="173" t="s">
        <v>2974</v>
      </c>
      <c r="E157" s="10" t="s">
        <v>3033</v>
      </c>
      <c r="F157" s="10" t="s">
        <v>3096</v>
      </c>
      <c r="G157" s="178" t="s">
        <v>3128</v>
      </c>
      <c r="H157" s="15">
        <v>26</v>
      </c>
      <c r="I157" s="15">
        <v>37</v>
      </c>
      <c r="J157" s="15">
        <v>50</v>
      </c>
      <c r="K157" s="15">
        <v>51</v>
      </c>
      <c r="L157" s="220">
        <f t="shared" si="8"/>
        <v>164</v>
      </c>
    </row>
    <row r="158" spans="1:12" x14ac:dyDescent="0.35">
      <c r="A158" s="242"/>
      <c r="B158" s="325"/>
      <c r="C158" s="173" t="s">
        <v>1623</v>
      </c>
      <c r="D158" s="173" t="s">
        <v>2974</v>
      </c>
      <c r="E158" s="10" t="s">
        <v>3041</v>
      </c>
      <c r="F158" s="10" t="s">
        <v>3104</v>
      </c>
      <c r="G158" s="175" t="s">
        <v>3129</v>
      </c>
      <c r="H158" s="15">
        <v>12</v>
      </c>
      <c r="I158" s="15">
        <v>12</v>
      </c>
      <c r="J158" s="15">
        <v>36</v>
      </c>
      <c r="K158" s="15">
        <v>36</v>
      </c>
      <c r="L158" s="220">
        <f t="shared" si="8"/>
        <v>96</v>
      </c>
    </row>
    <row r="159" spans="1:12" x14ac:dyDescent="0.35">
      <c r="A159" s="275"/>
      <c r="B159" s="102"/>
      <c r="C159" s="102"/>
      <c r="D159" s="102"/>
      <c r="E159" s="102"/>
      <c r="F159" s="150"/>
      <c r="G159" s="102" t="s">
        <v>3025</v>
      </c>
      <c r="H159" s="102">
        <f>SUM(H116:H158)</f>
        <v>610</v>
      </c>
      <c r="I159" s="102">
        <f t="shared" ref="I159:K159" si="9">SUM(I116:I158)</f>
        <v>575</v>
      </c>
      <c r="J159" s="102">
        <f t="shared" si="9"/>
        <v>1541</v>
      </c>
      <c r="K159" s="102">
        <f t="shared" si="9"/>
        <v>1549</v>
      </c>
      <c r="L159" s="225">
        <f t="shared" si="8"/>
        <v>4275</v>
      </c>
    </row>
    <row r="160" spans="1:12" ht="18" customHeight="1" x14ac:dyDescent="0.35">
      <c r="A160" s="254">
        <v>8</v>
      </c>
      <c r="B160" s="320" t="s">
        <v>3130</v>
      </c>
      <c r="C160" s="173" t="s">
        <v>1623</v>
      </c>
      <c r="D160" s="173" t="s">
        <v>2974</v>
      </c>
      <c r="E160" s="10" t="s">
        <v>3041</v>
      </c>
      <c r="F160" s="10" t="s">
        <v>3041</v>
      </c>
      <c r="G160" s="179" t="s">
        <v>3131</v>
      </c>
      <c r="H160" s="180">
        <v>92</v>
      </c>
      <c r="I160" s="180">
        <v>105</v>
      </c>
      <c r="J160" s="180">
        <v>163</v>
      </c>
      <c r="K160" s="180">
        <v>178</v>
      </c>
      <c r="L160" s="220">
        <f t="shared" si="8"/>
        <v>538</v>
      </c>
    </row>
    <row r="161" spans="1:12" x14ac:dyDescent="0.35">
      <c r="A161" s="255"/>
      <c r="B161" s="321"/>
      <c r="C161" s="173" t="s">
        <v>1623</v>
      </c>
      <c r="D161" s="173" t="s">
        <v>2974</v>
      </c>
      <c r="E161" s="10" t="s">
        <v>3041</v>
      </c>
      <c r="F161" s="10" t="s">
        <v>3116</v>
      </c>
      <c r="G161" s="181" t="s">
        <v>3132</v>
      </c>
      <c r="H161" s="15">
        <v>4</v>
      </c>
      <c r="I161" s="15">
        <v>10</v>
      </c>
      <c r="J161" s="15">
        <v>47</v>
      </c>
      <c r="K161" s="15">
        <v>29</v>
      </c>
      <c r="L161" s="220">
        <f t="shared" si="8"/>
        <v>90</v>
      </c>
    </row>
    <row r="162" spans="1:12" x14ac:dyDescent="0.35">
      <c r="A162" s="255"/>
      <c r="B162" s="321"/>
      <c r="C162" s="173" t="s">
        <v>1623</v>
      </c>
      <c r="D162" s="173" t="s">
        <v>2974</v>
      </c>
      <c r="E162" s="10" t="s">
        <v>3041</v>
      </c>
      <c r="F162" s="10" t="s">
        <v>3116</v>
      </c>
      <c r="G162" s="181" t="s">
        <v>3133</v>
      </c>
      <c r="H162" s="15">
        <v>11</v>
      </c>
      <c r="I162" s="15">
        <v>9</v>
      </c>
      <c r="J162" s="15">
        <v>29</v>
      </c>
      <c r="K162" s="15">
        <v>21</v>
      </c>
      <c r="L162" s="220">
        <f t="shared" si="8"/>
        <v>70</v>
      </c>
    </row>
    <row r="163" spans="1:12" x14ac:dyDescent="0.35">
      <c r="A163" s="255"/>
      <c r="B163" s="321"/>
      <c r="C163" s="173" t="s">
        <v>1623</v>
      </c>
      <c r="D163" s="173" t="s">
        <v>2974</v>
      </c>
      <c r="E163" s="10" t="s">
        <v>3041</v>
      </c>
      <c r="F163" s="10" t="s">
        <v>3116</v>
      </c>
      <c r="G163" s="181" t="s">
        <v>3134</v>
      </c>
      <c r="H163" s="15">
        <v>9</v>
      </c>
      <c r="I163" s="15">
        <v>11</v>
      </c>
      <c r="J163" s="15">
        <v>64</v>
      </c>
      <c r="K163" s="15">
        <v>81</v>
      </c>
      <c r="L163" s="220">
        <f t="shared" si="8"/>
        <v>165</v>
      </c>
    </row>
    <row r="164" spans="1:12" x14ac:dyDescent="0.35">
      <c r="A164" s="255"/>
      <c r="B164" s="321"/>
      <c r="C164" s="173" t="s">
        <v>1623</v>
      </c>
      <c r="D164" s="173" t="s">
        <v>2974</v>
      </c>
      <c r="E164" s="10" t="s">
        <v>3041</v>
      </c>
      <c r="F164" s="10" t="s">
        <v>3041</v>
      </c>
      <c r="G164" s="181" t="s">
        <v>90</v>
      </c>
      <c r="H164" s="15">
        <v>5</v>
      </c>
      <c r="I164" s="15">
        <v>5</v>
      </c>
      <c r="J164" s="15">
        <v>11</v>
      </c>
      <c r="K164" s="15">
        <v>14</v>
      </c>
      <c r="L164" s="220">
        <f t="shared" si="8"/>
        <v>35</v>
      </c>
    </row>
    <row r="165" spans="1:12" x14ac:dyDescent="0.35">
      <c r="A165" s="255"/>
      <c r="B165" s="321"/>
      <c r="C165" s="173" t="s">
        <v>1623</v>
      </c>
      <c r="D165" s="173" t="s">
        <v>2974</v>
      </c>
      <c r="E165" s="10" t="s">
        <v>3041</v>
      </c>
      <c r="F165" s="10" t="s">
        <v>3116</v>
      </c>
      <c r="G165" s="181" t="s">
        <v>3135</v>
      </c>
      <c r="H165" s="15">
        <v>10</v>
      </c>
      <c r="I165" s="15">
        <v>10</v>
      </c>
      <c r="J165" s="15">
        <v>25</v>
      </c>
      <c r="K165" s="15">
        <v>22</v>
      </c>
      <c r="L165" s="220">
        <f t="shared" si="8"/>
        <v>67</v>
      </c>
    </row>
    <row r="166" spans="1:12" x14ac:dyDescent="0.35">
      <c r="A166" s="255"/>
      <c r="B166" s="321"/>
      <c r="C166" s="173" t="s">
        <v>1623</v>
      </c>
      <c r="D166" s="173" t="s">
        <v>2974</v>
      </c>
      <c r="E166" s="10" t="s">
        <v>3041</v>
      </c>
      <c r="F166" s="10" t="s">
        <v>3116</v>
      </c>
      <c r="G166" s="181" t="s">
        <v>245</v>
      </c>
      <c r="H166" s="15">
        <v>4</v>
      </c>
      <c r="I166" s="15">
        <v>7</v>
      </c>
      <c r="J166" s="15">
        <v>28</v>
      </c>
      <c r="K166" s="15">
        <v>20</v>
      </c>
      <c r="L166" s="220">
        <f t="shared" si="8"/>
        <v>59</v>
      </c>
    </row>
    <row r="167" spans="1:12" x14ac:dyDescent="0.35">
      <c r="A167" s="255"/>
      <c r="B167" s="321"/>
      <c r="C167" s="173" t="s">
        <v>1623</v>
      </c>
      <c r="D167" s="173" t="s">
        <v>2974</v>
      </c>
      <c r="E167" s="10" t="s">
        <v>3041</v>
      </c>
      <c r="F167" s="10" t="s">
        <v>3041</v>
      </c>
      <c r="G167" s="181" t="s">
        <v>3136</v>
      </c>
      <c r="H167" s="15">
        <v>23</v>
      </c>
      <c r="I167" s="15">
        <v>27</v>
      </c>
      <c r="J167" s="15">
        <v>47</v>
      </c>
      <c r="K167" s="15">
        <v>53</v>
      </c>
      <c r="L167" s="220">
        <f t="shared" si="8"/>
        <v>150</v>
      </c>
    </row>
    <row r="168" spans="1:12" x14ac:dyDescent="0.35">
      <c r="A168" s="255"/>
      <c r="B168" s="321"/>
      <c r="C168" s="173" t="s">
        <v>1623</v>
      </c>
      <c r="D168" s="173" t="s">
        <v>2974</v>
      </c>
      <c r="E168" s="10" t="s">
        <v>3041</v>
      </c>
      <c r="F168" s="10" t="s">
        <v>3041</v>
      </c>
      <c r="G168" s="181" t="s">
        <v>3137</v>
      </c>
      <c r="H168" s="12">
        <v>18</v>
      </c>
      <c r="I168" s="12">
        <v>17</v>
      </c>
      <c r="J168" s="12">
        <v>27</v>
      </c>
      <c r="K168" s="12">
        <v>23</v>
      </c>
      <c r="L168" s="220">
        <f t="shared" si="8"/>
        <v>85</v>
      </c>
    </row>
    <row r="169" spans="1:12" x14ac:dyDescent="0.35">
      <c r="A169" s="255"/>
      <c r="B169" s="321"/>
      <c r="C169" s="173" t="s">
        <v>1623</v>
      </c>
      <c r="D169" s="173" t="s">
        <v>2974</v>
      </c>
      <c r="E169" s="10" t="s">
        <v>3041</v>
      </c>
      <c r="F169" s="10" t="s">
        <v>3041</v>
      </c>
      <c r="G169" s="181" t="s">
        <v>3138</v>
      </c>
      <c r="H169" s="12">
        <v>8</v>
      </c>
      <c r="I169" s="12">
        <v>4</v>
      </c>
      <c r="J169" s="12">
        <v>27</v>
      </c>
      <c r="K169" s="12">
        <v>23</v>
      </c>
      <c r="L169" s="220">
        <f t="shared" si="8"/>
        <v>62</v>
      </c>
    </row>
    <row r="170" spans="1:12" x14ac:dyDescent="0.35">
      <c r="A170" s="255"/>
      <c r="B170" s="321"/>
      <c r="C170" s="173" t="s">
        <v>1623</v>
      </c>
      <c r="D170" s="173" t="s">
        <v>2974</v>
      </c>
      <c r="E170" s="10" t="s">
        <v>3041</v>
      </c>
      <c r="F170" s="10" t="s">
        <v>3039</v>
      </c>
      <c r="G170" s="181" t="s">
        <v>3139</v>
      </c>
      <c r="H170" s="12">
        <v>8</v>
      </c>
      <c r="I170" s="12">
        <v>7</v>
      </c>
      <c r="J170" s="12">
        <v>18</v>
      </c>
      <c r="K170" s="12">
        <v>12</v>
      </c>
      <c r="L170" s="220">
        <f t="shared" si="8"/>
        <v>45</v>
      </c>
    </row>
    <row r="171" spans="1:12" x14ac:dyDescent="0.35">
      <c r="A171" s="255"/>
      <c r="B171" s="321"/>
      <c r="C171" s="173" t="s">
        <v>1623</v>
      </c>
      <c r="D171" s="173" t="s">
        <v>2974</v>
      </c>
      <c r="E171" s="10" t="s">
        <v>3041</v>
      </c>
      <c r="F171" s="10" t="s">
        <v>3041</v>
      </c>
      <c r="G171" s="181" t="s">
        <v>3140</v>
      </c>
      <c r="H171" s="12">
        <v>3</v>
      </c>
      <c r="I171" s="12">
        <v>7</v>
      </c>
      <c r="J171" s="12">
        <v>19</v>
      </c>
      <c r="K171" s="12">
        <v>14</v>
      </c>
      <c r="L171" s="220">
        <f t="shared" si="8"/>
        <v>43</v>
      </c>
    </row>
    <row r="172" spans="1:12" x14ac:dyDescent="0.35">
      <c r="A172" s="255"/>
      <c r="B172" s="321"/>
      <c r="C172" s="173" t="s">
        <v>1623</v>
      </c>
      <c r="D172" s="173" t="s">
        <v>2974</v>
      </c>
      <c r="E172" s="10" t="s">
        <v>3041</v>
      </c>
      <c r="F172" s="10" t="s">
        <v>3079</v>
      </c>
      <c r="G172" s="181" t="s">
        <v>2749</v>
      </c>
      <c r="H172" s="12">
        <v>8</v>
      </c>
      <c r="I172" s="12">
        <v>7</v>
      </c>
      <c r="J172" s="12">
        <v>23</v>
      </c>
      <c r="K172" s="12">
        <v>27</v>
      </c>
      <c r="L172" s="220">
        <f t="shared" si="8"/>
        <v>65</v>
      </c>
    </row>
    <row r="173" spans="1:12" x14ac:dyDescent="0.35">
      <c r="A173" s="255"/>
      <c r="B173" s="321"/>
      <c r="C173" s="173" t="s">
        <v>1623</v>
      </c>
      <c r="D173" s="173" t="s">
        <v>2974</v>
      </c>
      <c r="E173" s="10" t="s">
        <v>3081</v>
      </c>
      <c r="F173" s="10" t="s">
        <v>3039</v>
      </c>
      <c r="G173" s="181" t="s">
        <v>3141</v>
      </c>
      <c r="H173" s="180">
        <v>4</v>
      </c>
      <c r="I173" s="180">
        <v>7</v>
      </c>
      <c r="J173" s="180">
        <v>20</v>
      </c>
      <c r="K173" s="180">
        <v>32</v>
      </c>
      <c r="L173" s="220">
        <f t="shared" si="8"/>
        <v>63</v>
      </c>
    </row>
    <row r="174" spans="1:12" x14ac:dyDescent="0.35">
      <c r="A174" s="255"/>
      <c r="B174" s="321"/>
      <c r="C174" s="173" t="s">
        <v>1623</v>
      </c>
      <c r="D174" s="173" t="s">
        <v>2974</v>
      </c>
      <c r="E174" s="10" t="s">
        <v>3041</v>
      </c>
      <c r="F174" s="10" t="s">
        <v>3104</v>
      </c>
      <c r="G174" s="181" t="s">
        <v>46</v>
      </c>
      <c r="H174" s="12">
        <v>5</v>
      </c>
      <c r="I174" s="12">
        <v>6</v>
      </c>
      <c r="J174" s="12">
        <v>16</v>
      </c>
      <c r="K174" s="12">
        <v>15</v>
      </c>
      <c r="L174" s="220">
        <f t="shared" si="8"/>
        <v>42</v>
      </c>
    </row>
    <row r="175" spans="1:12" x14ac:dyDescent="0.35">
      <c r="A175" s="255"/>
      <c r="B175" s="321"/>
      <c r="C175" s="173" t="s">
        <v>1623</v>
      </c>
      <c r="D175" s="173" t="s">
        <v>2974</v>
      </c>
      <c r="E175" s="10" t="s">
        <v>3041</v>
      </c>
      <c r="F175" s="10" t="s">
        <v>3041</v>
      </c>
      <c r="G175" s="175" t="s">
        <v>3142</v>
      </c>
      <c r="H175" s="12">
        <v>9</v>
      </c>
      <c r="I175" s="12">
        <v>11</v>
      </c>
      <c r="J175" s="12">
        <v>17</v>
      </c>
      <c r="K175" s="12">
        <v>23</v>
      </c>
      <c r="L175" s="220">
        <f t="shared" si="8"/>
        <v>60</v>
      </c>
    </row>
    <row r="176" spans="1:12" x14ac:dyDescent="0.35">
      <c r="A176" s="255"/>
      <c r="B176" s="321"/>
      <c r="C176" s="173" t="s">
        <v>1623</v>
      </c>
      <c r="D176" s="173" t="s">
        <v>2974</v>
      </c>
      <c r="E176" s="10" t="s">
        <v>3041</v>
      </c>
      <c r="F176" s="10" t="s">
        <v>3116</v>
      </c>
      <c r="G176" s="181" t="s">
        <v>3143</v>
      </c>
      <c r="H176" s="12">
        <v>48</v>
      </c>
      <c r="I176" s="12">
        <v>40</v>
      </c>
      <c r="J176" s="12">
        <v>79</v>
      </c>
      <c r="K176" s="12">
        <v>89</v>
      </c>
      <c r="L176" s="220">
        <f t="shared" si="8"/>
        <v>256</v>
      </c>
    </row>
    <row r="177" spans="1:12" x14ac:dyDescent="0.35">
      <c r="A177" s="255"/>
      <c r="B177" s="321"/>
      <c r="C177" s="173" t="s">
        <v>1623</v>
      </c>
      <c r="D177" s="173" t="s">
        <v>2974</v>
      </c>
      <c r="E177" s="10" t="s">
        <v>3041</v>
      </c>
      <c r="F177" s="10" t="s">
        <v>3079</v>
      </c>
      <c r="G177" s="181" t="s">
        <v>3144</v>
      </c>
      <c r="H177" s="12">
        <v>11</v>
      </c>
      <c r="I177" s="12">
        <v>14</v>
      </c>
      <c r="J177" s="12">
        <v>24</v>
      </c>
      <c r="K177" s="12">
        <v>21</v>
      </c>
      <c r="L177" s="220">
        <f t="shared" si="8"/>
        <v>70</v>
      </c>
    </row>
    <row r="178" spans="1:12" ht="15" thickBot="1" x14ac:dyDescent="0.4">
      <c r="A178" s="255"/>
      <c r="B178" s="321"/>
      <c r="C178" s="173" t="s">
        <v>1623</v>
      </c>
      <c r="D178" s="173" t="s">
        <v>2974</v>
      </c>
      <c r="E178" s="10" t="s">
        <v>3041</v>
      </c>
      <c r="F178" s="10" t="s">
        <v>3116</v>
      </c>
      <c r="G178" s="182" t="s">
        <v>3145</v>
      </c>
      <c r="H178" s="12">
        <v>11</v>
      </c>
      <c r="I178" s="12">
        <v>14</v>
      </c>
      <c r="J178" s="12">
        <v>24</v>
      </c>
      <c r="K178" s="12">
        <v>26</v>
      </c>
      <c r="L178" s="220">
        <f t="shared" si="8"/>
        <v>75</v>
      </c>
    </row>
    <row r="179" spans="1:12" x14ac:dyDescent="0.35">
      <c r="A179" s="255"/>
      <c r="B179" s="322"/>
      <c r="C179" s="173" t="s">
        <v>1623</v>
      </c>
      <c r="D179" s="173" t="s">
        <v>2974</v>
      </c>
      <c r="E179" s="10" t="s">
        <v>2975</v>
      </c>
      <c r="F179" s="10" t="s">
        <v>2976</v>
      </c>
      <c r="G179" s="183" t="s">
        <v>2977</v>
      </c>
      <c r="H179" s="12">
        <v>7</v>
      </c>
      <c r="I179" s="12">
        <v>8</v>
      </c>
      <c r="J179" s="12">
        <v>23</v>
      </c>
      <c r="K179" s="12">
        <v>27</v>
      </c>
      <c r="L179" s="220">
        <f t="shared" si="8"/>
        <v>65</v>
      </c>
    </row>
    <row r="180" spans="1:12" x14ac:dyDescent="0.35">
      <c r="A180" s="309"/>
      <c r="B180" s="102"/>
      <c r="C180" s="102"/>
      <c r="D180" s="102"/>
      <c r="E180" s="102"/>
      <c r="F180" s="150"/>
      <c r="G180" s="102" t="s">
        <v>3025</v>
      </c>
      <c r="H180" s="102">
        <f>SUM(H160:H179)</f>
        <v>298</v>
      </c>
      <c r="I180" s="102">
        <f t="shared" ref="I180:K180" si="10">SUM(I160:I179)</f>
        <v>326</v>
      </c>
      <c r="J180" s="102">
        <f t="shared" si="10"/>
        <v>731</v>
      </c>
      <c r="K180" s="102">
        <f t="shared" si="10"/>
        <v>750</v>
      </c>
      <c r="L180" s="225">
        <f t="shared" si="8"/>
        <v>2105</v>
      </c>
    </row>
    <row r="181" spans="1:12" ht="15" customHeight="1" x14ac:dyDescent="0.35">
      <c r="A181" s="254">
        <v>9</v>
      </c>
      <c r="B181" s="320" t="s">
        <v>3146</v>
      </c>
      <c r="C181" s="173" t="s">
        <v>1623</v>
      </c>
      <c r="D181" s="173" t="s">
        <v>2974</v>
      </c>
      <c r="E181" s="10" t="s">
        <v>2596</v>
      </c>
      <c r="F181" s="10" t="s">
        <v>3147</v>
      </c>
      <c r="G181" s="175" t="s">
        <v>3148</v>
      </c>
      <c r="H181" s="12">
        <v>4</v>
      </c>
      <c r="I181" s="12">
        <v>6</v>
      </c>
      <c r="J181" s="12">
        <v>36</v>
      </c>
      <c r="K181" s="12">
        <v>37</v>
      </c>
      <c r="L181" s="220">
        <f t="shared" si="8"/>
        <v>83</v>
      </c>
    </row>
    <row r="182" spans="1:12" x14ac:dyDescent="0.35">
      <c r="A182" s="255"/>
      <c r="B182" s="321"/>
      <c r="C182" s="173" t="s">
        <v>1623</v>
      </c>
      <c r="D182" s="173" t="s">
        <v>2974</v>
      </c>
      <c r="E182" s="10" t="s">
        <v>2596</v>
      </c>
      <c r="F182" s="10" t="s">
        <v>3147</v>
      </c>
      <c r="G182" s="175" t="s">
        <v>3149</v>
      </c>
      <c r="H182" s="12">
        <v>7</v>
      </c>
      <c r="I182" s="12">
        <v>5</v>
      </c>
      <c r="J182" s="12">
        <v>17</v>
      </c>
      <c r="K182" s="12">
        <v>20</v>
      </c>
      <c r="L182" s="220">
        <f t="shared" si="8"/>
        <v>49</v>
      </c>
    </row>
    <row r="183" spans="1:12" x14ac:dyDescent="0.35">
      <c r="A183" s="255"/>
      <c r="B183" s="321"/>
      <c r="C183" s="173" t="s">
        <v>1623</v>
      </c>
      <c r="D183" s="173" t="s">
        <v>2974</v>
      </c>
      <c r="E183" s="10" t="s">
        <v>2596</v>
      </c>
      <c r="F183" s="10" t="s">
        <v>3150</v>
      </c>
      <c r="G183" s="175" t="s">
        <v>516</v>
      </c>
      <c r="H183" s="12">
        <v>8</v>
      </c>
      <c r="I183" s="12">
        <v>12</v>
      </c>
      <c r="J183" s="12">
        <v>49</v>
      </c>
      <c r="K183" s="12">
        <v>50</v>
      </c>
      <c r="L183" s="220">
        <f t="shared" si="8"/>
        <v>119</v>
      </c>
    </row>
    <row r="184" spans="1:12" x14ac:dyDescent="0.35">
      <c r="A184" s="255"/>
      <c r="B184" s="321"/>
      <c r="C184" s="173" t="s">
        <v>1623</v>
      </c>
      <c r="D184" s="173" t="s">
        <v>2974</v>
      </c>
      <c r="E184" s="10" t="s">
        <v>2596</v>
      </c>
      <c r="F184" s="10" t="s">
        <v>3150</v>
      </c>
      <c r="G184" s="175" t="s">
        <v>3151</v>
      </c>
      <c r="H184" s="12">
        <v>12</v>
      </c>
      <c r="I184" s="12">
        <v>5</v>
      </c>
      <c r="J184" s="12">
        <v>48</v>
      </c>
      <c r="K184" s="12">
        <v>52</v>
      </c>
      <c r="L184" s="220">
        <f t="shared" si="8"/>
        <v>117</v>
      </c>
    </row>
    <row r="185" spans="1:12" x14ac:dyDescent="0.35">
      <c r="A185" s="255"/>
      <c r="B185" s="321"/>
      <c r="C185" s="173" t="s">
        <v>1623</v>
      </c>
      <c r="D185" s="173" t="s">
        <v>2974</v>
      </c>
      <c r="E185" s="10" t="s">
        <v>2596</v>
      </c>
      <c r="F185" s="10" t="s">
        <v>3147</v>
      </c>
      <c r="G185" s="175" t="s">
        <v>3152</v>
      </c>
      <c r="H185" s="12">
        <v>5</v>
      </c>
      <c r="I185" s="12">
        <v>5</v>
      </c>
      <c r="J185" s="12">
        <v>21</v>
      </c>
      <c r="K185" s="12">
        <v>29</v>
      </c>
      <c r="L185" s="220">
        <f t="shared" si="8"/>
        <v>60</v>
      </c>
    </row>
    <row r="186" spans="1:12" x14ac:dyDescent="0.35">
      <c r="A186" s="255"/>
      <c r="B186" s="321"/>
      <c r="C186" s="173" t="s">
        <v>1623</v>
      </c>
      <c r="D186" s="173" t="s">
        <v>2974</v>
      </c>
      <c r="E186" s="10" t="s">
        <v>2596</v>
      </c>
      <c r="F186" s="10" t="s">
        <v>3147</v>
      </c>
      <c r="G186" s="175" t="s">
        <v>2714</v>
      </c>
      <c r="H186" s="12">
        <v>10</v>
      </c>
      <c r="I186" s="12">
        <v>10</v>
      </c>
      <c r="J186" s="12">
        <v>32</v>
      </c>
      <c r="K186" s="12">
        <v>36</v>
      </c>
      <c r="L186" s="220">
        <f t="shared" si="8"/>
        <v>88</v>
      </c>
    </row>
    <row r="187" spans="1:12" x14ac:dyDescent="0.35">
      <c r="A187" s="255"/>
      <c r="B187" s="321"/>
      <c r="C187" s="173" t="s">
        <v>1623</v>
      </c>
      <c r="D187" s="173" t="s">
        <v>2974</v>
      </c>
      <c r="E187" s="10" t="s">
        <v>2596</v>
      </c>
      <c r="F187" s="10" t="s">
        <v>3150</v>
      </c>
      <c r="G187" s="175" t="s">
        <v>3153</v>
      </c>
      <c r="H187" s="12">
        <v>13</v>
      </c>
      <c r="I187" s="12">
        <v>28</v>
      </c>
      <c r="J187" s="12">
        <v>26</v>
      </c>
      <c r="K187" s="12">
        <v>24</v>
      </c>
      <c r="L187" s="220">
        <f t="shared" si="8"/>
        <v>91</v>
      </c>
    </row>
    <row r="188" spans="1:12" x14ac:dyDescent="0.35">
      <c r="A188" s="255"/>
      <c r="B188" s="322"/>
      <c r="C188" s="173" t="s">
        <v>1623</v>
      </c>
      <c r="D188" s="173" t="s">
        <v>2974</v>
      </c>
      <c r="E188" s="10" t="s">
        <v>2596</v>
      </c>
      <c r="F188" s="10" t="s">
        <v>3008</v>
      </c>
      <c r="G188" s="175" t="s">
        <v>3154</v>
      </c>
      <c r="H188" s="12">
        <v>12</v>
      </c>
      <c r="I188" s="12">
        <v>5</v>
      </c>
      <c r="J188" s="12">
        <v>45</v>
      </c>
      <c r="K188" s="12">
        <v>39</v>
      </c>
      <c r="L188" s="220">
        <f t="shared" si="8"/>
        <v>101</v>
      </c>
    </row>
    <row r="189" spans="1:12" x14ac:dyDescent="0.35">
      <c r="A189" s="309"/>
      <c r="B189" s="102"/>
      <c r="C189" s="102"/>
      <c r="D189" s="102"/>
      <c r="E189" s="102"/>
      <c r="F189" s="102"/>
      <c r="G189" s="102" t="s">
        <v>3025</v>
      </c>
      <c r="H189" s="102">
        <f>SUM(H181:H188)</f>
        <v>71</v>
      </c>
      <c r="I189" s="102">
        <f t="shared" ref="I189:K189" si="11">SUM(I181:I188)</f>
        <v>76</v>
      </c>
      <c r="J189" s="102">
        <f t="shared" si="11"/>
        <v>274</v>
      </c>
      <c r="K189" s="102">
        <f t="shared" si="11"/>
        <v>287</v>
      </c>
      <c r="L189" s="225">
        <f t="shared" si="8"/>
        <v>708</v>
      </c>
    </row>
    <row r="190" spans="1:12" ht="18.75" customHeight="1" x14ac:dyDescent="0.35">
      <c r="A190" s="254">
        <v>10</v>
      </c>
      <c r="B190" s="320" t="s">
        <v>3155</v>
      </c>
      <c r="C190" s="173" t="s">
        <v>1623</v>
      </c>
      <c r="D190" s="173" t="s">
        <v>2974</v>
      </c>
      <c r="E190" s="10" t="s">
        <v>2975</v>
      </c>
      <c r="F190" s="10" t="s">
        <v>3081</v>
      </c>
      <c r="G190" s="183" t="s">
        <v>3156</v>
      </c>
      <c r="H190" s="12">
        <v>13</v>
      </c>
      <c r="I190" s="12">
        <v>15</v>
      </c>
      <c r="J190" s="12">
        <v>26</v>
      </c>
      <c r="K190" s="12">
        <v>32</v>
      </c>
      <c r="L190" s="220">
        <f t="shared" si="8"/>
        <v>86</v>
      </c>
    </row>
    <row r="191" spans="1:12" x14ac:dyDescent="0.35">
      <c r="A191" s="255"/>
      <c r="B191" s="321"/>
      <c r="C191" s="173" t="s">
        <v>1623</v>
      </c>
      <c r="D191" s="173" t="s">
        <v>2974</v>
      </c>
      <c r="E191" s="10" t="s">
        <v>2975</v>
      </c>
      <c r="F191" s="10" t="s">
        <v>3081</v>
      </c>
      <c r="G191" s="175" t="s">
        <v>3157</v>
      </c>
      <c r="H191" s="12">
        <v>20</v>
      </c>
      <c r="I191" s="12">
        <v>30</v>
      </c>
      <c r="J191" s="12">
        <v>33</v>
      </c>
      <c r="K191" s="12">
        <v>29</v>
      </c>
      <c r="L191" s="220">
        <f t="shared" si="8"/>
        <v>112</v>
      </c>
    </row>
    <row r="192" spans="1:12" x14ac:dyDescent="0.35">
      <c r="A192" s="255"/>
      <c r="B192" s="321"/>
      <c r="C192" s="173" t="s">
        <v>1623</v>
      </c>
      <c r="D192" s="173" t="s">
        <v>2974</v>
      </c>
      <c r="E192" s="10" t="s">
        <v>2975</v>
      </c>
      <c r="F192" s="10" t="s">
        <v>3081</v>
      </c>
      <c r="G192" s="175" t="s">
        <v>3158</v>
      </c>
      <c r="H192" s="12">
        <v>8</v>
      </c>
      <c r="I192" s="12">
        <v>9</v>
      </c>
      <c r="J192" s="12">
        <v>31</v>
      </c>
      <c r="K192" s="12">
        <v>24</v>
      </c>
      <c r="L192" s="220">
        <f t="shared" si="8"/>
        <v>72</v>
      </c>
    </row>
    <row r="193" spans="1:12" x14ac:dyDescent="0.35">
      <c r="A193" s="255"/>
      <c r="B193" s="321"/>
      <c r="C193" s="173" t="s">
        <v>1623</v>
      </c>
      <c r="D193" s="173" t="s">
        <v>2974</v>
      </c>
      <c r="E193" s="10" t="s">
        <v>2975</v>
      </c>
      <c r="F193" s="10" t="s">
        <v>3081</v>
      </c>
      <c r="G193" s="175" t="s">
        <v>3159</v>
      </c>
      <c r="H193" s="12">
        <v>13</v>
      </c>
      <c r="I193" s="12">
        <v>7</v>
      </c>
      <c r="J193" s="12">
        <v>33</v>
      </c>
      <c r="K193" s="12">
        <v>17</v>
      </c>
      <c r="L193" s="220">
        <f t="shared" si="8"/>
        <v>70</v>
      </c>
    </row>
    <row r="194" spans="1:12" x14ac:dyDescent="0.35">
      <c r="A194" s="255"/>
      <c r="B194" s="321"/>
      <c r="C194" s="173" t="s">
        <v>1623</v>
      </c>
      <c r="D194" s="173" t="s">
        <v>2974</v>
      </c>
      <c r="E194" s="10" t="s">
        <v>2975</v>
      </c>
      <c r="F194" s="10" t="s">
        <v>3081</v>
      </c>
      <c r="G194" s="175" t="s">
        <v>3160</v>
      </c>
      <c r="H194" s="12">
        <v>9</v>
      </c>
      <c r="I194" s="12">
        <v>3</v>
      </c>
      <c r="J194" s="12">
        <v>16</v>
      </c>
      <c r="K194" s="12">
        <v>14</v>
      </c>
      <c r="L194" s="220">
        <f t="shared" si="8"/>
        <v>42</v>
      </c>
    </row>
    <row r="195" spans="1:12" x14ac:dyDescent="0.35">
      <c r="A195" s="255"/>
      <c r="B195" s="321"/>
      <c r="C195" s="173" t="s">
        <v>1623</v>
      </c>
      <c r="D195" s="173" t="s">
        <v>2974</v>
      </c>
      <c r="E195" s="10" t="s">
        <v>2975</v>
      </c>
      <c r="F195" s="10" t="s">
        <v>3081</v>
      </c>
      <c r="G195" s="175" t="s">
        <v>3161</v>
      </c>
      <c r="H195" s="12">
        <v>10</v>
      </c>
      <c r="I195" s="12">
        <v>10</v>
      </c>
      <c r="J195" s="12">
        <v>24</v>
      </c>
      <c r="K195" s="12">
        <v>26</v>
      </c>
      <c r="L195" s="220">
        <f t="shared" si="8"/>
        <v>70</v>
      </c>
    </row>
    <row r="196" spans="1:12" x14ac:dyDescent="0.35">
      <c r="A196" s="255"/>
      <c r="B196" s="321"/>
      <c r="C196" s="173" t="s">
        <v>1623</v>
      </c>
      <c r="D196" s="173" t="s">
        <v>2974</v>
      </c>
      <c r="E196" s="10" t="s">
        <v>2975</v>
      </c>
      <c r="F196" s="10" t="s">
        <v>3162</v>
      </c>
      <c r="G196" s="175" t="s">
        <v>3163</v>
      </c>
      <c r="H196" s="12">
        <v>14</v>
      </c>
      <c r="I196" s="12">
        <v>17</v>
      </c>
      <c r="J196" s="12">
        <v>21</v>
      </c>
      <c r="K196" s="12">
        <v>17</v>
      </c>
      <c r="L196" s="220">
        <f t="shared" si="8"/>
        <v>69</v>
      </c>
    </row>
    <row r="197" spans="1:12" x14ac:dyDescent="0.35">
      <c r="A197" s="255"/>
      <c r="B197" s="321"/>
      <c r="C197" s="173" t="s">
        <v>1623</v>
      </c>
      <c r="D197" s="173" t="s">
        <v>2974</v>
      </c>
      <c r="E197" s="10" t="s">
        <v>2975</v>
      </c>
      <c r="F197" s="10" t="s">
        <v>3081</v>
      </c>
      <c r="G197" s="175" t="s">
        <v>3164</v>
      </c>
      <c r="H197" s="12">
        <v>8</v>
      </c>
      <c r="I197" s="12">
        <v>7</v>
      </c>
      <c r="J197" s="12">
        <v>29</v>
      </c>
      <c r="K197" s="12">
        <v>36</v>
      </c>
      <c r="L197" s="220">
        <f t="shared" si="8"/>
        <v>80</v>
      </c>
    </row>
    <row r="198" spans="1:12" ht="17.25" customHeight="1" x14ac:dyDescent="0.35">
      <c r="A198" s="255"/>
      <c r="B198" s="321"/>
      <c r="C198" s="173" t="s">
        <v>1623</v>
      </c>
      <c r="D198" s="173" t="s">
        <v>2974</v>
      </c>
      <c r="E198" s="10" t="s">
        <v>2975</v>
      </c>
      <c r="F198" s="10" t="s">
        <v>3027</v>
      </c>
      <c r="G198" s="175" t="s">
        <v>332</v>
      </c>
      <c r="H198" s="11">
        <v>7</v>
      </c>
      <c r="I198" s="13">
        <v>9</v>
      </c>
      <c r="J198" s="12">
        <v>10</v>
      </c>
      <c r="K198" s="12">
        <v>10</v>
      </c>
      <c r="L198" s="220">
        <f t="shared" si="8"/>
        <v>36</v>
      </c>
    </row>
    <row r="199" spans="1:12" ht="16.5" customHeight="1" x14ac:dyDescent="0.35">
      <c r="A199" s="255"/>
      <c r="B199" s="321"/>
      <c r="C199" s="173" t="s">
        <v>1623</v>
      </c>
      <c r="D199" s="173" t="s">
        <v>2974</v>
      </c>
      <c r="E199" s="10" t="s">
        <v>2975</v>
      </c>
      <c r="F199" s="10" t="s">
        <v>3027</v>
      </c>
      <c r="G199" s="175" t="s">
        <v>3165</v>
      </c>
      <c r="H199" s="12">
        <v>20</v>
      </c>
      <c r="I199" s="12">
        <v>11</v>
      </c>
      <c r="J199" s="12">
        <v>49</v>
      </c>
      <c r="K199" s="12">
        <v>51</v>
      </c>
      <c r="L199" s="220">
        <f t="shared" ref="L199:L262" si="12">H199+I199+J199+K199</f>
        <v>131</v>
      </c>
    </row>
    <row r="200" spans="1:12" ht="22.5" customHeight="1" x14ac:dyDescent="0.35">
      <c r="A200" s="255"/>
      <c r="B200" s="321"/>
      <c r="C200" s="173" t="s">
        <v>1623</v>
      </c>
      <c r="D200" s="173" t="s">
        <v>2974</v>
      </c>
      <c r="E200" s="10" t="s">
        <v>2975</v>
      </c>
      <c r="F200" s="10" t="s">
        <v>3027</v>
      </c>
      <c r="G200" s="184" t="s">
        <v>3166</v>
      </c>
      <c r="H200" s="12">
        <v>39</v>
      </c>
      <c r="I200" s="12">
        <v>36</v>
      </c>
      <c r="J200" s="12">
        <v>72</v>
      </c>
      <c r="K200" s="12">
        <v>103</v>
      </c>
      <c r="L200" s="220">
        <f t="shared" si="12"/>
        <v>250</v>
      </c>
    </row>
    <row r="201" spans="1:12" ht="17.25" customHeight="1" x14ac:dyDescent="0.35">
      <c r="A201" s="255"/>
      <c r="B201" s="322"/>
      <c r="C201" s="173" t="s">
        <v>1623</v>
      </c>
      <c r="D201" s="173" t="s">
        <v>2974</v>
      </c>
      <c r="E201" s="10" t="s">
        <v>2975</v>
      </c>
      <c r="F201" s="10" t="s">
        <v>3027</v>
      </c>
      <c r="G201" s="184" t="s">
        <v>3167</v>
      </c>
      <c r="H201" s="12">
        <v>26</v>
      </c>
      <c r="I201" s="12">
        <v>16</v>
      </c>
      <c r="J201" s="12">
        <v>45</v>
      </c>
      <c r="K201" s="12">
        <v>54</v>
      </c>
      <c r="L201" s="220">
        <f t="shared" si="12"/>
        <v>141</v>
      </c>
    </row>
    <row r="202" spans="1:12" x14ac:dyDescent="0.35">
      <c r="A202" s="309"/>
      <c r="B202" s="102"/>
      <c r="C202" s="102"/>
      <c r="D202" s="102"/>
      <c r="E202" s="102"/>
      <c r="F202" s="102"/>
      <c r="G202" s="102" t="s">
        <v>3025</v>
      </c>
      <c r="H202" s="102">
        <f>SUM(H190:H201)</f>
        <v>187</v>
      </c>
      <c r="I202" s="102">
        <f t="shared" ref="I202:K202" si="13">SUM(I190:I201)</f>
        <v>170</v>
      </c>
      <c r="J202" s="102">
        <f t="shared" si="13"/>
        <v>389</v>
      </c>
      <c r="K202" s="102">
        <f t="shared" si="13"/>
        <v>413</v>
      </c>
      <c r="L202" s="225">
        <f t="shared" si="12"/>
        <v>1159</v>
      </c>
    </row>
    <row r="203" spans="1:12" ht="15" customHeight="1" x14ac:dyDescent="0.35">
      <c r="A203" s="254">
        <v>11</v>
      </c>
      <c r="B203" s="320" t="s">
        <v>3168</v>
      </c>
      <c r="C203" s="173" t="s">
        <v>1623</v>
      </c>
      <c r="D203" s="173" t="s">
        <v>2974</v>
      </c>
      <c r="E203" s="10" t="s">
        <v>2975</v>
      </c>
      <c r="F203" s="10" t="s">
        <v>3169</v>
      </c>
      <c r="G203" s="175" t="s">
        <v>3170</v>
      </c>
      <c r="H203" s="15">
        <v>6</v>
      </c>
      <c r="I203" s="15">
        <v>5</v>
      </c>
      <c r="J203" s="15">
        <v>16</v>
      </c>
      <c r="K203" s="15">
        <v>9</v>
      </c>
      <c r="L203" s="220">
        <f t="shared" si="12"/>
        <v>36</v>
      </c>
    </row>
    <row r="204" spans="1:12" x14ac:dyDescent="0.35">
      <c r="A204" s="255"/>
      <c r="B204" s="321"/>
      <c r="C204" s="173" t="s">
        <v>1623</v>
      </c>
      <c r="D204" s="173" t="s">
        <v>2974</v>
      </c>
      <c r="E204" s="10" t="s">
        <v>2975</v>
      </c>
      <c r="F204" s="10" t="s">
        <v>3169</v>
      </c>
      <c r="G204" s="175" t="s">
        <v>3171</v>
      </c>
      <c r="H204" s="15">
        <v>10</v>
      </c>
      <c r="I204" s="15">
        <v>5</v>
      </c>
      <c r="J204" s="15">
        <v>13</v>
      </c>
      <c r="K204" s="15">
        <v>7</v>
      </c>
      <c r="L204" s="220">
        <f t="shared" si="12"/>
        <v>35</v>
      </c>
    </row>
    <row r="205" spans="1:12" x14ac:dyDescent="0.35">
      <c r="A205" s="255"/>
      <c r="B205" s="321"/>
      <c r="C205" s="173" t="s">
        <v>1623</v>
      </c>
      <c r="D205" s="173" t="s">
        <v>2974</v>
      </c>
      <c r="E205" s="10" t="s">
        <v>2975</v>
      </c>
      <c r="F205" s="10" t="s">
        <v>3162</v>
      </c>
      <c r="G205" s="175" t="s">
        <v>3172</v>
      </c>
      <c r="H205" s="12">
        <v>5</v>
      </c>
      <c r="I205" s="12">
        <v>5</v>
      </c>
      <c r="J205" s="12">
        <v>21</v>
      </c>
      <c r="K205" s="12">
        <v>14</v>
      </c>
      <c r="L205" s="220">
        <f t="shared" si="12"/>
        <v>45</v>
      </c>
    </row>
    <row r="206" spans="1:12" x14ac:dyDescent="0.35">
      <c r="A206" s="255"/>
      <c r="B206" s="321"/>
      <c r="C206" s="173" t="s">
        <v>1623</v>
      </c>
      <c r="D206" s="173" t="s">
        <v>2974</v>
      </c>
      <c r="E206" s="10" t="s">
        <v>2975</v>
      </c>
      <c r="F206" s="10" t="s">
        <v>3039</v>
      </c>
      <c r="G206" s="175" t="s">
        <v>3173</v>
      </c>
      <c r="H206" s="12">
        <v>25</v>
      </c>
      <c r="I206" s="12">
        <v>35</v>
      </c>
      <c r="J206" s="12">
        <v>47</v>
      </c>
      <c r="K206" s="12">
        <v>73</v>
      </c>
      <c r="L206" s="220">
        <f t="shared" si="12"/>
        <v>180</v>
      </c>
    </row>
    <row r="207" spans="1:12" x14ac:dyDescent="0.35">
      <c r="A207" s="255"/>
      <c r="B207" s="321"/>
      <c r="C207" s="173" t="s">
        <v>1623</v>
      </c>
      <c r="D207" s="173" t="s">
        <v>2974</v>
      </c>
      <c r="E207" s="10" t="s">
        <v>2975</v>
      </c>
      <c r="F207" s="10" t="s">
        <v>2996</v>
      </c>
      <c r="G207" s="175" t="s">
        <v>3174</v>
      </c>
      <c r="H207" s="12">
        <v>9</v>
      </c>
      <c r="I207" s="12">
        <v>11</v>
      </c>
      <c r="J207" s="12">
        <v>22</v>
      </c>
      <c r="K207" s="12">
        <v>19</v>
      </c>
      <c r="L207" s="220">
        <f t="shared" si="12"/>
        <v>61</v>
      </c>
    </row>
    <row r="208" spans="1:12" x14ac:dyDescent="0.35">
      <c r="A208" s="255"/>
      <c r="B208" s="321"/>
      <c r="C208" s="173" t="s">
        <v>1623</v>
      </c>
      <c r="D208" s="173" t="s">
        <v>2974</v>
      </c>
      <c r="E208" s="10" t="s">
        <v>2975</v>
      </c>
      <c r="F208" s="10" t="s">
        <v>1291</v>
      </c>
      <c r="G208" s="175" t="s">
        <v>3175</v>
      </c>
      <c r="H208" s="12">
        <v>24</v>
      </c>
      <c r="I208" s="12">
        <v>36</v>
      </c>
      <c r="J208" s="12">
        <v>47</v>
      </c>
      <c r="K208" s="12">
        <v>53</v>
      </c>
      <c r="L208" s="220">
        <f t="shared" si="12"/>
        <v>160</v>
      </c>
    </row>
    <row r="209" spans="1:12" x14ac:dyDescent="0.35">
      <c r="A209" s="255"/>
      <c r="B209" s="321"/>
      <c r="C209" s="173" t="s">
        <v>1623</v>
      </c>
      <c r="D209" s="173" t="s">
        <v>2974</v>
      </c>
      <c r="E209" s="10" t="s">
        <v>2975</v>
      </c>
      <c r="F209" s="10" t="s">
        <v>3098</v>
      </c>
      <c r="G209" s="175" t="s">
        <v>3176</v>
      </c>
      <c r="H209" s="12">
        <v>27</v>
      </c>
      <c r="I209" s="12">
        <v>18</v>
      </c>
      <c r="J209" s="12">
        <v>44</v>
      </c>
      <c r="K209" s="12">
        <v>43</v>
      </c>
      <c r="L209" s="220">
        <f t="shared" si="12"/>
        <v>132</v>
      </c>
    </row>
    <row r="210" spans="1:12" x14ac:dyDescent="0.35">
      <c r="A210" s="255"/>
      <c r="B210" s="321"/>
      <c r="C210" s="173" t="s">
        <v>1623</v>
      </c>
      <c r="D210" s="173" t="s">
        <v>2974</v>
      </c>
      <c r="E210" s="10" t="s">
        <v>2975</v>
      </c>
      <c r="F210" s="10" t="s">
        <v>1291</v>
      </c>
      <c r="G210" s="175" t="s">
        <v>2085</v>
      </c>
      <c r="H210" s="12">
        <v>10</v>
      </c>
      <c r="I210" s="12">
        <v>4</v>
      </c>
      <c r="J210" s="12">
        <v>11</v>
      </c>
      <c r="K210" s="12">
        <v>9</v>
      </c>
      <c r="L210" s="220">
        <f t="shared" si="12"/>
        <v>34</v>
      </c>
    </row>
    <row r="211" spans="1:12" x14ac:dyDescent="0.35">
      <c r="A211" s="255"/>
      <c r="B211" s="321"/>
      <c r="C211" s="173" t="s">
        <v>1623</v>
      </c>
      <c r="D211" s="173" t="s">
        <v>2974</v>
      </c>
      <c r="E211" s="10" t="s">
        <v>2975</v>
      </c>
      <c r="F211" s="10" t="s">
        <v>3169</v>
      </c>
      <c r="G211" s="175" t="s">
        <v>3177</v>
      </c>
      <c r="H211" s="12">
        <v>7</v>
      </c>
      <c r="I211" s="12">
        <v>5</v>
      </c>
      <c r="J211" s="12">
        <v>9</v>
      </c>
      <c r="K211" s="12">
        <v>9</v>
      </c>
      <c r="L211" s="220">
        <f t="shared" si="12"/>
        <v>30</v>
      </c>
    </row>
    <row r="212" spans="1:12" x14ac:dyDescent="0.35">
      <c r="A212" s="255"/>
      <c r="B212" s="321"/>
      <c r="C212" s="173" t="s">
        <v>1623</v>
      </c>
      <c r="D212" s="173" t="s">
        <v>2974</v>
      </c>
      <c r="E212" s="10" t="s">
        <v>2975</v>
      </c>
      <c r="F212" s="10" t="s">
        <v>3098</v>
      </c>
      <c r="G212" s="185" t="s">
        <v>3178</v>
      </c>
      <c r="H212" s="12">
        <v>12</v>
      </c>
      <c r="I212" s="12">
        <v>13</v>
      </c>
      <c r="J212" s="12">
        <v>23</v>
      </c>
      <c r="K212" s="12">
        <v>19</v>
      </c>
      <c r="L212" s="220">
        <f t="shared" si="12"/>
        <v>67</v>
      </c>
    </row>
    <row r="213" spans="1:12" x14ac:dyDescent="0.35">
      <c r="A213" s="255"/>
      <c r="B213" s="321"/>
      <c r="C213" s="173" t="s">
        <v>1623</v>
      </c>
      <c r="D213" s="173" t="s">
        <v>2974</v>
      </c>
      <c r="E213" s="10" t="s">
        <v>2975</v>
      </c>
      <c r="F213" s="10" t="s">
        <v>3098</v>
      </c>
      <c r="G213" s="175" t="s">
        <v>3179</v>
      </c>
      <c r="H213" s="12">
        <v>15</v>
      </c>
      <c r="I213" s="12">
        <v>15</v>
      </c>
      <c r="J213" s="12">
        <v>32</v>
      </c>
      <c r="K213" s="12">
        <v>28</v>
      </c>
      <c r="L213" s="220">
        <f t="shared" si="12"/>
        <v>90</v>
      </c>
    </row>
    <row r="214" spans="1:12" x14ac:dyDescent="0.35">
      <c r="A214" s="255"/>
      <c r="B214" s="321"/>
      <c r="C214" s="173" t="s">
        <v>1623</v>
      </c>
      <c r="D214" s="173" t="s">
        <v>2974</v>
      </c>
      <c r="E214" s="10" t="s">
        <v>2975</v>
      </c>
      <c r="F214" s="10" t="s">
        <v>2985</v>
      </c>
      <c r="G214" s="175" t="s">
        <v>3180</v>
      </c>
      <c r="H214" s="12">
        <v>16</v>
      </c>
      <c r="I214" s="12">
        <v>9</v>
      </c>
      <c r="J214" s="12">
        <v>21</v>
      </c>
      <c r="K214" s="12">
        <v>25</v>
      </c>
      <c r="L214" s="220">
        <f t="shared" si="12"/>
        <v>71</v>
      </c>
    </row>
    <row r="215" spans="1:12" x14ac:dyDescent="0.35">
      <c r="A215" s="255"/>
      <c r="B215" s="321"/>
      <c r="C215" s="173" t="s">
        <v>1623</v>
      </c>
      <c r="D215" s="173" t="s">
        <v>2974</v>
      </c>
      <c r="E215" s="10" t="s">
        <v>2975</v>
      </c>
      <c r="F215" s="10" t="s">
        <v>3169</v>
      </c>
      <c r="G215" s="175" t="s">
        <v>3181</v>
      </c>
      <c r="H215" s="12">
        <v>6</v>
      </c>
      <c r="I215" s="12">
        <v>3</v>
      </c>
      <c r="J215" s="12">
        <v>12</v>
      </c>
      <c r="K215" s="12">
        <v>13</v>
      </c>
      <c r="L215" s="220">
        <f t="shared" si="12"/>
        <v>34</v>
      </c>
    </row>
    <row r="216" spans="1:12" x14ac:dyDescent="0.35">
      <c r="A216" s="255"/>
      <c r="B216" s="321"/>
      <c r="C216" s="173" t="s">
        <v>1623</v>
      </c>
      <c r="D216" s="173" t="s">
        <v>2974</v>
      </c>
      <c r="E216" s="10" t="s">
        <v>2975</v>
      </c>
      <c r="F216" s="10" t="s">
        <v>2996</v>
      </c>
      <c r="G216" s="175" t="s">
        <v>3182</v>
      </c>
      <c r="H216" s="12">
        <v>5</v>
      </c>
      <c r="I216" s="12">
        <v>8</v>
      </c>
      <c r="J216" s="12">
        <v>8</v>
      </c>
      <c r="K216" s="12">
        <v>6</v>
      </c>
      <c r="L216" s="220">
        <f t="shared" si="12"/>
        <v>27</v>
      </c>
    </row>
    <row r="217" spans="1:12" x14ac:dyDescent="0.35">
      <c r="A217" s="255"/>
      <c r="B217" s="321"/>
      <c r="C217" s="173" t="s">
        <v>1623</v>
      </c>
      <c r="D217" s="173" t="s">
        <v>2974</v>
      </c>
      <c r="E217" s="10" t="s">
        <v>2975</v>
      </c>
      <c r="F217" s="10" t="s">
        <v>3003</v>
      </c>
      <c r="G217" s="175" t="s">
        <v>3183</v>
      </c>
      <c r="H217" s="12">
        <v>7</v>
      </c>
      <c r="I217" s="12">
        <v>8</v>
      </c>
      <c r="J217" s="12">
        <v>15</v>
      </c>
      <c r="K217" s="12">
        <v>13</v>
      </c>
      <c r="L217" s="220">
        <f t="shared" si="12"/>
        <v>43</v>
      </c>
    </row>
    <row r="218" spans="1:12" x14ac:dyDescent="0.35">
      <c r="A218" s="255"/>
      <c r="B218" s="321"/>
      <c r="C218" s="173" t="s">
        <v>1623</v>
      </c>
      <c r="D218" s="173" t="s">
        <v>2974</v>
      </c>
      <c r="E218" s="10" t="s">
        <v>2975</v>
      </c>
      <c r="F218" s="10" t="s">
        <v>3162</v>
      </c>
      <c r="G218" s="175" t="s">
        <v>3184</v>
      </c>
      <c r="H218" s="12">
        <v>9</v>
      </c>
      <c r="I218" s="12">
        <v>8</v>
      </c>
      <c r="J218" s="12">
        <v>9</v>
      </c>
      <c r="K218" s="12">
        <v>13</v>
      </c>
      <c r="L218" s="220">
        <f t="shared" si="12"/>
        <v>39</v>
      </c>
    </row>
    <row r="219" spans="1:12" x14ac:dyDescent="0.35">
      <c r="A219" s="255"/>
      <c r="B219" s="321"/>
      <c r="C219" s="173" t="s">
        <v>1623</v>
      </c>
      <c r="D219" s="173" t="s">
        <v>2974</v>
      </c>
      <c r="E219" s="10" t="s">
        <v>2975</v>
      </c>
      <c r="F219" s="10" t="s">
        <v>2987</v>
      </c>
      <c r="G219" s="175" t="s">
        <v>3185</v>
      </c>
      <c r="H219" s="12">
        <v>8</v>
      </c>
      <c r="I219" s="12">
        <v>7</v>
      </c>
      <c r="J219" s="12">
        <v>10</v>
      </c>
      <c r="K219" s="12">
        <v>22</v>
      </c>
      <c r="L219" s="220">
        <f t="shared" si="12"/>
        <v>47</v>
      </c>
    </row>
    <row r="220" spans="1:12" x14ac:dyDescent="0.35">
      <c r="A220" s="255"/>
      <c r="B220" s="321"/>
      <c r="C220" s="173" t="s">
        <v>1623</v>
      </c>
      <c r="D220" s="173" t="s">
        <v>2974</v>
      </c>
      <c r="E220" s="10" t="s">
        <v>2975</v>
      </c>
      <c r="F220" s="10" t="s">
        <v>3162</v>
      </c>
      <c r="G220" s="175" t="s">
        <v>3186</v>
      </c>
      <c r="H220" s="12">
        <v>10</v>
      </c>
      <c r="I220" s="12">
        <v>7</v>
      </c>
      <c r="J220" s="12">
        <v>19</v>
      </c>
      <c r="K220" s="12">
        <v>16</v>
      </c>
      <c r="L220" s="220">
        <f t="shared" si="12"/>
        <v>52</v>
      </c>
    </row>
    <row r="221" spans="1:12" x14ac:dyDescent="0.35">
      <c r="A221" s="255"/>
      <c r="B221" s="321"/>
      <c r="C221" s="173" t="s">
        <v>1623</v>
      </c>
      <c r="D221" s="173" t="s">
        <v>2974</v>
      </c>
      <c r="E221" s="10" t="s">
        <v>2975</v>
      </c>
      <c r="F221" s="10" t="s">
        <v>3169</v>
      </c>
      <c r="G221" s="175" t="s">
        <v>3187</v>
      </c>
      <c r="H221" s="12">
        <v>7</v>
      </c>
      <c r="I221" s="12">
        <v>10</v>
      </c>
      <c r="J221" s="12">
        <v>6</v>
      </c>
      <c r="K221" s="12">
        <v>27</v>
      </c>
      <c r="L221" s="220">
        <f t="shared" si="12"/>
        <v>50</v>
      </c>
    </row>
    <row r="222" spans="1:12" x14ac:dyDescent="0.35">
      <c r="A222" s="255"/>
      <c r="B222" s="322"/>
      <c r="C222" s="173" t="s">
        <v>1623</v>
      </c>
      <c r="D222" s="173" t="s">
        <v>2974</v>
      </c>
      <c r="E222" s="10" t="s">
        <v>2975</v>
      </c>
      <c r="F222" s="10" t="s">
        <v>3162</v>
      </c>
      <c r="G222" s="175" t="s">
        <v>3188</v>
      </c>
      <c r="H222" s="12">
        <v>8</v>
      </c>
      <c r="I222" s="12">
        <v>7</v>
      </c>
      <c r="J222" s="12">
        <v>20</v>
      </c>
      <c r="K222" s="12">
        <v>32</v>
      </c>
      <c r="L222" s="220">
        <f t="shared" si="12"/>
        <v>67</v>
      </c>
    </row>
    <row r="223" spans="1:12" x14ac:dyDescent="0.35">
      <c r="A223" s="309"/>
      <c r="B223" s="102"/>
      <c r="C223" s="102"/>
      <c r="D223" s="102"/>
      <c r="E223" s="102"/>
      <c r="F223" s="102"/>
      <c r="G223" s="102" t="s">
        <v>3025</v>
      </c>
      <c r="H223" s="22">
        <f>SUM(H203:H222)</f>
        <v>226</v>
      </c>
      <c r="I223" s="22">
        <f t="shared" ref="I223:K223" si="14">SUM(I203:I222)</f>
        <v>219</v>
      </c>
      <c r="J223" s="22">
        <f t="shared" si="14"/>
        <v>405</v>
      </c>
      <c r="K223" s="22">
        <f t="shared" si="14"/>
        <v>450</v>
      </c>
      <c r="L223" s="225">
        <f t="shared" si="12"/>
        <v>1300</v>
      </c>
    </row>
    <row r="224" spans="1:12" ht="17.25" customHeight="1" x14ac:dyDescent="0.35">
      <c r="A224" s="254">
        <v>12</v>
      </c>
      <c r="B224" s="320" t="s">
        <v>3189</v>
      </c>
      <c r="C224" s="173" t="s">
        <v>1623</v>
      </c>
      <c r="D224" s="173" t="s">
        <v>2974</v>
      </c>
      <c r="E224" s="10" t="s">
        <v>2975</v>
      </c>
      <c r="F224" s="10" t="s">
        <v>3116</v>
      </c>
      <c r="G224" s="175" t="s">
        <v>3132</v>
      </c>
      <c r="H224" s="15">
        <v>14</v>
      </c>
      <c r="I224" s="15">
        <v>17</v>
      </c>
      <c r="J224" s="15">
        <v>79</v>
      </c>
      <c r="K224" s="15">
        <v>72</v>
      </c>
      <c r="L224" s="220">
        <f t="shared" si="12"/>
        <v>182</v>
      </c>
    </row>
    <row r="225" spans="1:12" x14ac:dyDescent="0.35">
      <c r="A225" s="255"/>
      <c r="B225" s="321"/>
      <c r="C225" s="173" t="s">
        <v>1623</v>
      </c>
      <c r="D225" s="173" t="s">
        <v>2974</v>
      </c>
      <c r="E225" s="10" t="s">
        <v>2975</v>
      </c>
      <c r="F225" s="10" t="s">
        <v>3041</v>
      </c>
      <c r="G225" s="175" t="s">
        <v>3190</v>
      </c>
      <c r="H225" s="15">
        <v>36</v>
      </c>
      <c r="I225" s="15">
        <v>40</v>
      </c>
      <c r="J225" s="15">
        <v>47</v>
      </c>
      <c r="K225" s="15">
        <v>30</v>
      </c>
      <c r="L225" s="220">
        <f t="shared" si="12"/>
        <v>153</v>
      </c>
    </row>
    <row r="226" spans="1:12" x14ac:dyDescent="0.35">
      <c r="A226" s="255"/>
      <c r="B226" s="321"/>
      <c r="C226" s="173" t="s">
        <v>1623</v>
      </c>
      <c r="D226" s="173" t="s">
        <v>2974</v>
      </c>
      <c r="E226" s="10" t="s">
        <v>3041</v>
      </c>
      <c r="F226" s="10" t="s">
        <v>3116</v>
      </c>
      <c r="G226" s="175" t="s">
        <v>3191</v>
      </c>
      <c r="H226" s="15">
        <v>32</v>
      </c>
      <c r="I226" s="15">
        <v>20</v>
      </c>
      <c r="J226" s="15">
        <v>34</v>
      </c>
      <c r="K226" s="15">
        <v>30</v>
      </c>
      <c r="L226" s="220">
        <f t="shared" si="12"/>
        <v>116</v>
      </c>
    </row>
    <row r="227" spans="1:12" x14ac:dyDescent="0.35">
      <c r="A227" s="255"/>
      <c r="B227" s="321"/>
      <c r="C227" s="173" t="s">
        <v>1623</v>
      </c>
      <c r="D227" s="173" t="s">
        <v>2974</v>
      </c>
      <c r="E227" s="10" t="s">
        <v>2975</v>
      </c>
      <c r="F227" s="10" t="s">
        <v>3084</v>
      </c>
      <c r="G227" s="175" t="s">
        <v>3192</v>
      </c>
      <c r="H227" s="15">
        <v>29</v>
      </c>
      <c r="I227" s="15">
        <v>31</v>
      </c>
      <c r="J227" s="15">
        <v>54</v>
      </c>
      <c r="K227" s="15">
        <v>50</v>
      </c>
      <c r="L227" s="220">
        <f t="shared" si="12"/>
        <v>164</v>
      </c>
    </row>
    <row r="228" spans="1:12" x14ac:dyDescent="0.35">
      <c r="A228" s="255"/>
      <c r="B228" s="321"/>
      <c r="C228" s="173" t="s">
        <v>1623</v>
      </c>
      <c r="D228" s="173" t="s">
        <v>2974</v>
      </c>
      <c r="E228" s="10" t="s">
        <v>2975</v>
      </c>
      <c r="F228" s="10" t="s">
        <v>3039</v>
      </c>
      <c r="G228" s="175" t="s">
        <v>3193</v>
      </c>
      <c r="H228" s="15">
        <v>8</v>
      </c>
      <c r="I228" s="15">
        <v>23</v>
      </c>
      <c r="J228" s="15">
        <v>52</v>
      </c>
      <c r="K228" s="15">
        <v>48</v>
      </c>
      <c r="L228" s="220">
        <f t="shared" si="12"/>
        <v>131</v>
      </c>
    </row>
    <row r="229" spans="1:12" x14ac:dyDescent="0.35">
      <c r="A229" s="255"/>
      <c r="B229" s="321"/>
      <c r="C229" s="173" t="s">
        <v>1623</v>
      </c>
      <c r="D229" s="173" t="s">
        <v>2974</v>
      </c>
      <c r="E229" s="10" t="s">
        <v>3081</v>
      </c>
      <c r="F229" s="10" t="s">
        <v>2996</v>
      </c>
      <c r="G229" s="175" t="s">
        <v>3194</v>
      </c>
      <c r="H229" s="15">
        <v>14</v>
      </c>
      <c r="I229" s="15">
        <v>6</v>
      </c>
      <c r="J229" s="15">
        <v>95</v>
      </c>
      <c r="K229" s="15">
        <v>54</v>
      </c>
      <c r="L229" s="220">
        <f t="shared" si="12"/>
        <v>169</v>
      </c>
    </row>
    <row r="230" spans="1:12" x14ac:dyDescent="0.35">
      <c r="A230" s="255"/>
      <c r="B230" s="321"/>
      <c r="C230" s="173" t="s">
        <v>1623</v>
      </c>
      <c r="D230" s="173" t="s">
        <v>2974</v>
      </c>
      <c r="E230" s="10" t="s">
        <v>2975</v>
      </c>
      <c r="F230" s="10" t="s">
        <v>3116</v>
      </c>
      <c r="G230" s="175" t="s">
        <v>3195</v>
      </c>
      <c r="H230" s="15">
        <v>48</v>
      </c>
      <c r="I230" s="15">
        <v>47</v>
      </c>
      <c r="J230" s="15">
        <v>65</v>
      </c>
      <c r="K230" s="15">
        <v>61</v>
      </c>
      <c r="L230" s="220">
        <f t="shared" si="12"/>
        <v>221</v>
      </c>
    </row>
    <row r="231" spans="1:12" x14ac:dyDescent="0.35">
      <c r="A231" s="255"/>
      <c r="B231" s="321"/>
      <c r="C231" s="173" t="s">
        <v>1623</v>
      </c>
      <c r="D231" s="173" t="s">
        <v>2974</v>
      </c>
      <c r="E231" s="10" t="s">
        <v>2975</v>
      </c>
      <c r="F231" s="10" t="s">
        <v>3116</v>
      </c>
      <c r="G231" s="175" t="s">
        <v>3196</v>
      </c>
      <c r="H231" s="15">
        <v>29</v>
      </c>
      <c r="I231" s="15">
        <v>21</v>
      </c>
      <c r="J231" s="15">
        <v>43</v>
      </c>
      <c r="K231" s="15">
        <v>59</v>
      </c>
      <c r="L231" s="220">
        <f t="shared" si="12"/>
        <v>152</v>
      </c>
    </row>
    <row r="232" spans="1:12" x14ac:dyDescent="0.35">
      <c r="A232" s="255"/>
      <c r="B232" s="321"/>
      <c r="C232" s="173" t="s">
        <v>1623</v>
      </c>
      <c r="D232" s="173" t="s">
        <v>2974</v>
      </c>
      <c r="E232" s="10" t="s">
        <v>2975</v>
      </c>
      <c r="F232" s="10" t="s">
        <v>3116</v>
      </c>
      <c r="G232" s="175" t="s">
        <v>3197</v>
      </c>
      <c r="H232" s="15">
        <v>20</v>
      </c>
      <c r="I232" s="15">
        <v>15</v>
      </c>
      <c r="J232" s="15">
        <v>53</v>
      </c>
      <c r="K232" s="15">
        <v>59</v>
      </c>
      <c r="L232" s="220">
        <f t="shared" si="12"/>
        <v>147</v>
      </c>
    </row>
    <row r="233" spans="1:12" x14ac:dyDescent="0.35">
      <c r="A233" s="255"/>
      <c r="B233" s="321"/>
      <c r="C233" s="173" t="s">
        <v>1623</v>
      </c>
      <c r="D233" s="173" t="s">
        <v>2974</v>
      </c>
      <c r="E233" s="10" t="s">
        <v>2975</v>
      </c>
      <c r="F233" s="10" t="s">
        <v>3081</v>
      </c>
      <c r="G233" s="175" t="s">
        <v>3198</v>
      </c>
      <c r="H233" s="15">
        <v>14</v>
      </c>
      <c r="I233" s="15">
        <v>17</v>
      </c>
      <c r="J233" s="15">
        <v>79</v>
      </c>
      <c r="K233" s="15">
        <v>72</v>
      </c>
      <c r="L233" s="220">
        <f t="shared" si="12"/>
        <v>182</v>
      </c>
    </row>
    <row r="234" spans="1:12" x14ac:dyDescent="0.35">
      <c r="A234" s="255"/>
      <c r="B234" s="321"/>
      <c r="C234" s="173" t="s">
        <v>1623</v>
      </c>
      <c r="D234" s="173" t="s">
        <v>2974</v>
      </c>
      <c r="E234" s="10" t="s">
        <v>2975</v>
      </c>
      <c r="F234" s="10" t="s">
        <v>3116</v>
      </c>
      <c r="G234" s="183" t="s">
        <v>3199</v>
      </c>
      <c r="H234" s="15">
        <v>24</v>
      </c>
      <c r="I234" s="15">
        <v>20</v>
      </c>
      <c r="J234" s="15">
        <v>28</v>
      </c>
      <c r="K234" s="15">
        <v>17</v>
      </c>
      <c r="L234" s="220">
        <f t="shared" si="12"/>
        <v>89</v>
      </c>
    </row>
    <row r="235" spans="1:12" x14ac:dyDescent="0.35">
      <c r="A235" s="255"/>
      <c r="B235" s="321"/>
      <c r="C235" s="173" t="s">
        <v>1623</v>
      </c>
      <c r="D235" s="173" t="s">
        <v>2974</v>
      </c>
      <c r="E235" s="10" t="s">
        <v>2975</v>
      </c>
      <c r="F235" s="10" t="s">
        <v>3162</v>
      </c>
      <c r="G235" s="183" t="s">
        <v>3188</v>
      </c>
      <c r="H235" s="15">
        <v>18</v>
      </c>
      <c r="I235" s="15">
        <v>29</v>
      </c>
      <c r="J235" s="15">
        <v>26</v>
      </c>
      <c r="K235" s="15">
        <v>22</v>
      </c>
      <c r="L235" s="220">
        <f t="shared" si="12"/>
        <v>95</v>
      </c>
    </row>
    <row r="236" spans="1:12" x14ac:dyDescent="0.35">
      <c r="A236" s="255"/>
      <c r="B236" s="322"/>
      <c r="C236" s="173" t="s">
        <v>1623</v>
      </c>
      <c r="D236" s="173" t="s">
        <v>2974</v>
      </c>
      <c r="E236" s="10" t="s">
        <v>2975</v>
      </c>
      <c r="F236" s="10" t="s">
        <v>3096</v>
      </c>
      <c r="G236" s="183" t="s">
        <v>3200</v>
      </c>
      <c r="H236" s="15">
        <v>24</v>
      </c>
      <c r="I236" s="15">
        <v>26</v>
      </c>
      <c r="J236" s="15">
        <v>28</v>
      </c>
      <c r="K236" s="15">
        <v>22</v>
      </c>
      <c r="L236" s="220">
        <f t="shared" si="12"/>
        <v>100</v>
      </c>
    </row>
    <row r="237" spans="1:12" x14ac:dyDescent="0.35">
      <c r="A237" s="309"/>
      <c r="B237" s="102"/>
      <c r="C237" s="102"/>
      <c r="D237" s="102"/>
      <c r="E237" s="102"/>
      <c r="F237" s="102"/>
      <c r="G237" s="102" t="s">
        <v>3025</v>
      </c>
      <c r="H237" s="102">
        <f>SUM(H224:H236)</f>
        <v>310</v>
      </c>
      <c r="I237" s="102">
        <f t="shared" ref="I237:K237" si="15">SUM(I224:I236)</f>
        <v>312</v>
      </c>
      <c r="J237" s="102">
        <f t="shared" si="15"/>
        <v>683</v>
      </c>
      <c r="K237" s="102">
        <f t="shared" si="15"/>
        <v>596</v>
      </c>
      <c r="L237" s="225">
        <f t="shared" si="12"/>
        <v>1901</v>
      </c>
    </row>
    <row r="238" spans="1:12" ht="18" customHeight="1" x14ac:dyDescent="0.35">
      <c r="A238" s="241">
        <v>13</v>
      </c>
      <c r="B238" s="323" t="s">
        <v>3201</v>
      </c>
      <c r="C238" s="173" t="s">
        <v>1623</v>
      </c>
      <c r="D238" s="173" t="s">
        <v>2974</v>
      </c>
      <c r="E238" s="10" t="s">
        <v>3081</v>
      </c>
      <c r="F238" s="10" t="s">
        <v>2987</v>
      </c>
      <c r="G238" s="177" t="s">
        <v>3202</v>
      </c>
      <c r="H238" s="15">
        <v>5</v>
      </c>
      <c r="I238" s="15">
        <v>2</v>
      </c>
      <c r="J238" s="15">
        <v>6</v>
      </c>
      <c r="K238" s="15">
        <v>18</v>
      </c>
      <c r="L238" s="220">
        <f t="shared" si="12"/>
        <v>31</v>
      </c>
    </row>
    <row r="239" spans="1:12" x14ac:dyDescent="0.35">
      <c r="A239" s="242"/>
      <c r="B239" s="324"/>
      <c r="C239" s="173" t="s">
        <v>1623</v>
      </c>
      <c r="D239" s="173" t="s">
        <v>2974</v>
      </c>
      <c r="E239" s="10" t="s">
        <v>3081</v>
      </c>
      <c r="F239" s="10" t="s">
        <v>2987</v>
      </c>
      <c r="G239" s="177" t="s">
        <v>3203</v>
      </c>
      <c r="H239" s="15">
        <v>7</v>
      </c>
      <c r="I239" s="15">
        <v>9</v>
      </c>
      <c r="J239" s="15">
        <v>23</v>
      </c>
      <c r="K239" s="15">
        <v>28</v>
      </c>
      <c r="L239" s="220">
        <f t="shared" si="12"/>
        <v>67</v>
      </c>
    </row>
    <row r="240" spans="1:12" x14ac:dyDescent="0.35">
      <c r="A240" s="242"/>
      <c r="B240" s="324"/>
      <c r="C240" s="173" t="s">
        <v>1623</v>
      </c>
      <c r="D240" s="173" t="s">
        <v>2974</v>
      </c>
      <c r="E240" s="10" t="s">
        <v>3081</v>
      </c>
      <c r="F240" s="10" t="s">
        <v>2987</v>
      </c>
      <c r="G240" s="177" t="s">
        <v>3204</v>
      </c>
      <c r="H240" s="15">
        <v>4</v>
      </c>
      <c r="I240" s="15">
        <v>5</v>
      </c>
      <c r="J240" s="15">
        <v>5</v>
      </c>
      <c r="K240" s="15">
        <v>9</v>
      </c>
      <c r="L240" s="220">
        <f t="shared" si="12"/>
        <v>23</v>
      </c>
    </row>
    <row r="241" spans="1:12" x14ac:dyDescent="0.35">
      <c r="A241" s="242"/>
      <c r="B241" s="324"/>
      <c r="C241" s="173" t="s">
        <v>1623</v>
      </c>
      <c r="D241" s="173" t="s">
        <v>2974</v>
      </c>
      <c r="E241" s="10" t="s">
        <v>3081</v>
      </c>
      <c r="F241" s="10" t="s">
        <v>2987</v>
      </c>
      <c r="G241" s="177" t="s">
        <v>3205</v>
      </c>
      <c r="H241" s="15">
        <v>8</v>
      </c>
      <c r="I241" s="15">
        <v>6</v>
      </c>
      <c r="J241" s="15">
        <v>15</v>
      </c>
      <c r="K241" s="15">
        <v>20</v>
      </c>
      <c r="L241" s="220">
        <f t="shared" si="12"/>
        <v>49</v>
      </c>
    </row>
    <row r="242" spans="1:12" x14ac:dyDescent="0.35">
      <c r="A242" s="242"/>
      <c r="B242" s="324"/>
      <c r="C242" s="173" t="s">
        <v>1623</v>
      </c>
      <c r="D242" s="173" t="s">
        <v>2974</v>
      </c>
      <c r="E242" s="10" t="s">
        <v>3081</v>
      </c>
      <c r="F242" s="10" t="s">
        <v>3169</v>
      </c>
      <c r="G242" s="177" t="s">
        <v>3206</v>
      </c>
      <c r="H242" s="15">
        <v>8</v>
      </c>
      <c r="I242" s="15">
        <v>9</v>
      </c>
      <c r="J242" s="15">
        <v>10</v>
      </c>
      <c r="K242" s="15">
        <v>10</v>
      </c>
      <c r="L242" s="220">
        <f t="shared" si="12"/>
        <v>37</v>
      </c>
    </row>
    <row r="243" spans="1:12" x14ac:dyDescent="0.35">
      <c r="A243" s="242"/>
      <c r="B243" s="324"/>
      <c r="C243" s="173" t="s">
        <v>1623</v>
      </c>
      <c r="D243" s="173" t="s">
        <v>2974</v>
      </c>
      <c r="E243" s="10" t="s">
        <v>3081</v>
      </c>
      <c r="F243" s="10" t="s">
        <v>2996</v>
      </c>
      <c r="G243" s="177" t="s">
        <v>3207</v>
      </c>
      <c r="H243" s="15">
        <v>6</v>
      </c>
      <c r="I243" s="15">
        <v>3</v>
      </c>
      <c r="J243" s="15">
        <v>18</v>
      </c>
      <c r="K243" s="15">
        <v>21</v>
      </c>
      <c r="L243" s="220">
        <f t="shared" si="12"/>
        <v>48</v>
      </c>
    </row>
    <row r="244" spans="1:12" x14ac:dyDescent="0.35">
      <c r="A244" s="242"/>
      <c r="B244" s="324"/>
      <c r="C244" s="173" t="s">
        <v>1623</v>
      </c>
      <c r="D244" s="173" t="s">
        <v>2974</v>
      </c>
      <c r="E244" s="10" t="s">
        <v>3081</v>
      </c>
      <c r="F244" s="10" t="s">
        <v>2987</v>
      </c>
      <c r="G244" s="177" t="s">
        <v>3208</v>
      </c>
      <c r="H244" s="15">
        <v>2</v>
      </c>
      <c r="I244" s="15">
        <v>2</v>
      </c>
      <c r="J244" s="15">
        <v>11</v>
      </c>
      <c r="K244" s="15">
        <v>12</v>
      </c>
      <c r="L244" s="220">
        <f t="shared" si="12"/>
        <v>27</v>
      </c>
    </row>
    <row r="245" spans="1:12" x14ac:dyDescent="0.35">
      <c r="A245" s="242"/>
      <c r="B245" s="324"/>
      <c r="C245" s="173" t="s">
        <v>1623</v>
      </c>
      <c r="D245" s="173" t="s">
        <v>2974</v>
      </c>
      <c r="E245" s="10" t="s">
        <v>3081</v>
      </c>
      <c r="F245" s="10" t="s">
        <v>2987</v>
      </c>
      <c r="G245" s="177" t="s">
        <v>3209</v>
      </c>
      <c r="H245" s="15">
        <v>3</v>
      </c>
      <c r="I245" s="15">
        <v>3</v>
      </c>
      <c r="J245" s="15">
        <v>23</v>
      </c>
      <c r="K245" s="15">
        <v>20</v>
      </c>
      <c r="L245" s="220">
        <f t="shared" si="12"/>
        <v>49</v>
      </c>
    </row>
    <row r="246" spans="1:12" x14ac:dyDescent="0.35">
      <c r="A246" s="242"/>
      <c r="B246" s="324"/>
      <c r="C246" s="173" t="s">
        <v>1623</v>
      </c>
      <c r="D246" s="173" t="s">
        <v>2974</v>
      </c>
      <c r="E246" s="10" t="s">
        <v>3081</v>
      </c>
      <c r="F246" s="10" t="s">
        <v>2987</v>
      </c>
      <c r="G246" s="177" t="s">
        <v>3210</v>
      </c>
      <c r="H246" s="15">
        <v>8</v>
      </c>
      <c r="I246" s="15">
        <v>9</v>
      </c>
      <c r="J246" s="15">
        <v>25</v>
      </c>
      <c r="K246" s="15">
        <v>22</v>
      </c>
      <c r="L246" s="220">
        <f t="shared" si="12"/>
        <v>64</v>
      </c>
    </row>
    <row r="247" spans="1:12" x14ac:dyDescent="0.35">
      <c r="A247" s="242"/>
      <c r="B247" s="324"/>
      <c r="C247" s="173" t="s">
        <v>1623</v>
      </c>
      <c r="D247" s="173" t="s">
        <v>2974</v>
      </c>
      <c r="E247" s="10" t="s">
        <v>3081</v>
      </c>
      <c r="F247" s="10" t="s">
        <v>2996</v>
      </c>
      <c r="G247" s="177" t="s">
        <v>3211</v>
      </c>
      <c r="H247" s="15">
        <v>13</v>
      </c>
      <c r="I247" s="15">
        <v>6</v>
      </c>
      <c r="J247" s="15">
        <v>24</v>
      </c>
      <c r="K247" s="15">
        <v>16</v>
      </c>
      <c r="L247" s="220">
        <f t="shared" si="12"/>
        <v>59</v>
      </c>
    </row>
    <row r="248" spans="1:12" x14ac:dyDescent="0.35">
      <c r="A248" s="242"/>
      <c r="B248" s="324"/>
      <c r="C248" s="173" t="s">
        <v>1623</v>
      </c>
      <c r="D248" s="173" t="s">
        <v>2974</v>
      </c>
      <c r="E248" s="10" t="s">
        <v>3081</v>
      </c>
      <c r="F248" s="10" t="s">
        <v>2996</v>
      </c>
      <c r="G248" s="177" t="s">
        <v>3212</v>
      </c>
      <c r="H248" s="15">
        <v>5</v>
      </c>
      <c r="I248" s="15">
        <v>4</v>
      </c>
      <c r="J248" s="15">
        <v>13</v>
      </c>
      <c r="K248" s="15">
        <v>15</v>
      </c>
      <c r="L248" s="220">
        <f t="shared" si="12"/>
        <v>37</v>
      </c>
    </row>
    <row r="249" spans="1:12" x14ac:dyDescent="0.35">
      <c r="A249" s="242"/>
      <c r="B249" s="324"/>
      <c r="C249" s="173" t="s">
        <v>1623</v>
      </c>
      <c r="D249" s="173" t="s">
        <v>2974</v>
      </c>
      <c r="E249" s="10" t="s">
        <v>3081</v>
      </c>
      <c r="F249" s="10" t="s">
        <v>3039</v>
      </c>
      <c r="G249" s="177" t="s">
        <v>3213</v>
      </c>
      <c r="H249" s="15">
        <v>3</v>
      </c>
      <c r="I249" s="15">
        <v>5</v>
      </c>
      <c r="J249" s="15">
        <v>14</v>
      </c>
      <c r="K249" s="15">
        <v>5</v>
      </c>
      <c r="L249" s="220">
        <f t="shared" si="12"/>
        <v>27</v>
      </c>
    </row>
    <row r="250" spans="1:12" x14ac:dyDescent="0.35">
      <c r="A250" s="242"/>
      <c r="B250" s="324"/>
      <c r="C250" s="173" t="s">
        <v>1623</v>
      </c>
      <c r="D250" s="173" t="s">
        <v>2974</v>
      </c>
      <c r="E250" s="10" t="s">
        <v>3081</v>
      </c>
      <c r="F250" s="10" t="s">
        <v>2996</v>
      </c>
      <c r="G250" s="177" t="s">
        <v>2997</v>
      </c>
      <c r="H250" s="15">
        <v>9</v>
      </c>
      <c r="I250" s="15">
        <v>8</v>
      </c>
      <c r="J250" s="15">
        <v>20</v>
      </c>
      <c r="K250" s="15">
        <v>18</v>
      </c>
      <c r="L250" s="220">
        <f t="shared" si="12"/>
        <v>55</v>
      </c>
    </row>
    <row r="251" spans="1:12" x14ac:dyDescent="0.35">
      <c r="A251" s="242"/>
      <c r="B251" s="324"/>
      <c r="C251" s="173" t="s">
        <v>1623</v>
      </c>
      <c r="D251" s="173" t="s">
        <v>2974</v>
      </c>
      <c r="E251" s="10" t="s">
        <v>3081</v>
      </c>
      <c r="F251" s="10" t="s">
        <v>2996</v>
      </c>
      <c r="G251" s="177" t="s">
        <v>3214</v>
      </c>
      <c r="H251" s="15">
        <v>3</v>
      </c>
      <c r="I251" s="15">
        <v>9</v>
      </c>
      <c r="J251" s="15">
        <v>15</v>
      </c>
      <c r="K251" s="15">
        <v>14</v>
      </c>
      <c r="L251" s="220">
        <f t="shared" si="12"/>
        <v>41</v>
      </c>
    </row>
    <row r="252" spans="1:12" x14ac:dyDescent="0.35">
      <c r="A252" s="242"/>
      <c r="B252" s="324"/>
      <c r="C252" s="173" t="s">
        <v>1623</v>
      </c>
      <c r="D252" s="173" t="s">
        <v>2974</v>
      </c>
      <c r="E252" s="10" t="s">
        <v>3081</v>
      </c>
      <c r="F252" s="10" t="s">
        <v>2987</v>
      </c>
      <c r="G252" s="133" t="s">
        <v>3215</v>
      </c>
      <c r="H252" s="15">
        <v>4</v>
      </c>
      <c r="I252" s="15">
        <v>7</v>
      </c>
      <c r="J252" s="15">
        <v>11</v>
      </c>
      <c r="K252" s="15">
        <v>4</v>
      </c>
      <c r="L252" s="220">
        <f t="shared" si="12"/>
        <v>26</v>
      </c>
    </row>
    <row r="253" spans="1:12" x14ac:dyDescent="0.35">
      <c r="A253" s="242"/>
      <c r="B253" s="324"/>
      <c r="C253" s="173" t="s">
        <v>1623</v>
      </c>
      <c r="D253" s="173" t="s">
        <v>2974</v>
      </c>
      <c r="E253" s="10" t="s">
        <v>3081</v>
      </c>
      <c r="F253" s="10" t="s">
        <v>2987</v>
      </c>
      <c r="G253" s="177" t="s">
        <v>3216</v>
      </c>
      <c r="H253" s="15">
        <v>5</v>
      </c>
      <c r="I253" s="15">
        <v>9</v>
      </c>
      <c r="J253" s="15">
        <v>8</v>
      </c>
      <c r="K253" s="15">
        <v>10</v>
      </c>
      <c r="L253" s="220">
        <f t="shared" si="12"/>
        <v>32</v>
      </c>
    </row>
    <row r="254" spans="1:12" x14ac:dyDescent="0.35">
      <c r="A254" s="242"/>
      <c r="B254" s="324"/>
      <c r="C254" s="173" t="s">
        <v>1623</v>
      </c>
      <c r="D254" s="173" t="s">
        <v>2974</v>
      </c>
      <c r="E254" s="10" t="s">
        <v>3081</v>
      </c>
      <c r="F254" s="10" t="s">
        <v>2996</v>
      </c>
      <c r="G254" s="177" t="s">
        <v>3217</v>
      </c>
      <c r="H254" s="15">
        <v>6</v>
      </c>
      <c r="I254" s="15">
        <v>7</v>
      </c>
      <c r="J254" s="15">
        <v>32</v>
      </c>
      <c r="K254" s="15">
        <v>18</v>
      </c>
      <c r="L254" s="220">
        <f t="shared" si="12"/>
        <v>63</v>
      </c>
    </row>
    <row r="255" spans="1:12" x14ac:dyDescent="0.35">
      <c r="A255" s="242"/>
      <c r="B255" s="324"/>
      <c r="C255" s="173" t="s">
        <v>1623</v>
      </c>
      <c r="D255" s="173" t="s">
        <v>2974</v>
      </c>
      <c r="E255" s="10" t="s">
        <v>3081</v>
      </c>
      <c r="F255" s="10" t="s">
        <v>3218</v>
      </c>
      <c r="G255" s="133" t="s">
        <v>3219</v>
      </c>
      <c r="H255" s="15">
        <v>12</v>
      </c>
      <c r="I255" s="15">
        <v>11</v>
      </c>
      <c r="J255" s="15">
        <v>13</v>
      </c>
      <c r="K255" s="15">
        <v>9</v>
      </c>
      <c r="L255" s="220">
        <f t="shared" si="12"/>
        <v>45</v>
      </c>
    </row>
    <row r="256" spans="1:12" x14ac:dyDescent="0.35">
      <c r="A256" s="242"/>
      <c r="B256" s="325"/>
      <c r="C256" s="173" t="s">
        <v>1623</v>
      </c>
      <c r="D256" s="173" t="s">
        <v>2974</v>
      </c>
      <c r="E256" s="10" t="s">
        <v>3081</v>
      </c>
      <c r="F256" s="10" t="s">
        <v>2996</v>
      </c>
      <c r="G256" s="133" t="s">
        <v>3220</v>
      </c>
      <c r="H256" s="15">
        <v>18</v>
      </c>
      <c r="I256" s="15">
        <v>23</v>
      </c>
      <c r="J256" s="15">
        <v>50</v>
      </c>
      <c r="K256" s="15">
        <v>33</v>
      </c>
      <c r="L256" s="220">
        <f t="shared" si="12"/>
        <v>124</v>
      </c>
    </row>
    <row r="257" spans="1:12" x14ac:dyDescent="0.35">
      <c r="A257" s="275"/>
      <c r="B257" s="102"/>
      <c r="C257" s="102"/>
      <c r="D257" s="102"/>
      <c r="E257" s="102"/>
      <c r="F257" s="102"/>
      <c r="G257" s="102" t="s">
        <v>3025</v>
      </c>
      <c r="H257" s="102">
        <f>SUM(H238:H256)</f>
        <v>129</v>
      </c>
      <c r="I257" s="102">
        <f t="shared" ref="I257:K257" si="16">SUM(I238:I256)</f>
        <v>137</v>
      </c>
      <c r="J257" s="102">
        <f t="shared" si="16"/>
        <v>336</v>
      </c>
      <c r="K257" s="102">
        <f t="shared" si="16"/>
        <v>302</v>
      </c>
      <c r="L257" s="225">
        <f t="shared" si="12"/>
        <v>904</v>
      </c>
    </row>
    <row r="258" spans="1:12" ht="22.5" customHeight="1" x14ac:dyDescent="0.35">
      <c r="A258" s="254">
        <v>14</v>
      </c>
      <c r="B258" s="320" t="s">
        <v>3221</v>
      </c>
      <c r="C258" s="173" t="s">
        <v>1623</v>
      </c>
      <c r="D258" s="173" t="s">
        <v>2974</v>
      </c>
      <c r="E258" s="10" t="s">
        <v>3222</v>
      </c>
      <c r="F258" s="10" t="s">
        <v>3223</v>
      </c>
      <c r="G258" s="175" t="s">
        <v>3224</v>
      </c>
      <c r="H258" s="15">
        <v>5</v>
      </c>
      <c r="I258" s="15">
        <v>4</v>
      </c>
      <c r="J258" s="15">
        <v>14</v>
      </c>
      <c r="K258" s="15">
        <v>21</v>
      </c>
      <c r="L258" s="220">
        <f t="shared" si="12"/>
        <v>44</v>
      </c>
    </row>
    <row r="259" spans="1:12" ht="18" customHeight="1" x14ac:dyDescent="0.35">
      <c r="A259" s="255"/>
      <c r="B259" s="321"/>
      <c r="C259" s="173" t="s">
        <v>1623</v>
      </c>
      <c r="D259" s="173" t="s">
        <v>2974</v>
      </c>
      <c r="E259" s="10" t="s">
        <v>3222</v>
      </c>
      <c r="F259" s="10" t="s">
        <v>3223</v>
      </c>
      <c r="G259" s="175" t="s">
        <v>3225</v>
      </c>
      <c r="H259" s="15">
        <v>4</v>
      </c>
      <c r="I259" s="15">
        <v>7</v>
      </c>
      <c r="J259" s="15">
        <v>27</v>
      </c>
      <c r="K259" s="15">
        <v>19</v>
      </c>
      <c r="L259" s="220">
        <f t="shared" si="12"/>
        <v>57</v>
      </c>
    </row>
    <row r="260" spans="1:12" ht="16.5" customHeight="1" x14ac:dyDescent="0.35">
      <c r="A260" s="255"/>
      <c r="B260" s="321"/>
      <c r="C260" s="173" t="s">
        <v>1623</v>
      </c>
      <c r="D260" s="173" t="s">
        <v>2974</v>
      </c>
      <c r="E260" s="10" t="s">
        <v>3222</v>
      </c>
      <c r="F260" s="10" t="s">
        <v>3223</v>
      </c>
      <c r="G260" s="175" t="s">
        <v>3226</v>
      </c>
      <c r="H260" s="15">
        <v>10</v>
      </c>
      <c r="I260" s="15">
        <v>10</v>
      </c>
      <c r="J260" s="15">
        <v>42</v>
      </c>
      <c r="K260" s="15">
        <v>37</v>
      </c>
      <c r="L260" s="220">
        <f t="shared" si="12"/>
        <v>99</v>
      </c>
    </row>
    <row r="261" spans="1:12" ht="19.5" customHeight="1" x14ac:dyDescent="0.35">
      <c r="A261" s="255"/>
      <c r="B261" s="321"/>
      <c r="C261" s="173" t="s">
        <v>1623</v>
      </c>
      <c r="D261" s="173" t="s">
        <v>2974</v>
      </c>
      <c r="E261" s="10" t="s">
        <v>3222</v>
      </c>
      <c r="F261" s="10" t="s">
        <v>3223</v>
      </c>
      <c r="G261" s="175" t="s">
        <v>3227</v>
      </c>
      <c r="H261" s="15">
        <v>2</v>
      </c>
      <c r="I261" s="15">
        <v>2</v>
      </c>
      <c r="J261" s="15">
        <v>29</v>
      </c>
      <c r="K261" s="15">
        <v>24</v>
      </c>
      <c r="L261" s="220">
        <f t="shared" si="12"/>
        <v>57</v>
      </c>
    </row>
    <row r="262" spans="1:12" ht="17.25" customHeight="1" x14ac:dyDescent="0.35">
      <c r="A262" s="255"/>
      <c r="B262" s="321"/>
      <c r="C262" s="173" t="s">
        <v>1623</v>
      </c>
      <c r="D262" s="173" t="s">
        <v>2974</v>
      </c>
      <c r="E262" s="10" t="s">
        <v>3222</v>
      </c>
      <c r="F262" s="10" t="s">
        <v>3223</v>
      </c>
      <c r="G262" s="175" t="s">
        <v>3228</v>
      </c>
      <c r="H262" s="15">
        <v>13</v>
      </c>
      <c r="I262" s="15">
        <v>17</v>
      </c>
      <c r="J262" s="15">
        <v>27</v>
      </c>
      <c r="K262" s="15">
        <v>23</v>
      </c>
      <c r="L262" s="220">
        <f t="shared" si="12"/>
        <v>80</v>
      </c>
    </row>
    <row r="263" spans="1:12" ht="18" customHeight="1" x14ac:dyDescent="0.35">
      <c r="A263" s="255"/>
      <c r="B263" s="321"/>
      <c r="C263" s="173" t="s">
        <v>1623</v>
      </c>
      <c r="D263" s="173" t="s">
        <v>2974</v>
      </c>
      <c r="E263" s="10" t="s">
        <v>3222</v>
      </c>
      <c r="F263" s="10" t="s">
        <v>3223</v>
      </c>
      <c r="G263" s="175" t="s">
        <v>3229</v>
      </c>
      <c r="H263" s="15">
        <v>3</v>
      </c>
      <c r="I263" s="15">
        <v>3</v>
      </c>
      <c r="J263" s="15">
        <v>22</v>
      </c>
      <c r="K263" s="15">
        <v>15</v>
      </c>
      <c r="L263" s="220">
        <f t="shared" ref="L263:L285" si="17">H263+I263+J263+K263</f>
        <v>43</v>
      </c>
    </row>
    <row r="264" spans="1:12" ht="18.75" customHeight="1" x14ac:dyDescent="0.35">
      <c r="A264" s="255"/>
      <c r="B264" s="321"/>
      <c r="C264" s="173" t="s">
        <v>1623</v>
      </c>
      <c r="D264" s="173" t="s">
        <v>2974</v>
      </c>
      <c r="E264" s="10" t="s">
        <v>3222</v>
      </c>
      <c r="F264" s="10" t="s">
        <v>3223</v>
      </c>
      <c r="G264" s="175" t="s">
        <v>3230</v>
      </c>
      <c r="H264" s="15">
        <v>7</v>
      </c>
      <c r="I264" s="15">
        <v>3</v>
      </c>
      <c r="J264" s="15">
        <v>22</v>
      </c>
      <c r="K264" s="15">
        <v>39</v>
      </c>
      <c r="L264" s="220">
        <f t="shared" si="17"/>
        <v>71</v>
      </c>
    </row>
    <row r="265" spans="1:12" ht="18" customHeight="1" x14ac:dyDescent="0.35">
      <c r="A265" s="255"/>
      <c r="B265" s="321"/>
      <c r="C265" s="173" t="s">
        <v>1623</v>
      </c>
      <c r="D265" s="173" t="s">
        <v>2974</v>
      </c>
      <c r="E265" s="10" t="s">
        <v>3222</v>
      </c>
      <c r="F265" s="10" t="s">
        <v>3223</v>
      </c>
      <c r="G265" s="175" t="s">
        <v>3231</v>
      </c>
      <c r="H265" s="15">
        <v>5</v>
      </c>
      <c r="I265" s="15">
        <v>4</v>
      </c>
      <c r="J265" s="15">
        <v>14</v>
      </c>
      <c r="K265" s="15">
        <v>21</v>
      </c>
      <c r="L265" s="220">
        <f t="shared" si="17"/>
        <v>44</v>
      </c>
    </row>
    <row r="266" spans="1:12" ht="18" customHeight="1" x14ac:dyDescent="0.35">
      <c r="A266" s="255"/>
      <c r="B266" s="321"/>
      <c r="C266" s="173" t="s">
        <v>1623</v>
      </c>
      <c r="D266" s="173" t="s">
        <v>2974</v>
      </c>
      <c r="E266" s="10" t="s">
        <v>3222</v>
      </c>
      <c r="F266" s="10" t="s">
        <v>3223</v>
      </c>
      <c r="G266" s="175" t="s">
        <v>3232</v>
      </c>
      <c r="H266" s="15">
        <v>12</v>
      </c>
      <c r="I266" s="15">
        <v>3</v>
      </c>
      <c r="J266" s="15">
        <v>20</v>
      </c>
      <c r="K266" s="15">
        <v>23</v>
      </c>
      <c r="L266" s="220">
        <f t="shared" si="17"/>
        <v>58</v>
      </c>
    </row>
    <row r="267" spans="1:12" ht="18.75" customHeight="1" x14ac:dyDescent="0.35">
      <c r="A267" s="255"/>
      <c r="B267" s="321"/>
      <c r="C267" s="173" t="s">
        <v>1623</v>
      </c>
      <c r="D267" s="173" t="s">
        <v>2974</v>
      </c>
      <c r="E267" s="10" t="s">
        <v>3222</v>
      </c>
      <c r="F267" s="10" t="s">
        <v>3223</v>
      </c>
      <c r="G267" s="175" t="s">
        <v>3233</v>
      </c>
      <c r="H267" s="15">
        <v>7</v>
      </c>
      <c r="I267" s="15">
        <v>3</v>
      </c>
      <c r="J267" s="15">
        <v>22</v>
      </c>
      <c r="K267" s="15">
        <v>39</v>
      </c>
      <c r="L267" s="220">
        <f t="shared" si="17"/>
        <v>71</v>
      </c>
    </row>
    <row r="268" spans="1:12" ht="18" customHeight="1" x14ac:dyDescent="0.35">
      <c r="A268" s="255"/>
      <c r="B268" s="322"/>
      <c r="C268" s="173" t="s">
        <v>1623</v>
      </c>
      <c r="D268" s="173" t="s">
        <v>2974</v>
      </c>
      <c r="E268" s="10" t="s">
        <v>3222</v>
      </c>
      <c r="F268" s="10" t="s">
        <v>3223</v>
      </c>
      <c r="G268" s="175" t="s">
        <v>3234</v>
      </c>
      <c r="H268" s="15">
        <v>12</v>
      </c>
      <c r="I268" s="15">
        <v>3</v>
      </c>
      <c r="J268" s="15">
        <v>20</v>
      </c>
      <c r="K268" s="15">
        <v>23</v>
      </c>
      <c r="L268" s="220">
        <f t="shared" si="17"/>
        <v>58</v>
      </c>
    </row>
    <row r="269" spans="1:12" x14ac:dyDescent="0.35">
      <c r="A269" s="309"/>
      <c r="B269" s="102"/>
      <c r="C269" s="102"/>
      <c r="D269" s="102"/>
      <c r="E269" s="102"/>
      <c r="F269" s="102"/>
      <c r="G269" s="102" t="s">
        <v>3025</v>
      </c>
      <c r="H269" s="102">
        <f>SUM(H258:H268)</f>
        <v>80</v>
      </c>
      <c r="I269" s="102">
        <f t="shared" ref="I269:K269" si="18">SUM(I258:I268)</f>
        <v>59</v>
      </c>
      <c r="J269" s="102">
        <f t="shared" si="18"/>
        <v>259</v>
      </c>
      <c r="K269" s="102">
        <f t="shared" si="18"/>
        <v>284</v>
      </c>
      <c r="L269" s="225">
        <f t="shared" si="17"/>
        <v>682</v>
      </c>
    </row>
    <row r="270" spans="1:12" ht="20.25" customHeight="1" x14ac:dyDescent="0.35">
      <c r="A270" s="241">
        <v>15</v>
      </c>
      <c r="B270" s="323" t="s">
        <v>3235</v>
      </c>
      <c r="C270" s="173" t="s">
        <v>1623</v>
      </c>
      <c r="D270" s="173" t="s">
        <v>2974</v>
      </c>
      <c r="E270" s="10" t="s">
        <v>3081</v>
      </c>
      <c r="F270" s="10" t="s">
        <v>3218</v>
      </c>
      <c r="G270" s="183" t="s">
        <v>3236</v>
      </c>
      <c r="H270" s="180">
        <v>14</v>
      </c>
      <c r="I270" s="180">
        <v>10</v>
      </c>
      <c r="J270" s="180">
        <v>22</v>
      </c>
      <c r="K270" s="180">
        <v>30</v>
      </c>
      <c r="L270" s="220">
        <f t="shared" si="17"/>
        <v>76</v>
      </c>
    </row>
    <row r="271" spans="1:12" ht="17.25" customHeight="1" x14ac:dyDescent="0.35">
      <c r="A271" s="242"/>
      <c r="B271" s="324"/>
      <c r="C271" s="173" t="s">
        <v>1623</v>
      </c>
      <c r="D271" s="173" t="s">
        <v>2974</v>
      </c>
      <c r="E271" s="10" t="s">
        <v>3237</v>
      </c>
      <c r="F271" s="10" t="s">
        <v>3238</v>
      </c>
      <c r="G271" s="175" t="s">
        <v>3239</v>
      </c>
      <c r="H271" s="15">
        <v>23</v>
      </c>
      <c r="I271" s="15">
        <v>27</v>
      </c>
      <c r="J271" s="15">
        <v>118</v>
      </c>
      <c r="K271" s="15">
        <v>113</v>
      </c>
      <c r="L271" s="220">
        <f t="shared" si="17"/>
        <v>281</v>
      </c>
    </row>
    <row r="272" spans="1:12" ht="19.5" customHeight="1" x14ac:dyDescent="0.35">
      <c r="A272" s="242"/>
      <c r="B272" s="324"/>
      <c r="C272" s="173" t="s">
        <v>1623</v>
      </c>
      <c r="D272" s="173" t="s">
        <v>2974</v>
      </c>
      <c r="E272" s="10" t="s">
        <v>3237</v>
      </c>
      <c r="F272" s="10" t="s">
        <v>3240</v>
      </c>
      <c r="G272" s="175" t="s">
        <v>3241</v>
      </c>
      <c r="H272" s="15">
        <v>14</v>
      </c>
      <c r="I272" s="15">
        <v>21</v>
      </c>
      <c r="J272" s="15">
        <v>50</v>
      </c>
      <c r="K272" s="15">
        <v>80</v>
      </c>
      <c r="L272" s="220">
        <f t="shared" si="17"/>
        <v>165</v>
      </c>
    </row>
    <row r="273" spans="1:12" ht="15" customHeight="1" x14ac:dyDescent="0.35">
      <c r="A273" s="242"/>
      <c r="B273" s="324"/>
      <c r="C273" s="173" t="s">
        <v>1623</v>
      </c>
      <c r="D273" s="173" t="s">
        <v>2974</v>
      </c>
      <c r="E273" s="10" t="s">
        <v>3237</v>
      </c>
      <c r="F273" s="10" t="s">
        <v>3238</v>
      </c>
      <c r="G273" s="175" t="s">
        <v>3242</v>
      </c>
      <c r="H273" s="15">
        <v>54</v>
      </c>
      <c r="I273" s="15">
        <v>56</v>
      </c>
      <c r="J273" s="15">
        <v>254</v>
      </c>
      <c r="K273" s="15">
        <v>235</v>
      </c>
      <c r="L273" s="220">
        <f t="shared" si="17"/>
        <v>599</v>
      </c>
    </row>
    <row r="274" spans="1:12" x14ac:dyDescent="0.35">
      <c r="A274" s="242"/>
      <c r="B274" s="324"/>
      <c r="C274" s="173" t="s">
        <v>1623</v>
      </c>
      <c r="D274" s="173" t="s">
        <v>2974</v>
      </c>
      <c r="E274" s="10" t="s">
        <v>2596</v>
      </c>
      <c r="F274" s="10" t="s">
        <v>3008</v>
      </c>
      <c r="G274" s="175" t="s">
        <v>3243</v>
      </c>
      <c r="H274" s="15">
        <v>26</v>
      </c>
      <c r="I274" s="15">
        <v>26</v>
      </c>
      <c r="J274" s="15">
        <v>125</v>
      </c>
      <c r="K274" s="15">
        <v>100</v>
      </c>
      <c r="L274" s="220">
        <f t="shared" si="17"/>
        <v>277</v>
      </c>
    </row>
    <row r="275" spans="1:12" ht="15.75" customHeight="1" x14ac:dyDescent="0.35">
      <c r="A275" s="242"/>
      <c r="B275" s="324"/>
      <c r="C275" s="173" t="s">
        <v>1623</v>
      </c>
      <c r="D275" s="173" t="s">
        <v>2974</v>
      </c>
      <c r="E275" s="10" t="s">
        <v>3237</v>
      </c>
      <c r="F275" s="10" t="s">
        <v>3238</v>
      </c>
      <c r="G275" s="175" t="s">
        <v>3244</v>
      </c>
      <c r="H275" s="15">
        <v>11</v>
      </c>
      <c r="I275" s="15">
        <v>19</v>
      </c>
      <c r="J275" s="15">
        <v>77</v>
      </c>
      <c r="K275" s="15">
        <v>73</v>
      </c>
      <c r="L275" s="220">
        <f t="shared" si="17"/>
        <v>180</v>
      </c>
    </row>
    <row r="276" spans="1:12" ht="14.25" customHeight="1" x14ac:dyDescent="0.35">
      <c r="A276" s="242"/>
      <c r="B276" s="324"/>
      <c r="C276" s="173" t="s">
        <v>1623</v>
      </c>
      <c r="D276" s="173" t="s">
        <v>2974</v>
      </c>
      <c r="E276" s="10" t="s">
        <v>3237</v>
      </c>
      <c r="F276" s="10" t="s">
        <v>607</v>
      </c>
      <c r="G276" s="175" t="s">
        <v>3245</v>
      </c>
      <c r="H276" s="15">
        <v>9</v>
      </c>
      <c r="I276" s="15">
        <v>9</v>
      </c>
      <c r="J276" s="15">
        <v>25</v>
      </c>
      <c r="K276" s="15">
        <v>21</v>
      </c>
      <c r="L276" s="220">
        <f t="shared" si="17"/>
        <v>64</v>
      </c>
    </row>
    <row r="277" spans="1:12" x14ac:dyDescent="0.35">
      <c r="A277" s="242"/>
      <c r="B277" s="324"/>
      <c r="C277" s="173" t="s">
        <v>1623</v>
      </c>
      <c r="D277" s="173" t="s">
        <v>2974</v>
      </c>
      <c r="E277" s="10" t="s">
        <v>3081</v>
      </c>
      <c r="F277" s="10" t="s">
        <v>3218</v>
      </c>
      <c r="G277" s="175" t="s">
        <v>3246</v>
      </c>
      <c r="H277" s="15">
        <v>9</v>
      </c>
      <c r="I277" s="15">
        <v>6</v>
      </c>
      <c r="J277" s="15">
        <v>36</v>
      </c>
      <c r="K277" s="15">
        <v>38</v>
      </c>
      <c r="L277" s="220">
        <f t="shared" si="17"/>
        <v>89</v>
      </c>
    </row>
    <row r="278" spans="1:12" x14ac:dyDescent="0.35">
      <c r="A278" s="242"/>
      <c r="B278" s="324"/>
      <c r="C278" s="173" t="s">
        <v>1623</v>
      </c>
      <c r="D278" s="173" t="s">
        <v>2974</v>
      </c>
      <c r="E278" s="10" t="s">
        <v>3081</v>
      </c>
      <c r="F278" s="10" t="s">
        <v>3218</v>
      </c>
      <c r="G278" s="175" t="s">
        <v>3247</v>
      </c>
      <c r="H278" s="15">
        <v>8</v>
      </c>
      <c r="I278" s="15">
        <v>5</v>
      </c>
      <c r="J278" s="15">
        <v>21</v>
      </c>
      <c r="K278" s="15">
        <v>20</v>
      </c>
      <c r="L278" s="220">
        <f t="shared" si="17"/>
        <v>54</v>
      </c>
    </row>
    <row r="279" spans="1:12" x14ac:dyDescent="0.35">
      <c r="A279" s="242"/>
      <c r="B279" s="324"/>
      <c r="C279" s="173" t="s">
        <v>1623</v>
      </c>
      <c r="D279" s="173" t="s">
        <v>2974</v>
      </c>
      <c r="E279" s="10" t="s">
        <v>3081</v>
      </c>
      <c r="F279" s="10" t="s">
        <v>3218</v>
      </c>
      <c r="G279" s="175" t="s">
        <v>3248</v>
      </c>
      <c r="H279" s="15">
        <v>11</v>
      </c>
      <c r="I279" s="15">
        <v>12</v>
      </c>
      <c r="J279" s="15">
        <v>23</v>
      </c>
      <c r="K279" s="15">
        <v>19</v>
      </c>
      <c r="L279" s="220">
        <f t="shared" si="17"/>
        <v>65</v>
      </c>
    </row>
    <row r="280" spans="1:12" ht="13.5" customHeight="1" x14ac:dyDescent="0.35">
      <c r="A280" s="242"/>
      <c r="B280" s="324"/>
      <c r="C280" s="173" t="s">
        <v>1623</v>
      </c>
      <c r="D280" s="173" t="s">
        <v>2974</v>
      </c>
      <c r="E280" s="10" t="s">
        <v>3237</v>
      </c>
      <c r="F280" s="10" t="s">
        <v>3240</v>
      </c>
      <c r="G280" s="175" t="s">
        <v>473</v>
      </c>
      <c r="H280" s="15">
        <v>34</v>
      </c>
      <c r="I280" s="15">
        <v>31</v>
      </c>
      <c r="J280" s="15">
        <v>156</v>
      </c>
      <c r="K280" s="15">
        <v>145</v>
      </c>
      <c r="L280" s="220">
        <f t="shared" si="17"/>
        <v>366</v>
      </c>
    </row>
    <row r="281" spans="1:12" x14ac:dyDescent="0.35">
      <c r="A281" s="242"/>
      <c r="B281" s="324"/>
      <c r="C281" s="173" t="s">
        <v>1623</v>
      </c>
      <c r="D281" s="173" t="s">
        <v>2974</v>
      </c>
      <c r="E281" s="10" t="s">
        <v>3081</v>
      </c>
      <c r="F281" s="10" t="s">
        <v>3218</v>
      </c>
      <c r="G281" s="175" t="s">
        <v>3249</v>
      </c>
      <c r="H281" s="15">
        <v>8</v>
      </c>
      <c r="I281" s="15">
        <v>5</v>
      </c>
      <c r="J281" s="15">
        <v>10</v>
      </c>
      <c r="K281" s="15">
        <v>15</v>
      </c>
      <c r="L281" s="220">
        <f t="shared" si="17"/>
        <v>38</v>
      </c>
    </row>
    <row r="282" spans="1:12" x14ac:dyDescent="0.35">
      <c r="A282" s="242"/>
      <c r="B282" s="324"/>
      <c r="C282" s="173" t="s">
        <v>1623</v>
      </c>
      <c r="D282" s="173" t="s">
        <v>2974</v>
      </c>
      <c r="E282" s="10" t="s">
        <v>3081</v>
      </c>
      <c r="F282" s="10" t="s">
        <v>3218</v>
      </c>
      <c r="G282" s="176" t="s">
        <v>3250</v>
      </c>
      <c r="H282" s="15">
        <v>15</v>
      </c>
      <c r="I282" s="15">
        <v>13</v>
      </c>
      <c r="J282" s="15">
        <v>69</v>
      </c>
      <c r="K282" s="15">
        <v>73</v>
      </c>
      <c r="L282" s="220">
        <f t="shared" si="17"/>
        <v>170</v>
      </c>
    </row>
    <row r="283" spans="1:12" ht="19.5" customHeight="1" x14ac:dyDescent="0.35">
      <c r="A283" s="242"/>
      <c r="B283" s="325"/>
      <c r="C283" s="173" t="s">
        <v>1623</v>
      </c>
      <c r="D283" s="173" t="s">
        <v>2974</v>
      </c>
      <c r="E283" s="10" t="s">
        <v>3237</v>
      </c>
      <c r="F283" s="10" t="s">
        <v>3240</v>
      </c>
      <c r="G283" s="175" t="s">
        <v>3251</v>
      </c>
      <c r="H283" s="15">
        <v>0</v>
      </c>
      <c r="I283" s="15">
        <v>2</v>
      </c>
      <c r="J283" s="15">
        <v>10</v>
      </c>
      <c r="K283" s="15">
        <v>12</v>
      </c>
      <c r="L283" s="220">
        <f t="shared" si="17"/>
        <v>24</v>
      </c>
    </row>
    <row r="284" spans="1:12" x14ac:dyDescent="0.35">
      <c r="A284" s="275"/>
      <c r="B284" s="102"/>
      <c r="C284" s="102"/>
      <c r="D284" s="102"/>
      <c r="E284" s="102"/>
      <c r="F284" s="102"/>
      <c r="G284" s="102" t="s">
        <v>449</v>
      </c>
      <c r="H284" s="102">
        <f>SUM(H270:H283)</f>
        <v>236</v>
      </c>
      <c r="I284" s="102">
        <f t="shared" ref="I284:K284" si="19">SUM(I270:I283)</f>
        <v>242</v>
      </c>
      <c r="J284" s="102">
        <f t="shared" si="19"/>
        <v>996</v>
      </c>
      <c r="K284" s="102">
        <f t="shared" si="19"/>
        <v>974</v>
      </c>
      <c r="L284" s="225">
        <f t="shared" si="17"/>
        <v>2448</v>
      </c>
    </row>
    <row r="285" spans="1:12" x14ac:dyDescent="0.35">
      <c r="A285" s="23"/>
      <c r="B285" s="23"/>
      <c r="C285" s="23"/>
      <c r="D285" s="23"/>
      <c r="E285" s="23"/>
      <c r="F285" s="24"/>
      <c r="G285" s="186" t="s">
        <v>2637</v>
      </c>
      <c r="H285" s="187">
        <f>SUM(H15+H30+H49+H58+H101+H115+H159+H180+H189+H202+H223+H237+H257+H269+H284)</f>
        <v>2987.34</v>
      </c>
      <c r="I285" s="187">
        <f t="shared" ref="I285:K285" si="20">SUM(I15+I30+I49+I58+I101+I115+I159+I180+I189+I202+I223+I237+I257+I269+I284)</f>
        <v>2978</v>
      </c>
      <c r="J285" s="187">
        <f t="shared" si="20"/>
        <v>8299</v>
      </c>
      <c r="K285" s="187">
        <f t="shared" si="20"/>
        <v>8536</v>
      </c>
      <c r="L285" s="225">
        <f t="shared" si="17"/>
        <v>22800.34</v>
      </c>
    </row>
  </sheetData>
  <mergeCells count="41">
    <mergeCell ref="B224:B236"/>
    <mergeCell ref="B238:B256"/>
    <mergeCell ref="B258:B268"/>
    <mergeCell ref="B270:B283"/>
    <mergeCell ref="B102:B114"/>
    <mergeCell ref="B116:B158"/>
    <mergeCell ref="B160:B179"/>
    <mergeCell ref="B181:B188"/>
    <mergeCell ref="B190:B201"/>
    <mergeCell ref="B203:B222"/>
    <mergeCell ref="B59:B100"/>
    <mergeCell ref="A1:K1"/>
    <mergeCell ref="A2:A4"/>
    <mergeCell ref="B2:B4"/>
    <mergeCell ref="C2:C4"/>
    <mergeCell ref="D2:D4"/>
    <mergeCell ref="E2:E4"/>
    <mergeCell ref="F2:F4"/>
    <mergeCell ref="G2:G4"/>
    <mergeCell ref="H2:K2"/>
    <mergeCell ref="H3:I3"/>
    <mergeCell ref="J3:K3"/>
    <mergeCell ref="B5:B14"/>
    <mergeCell ref="B16:B29"/>
    <mergeCell ref="B31:B48"/>
    <mergeCell ref="B50:B57"/>
    <mergeCell ref="A5:A14"/>
    <mergeCell ref="A16:A30"/>
    <mergeCell ref="A31:A49"/>
    <mergeCell ref="A50:A58"/>
    <mergeCell ref="A59:A101"/>
    <mergeCell ref="A102:A115"/>
    <mergeCell ref="A116:A159"/>
    <mergeCell ref="A160:A180"/>
    <mergeCell ref="A181:A189"/>
    <mergeCell ref="A190:A202"/>
    <mergeCell ref="A203:A223"/>
    <mergeCell ref="A224:A237"/>
    <mergeCell ref="A238:A257"/>
    <mergeCell ref="A258:A269"/>
    <mergeCell ref="A270:A28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2F3F-FFAD-49BD-807F-799F5AEC9286}">
  <dimension ref="A1:P463"/>
  <sheetViews>
    <sheetView zoomScale="80" zoomScaleNormal="80" workbookViewId="0">
      <selection activeCell="G14" sqref="G14"/>
    </sheetView>
  </sheetViews>
  <sheetFormatPr defaultRowHeight="14.5" x14ac:dyDescent="0.35"/>
  <cols>
    <col min="1" max="1" width="5.453125" customWidth="1"/>
    <col min="2" max="2" width="19.26953125" customWidth="1"/>
    <col min="3" max="3" width="12.453125" customWidth="1"/>
    <col min="4" max="4" width="16.453125" customWidth="1"/>
    <col min="5" max="5" width="12.26953125" bestFit="1" customWidth="1"/>
    <col min="6" max="6" width="12.453125" customWidth="1"/>
    <col min="7" max="7" width="19.7265625" customWidth="1"/>
    <col min="13" max="13" width="9" customWidth="1"/>
    <col min="14" max="15" width="10.1796875" customWidth="1"/>
    <col min="16" max="16" width="10.453125" customWidth="1"/>
  </cols>
  <sheetData>
    <row r="1" spans="1:16" ht="65.25" customHeight="1" x14ac:dyDescent="0.35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16" x14ac:dyDescent="0.35">
      <c r="A2" s="238" t="s">
        <v>1872</v>
      </c>
      <c r="B2" s="239" t="s">
        <v>1885</v>
      </c>
      <c r="C2" s="237" t="s">
        <v>1622</v>
      </c>
      <c r="D2" s="237" t="s">
        <v>1621</v>
      </c>
      <c r="E2" s="237" t="s">
        <v>1620</v>
      </c>
      <c r="F2" s="237" t="s">
        <v>1619</v>
      </c>
      <c r="G2" s="239" t="s">
        <v>344</v>
      </c>
      <c r="H2" s="240" t="s">
        <v>1886</v>
      </c>
      <c r="I2" s="240"/>
      <c r="J2" s="240"/>
      <c r="K2" s="240"/>
    </row>
    <row r="3" spans="1:16" x14ac:dyDescent="0.35">
      <c r="A3" s="238"/>
      <c r="B3" s="239"/>
      <c r="C3" s="237"/>
      <c r="D3" s="237"/>
      <c r="E3" s="237"/>
      <c r="F3" s="237"/>
      <c r="G3" s="239"/>
      <c r="H3" s="121" t="s">
        <v>3</v>
      </c>
      <c r="I3" s="121" t="s">
        <v>4</v>
      </c>
      <c r="J3" s="47" t="s">
        <v>3</v>
      </c>
      <c r="K3" s="47" t="s">
        <v>4</v>
      </c>
      <c r="L3" s="47" t="s">
        <v>3</v>
      </c>
      <c r="M3" s="47" t="s">
        <v>4</v>
      </c>
      <c r="N3" s="47" t="s">
        <v>3</v>
      </c>
      <c r="O3" s="47" t="s">
        <v>4</v>
      </c>
      <c r="P3" s="216" t="s">
        <v>2</v>
      </c>
    </row>
    <row r="4" spans="1:16" ht="29" x14ac:dyDescent="0.35">
      <c r="A4" s="89"/>
      <c r="B4" s="90"/>
      <c r="C4" s="88"/>
      <c r="D4" s="88"/>
      <c r="E4" s="88"/>
      <c r="F4" s="88"/>
      <c r="G4" s="90"/>
      <c r="H4" s="47" t="s">
        <v>345</v>
      </c>
      <c r="I4" s="47" t="s">
        <v>345</v>
      </c>
      <c r="J4" s="48" t="s">
        <v>346</v>
      </c>
      <c r="K4" s="48" t="s">
        <v>346</v>
      </c>
      <c r="L4" s="104" t="s">
        <v>2633</v>
      </c>
      <c r="M4" s="104" t="s">
        <v>2633</v>
      </c>
      <c r="N4" s="147" t="s">
        <v>2634</v>
      </c>
      <c r="O4" s="147" t="s">
        <v>2634</v>
      </c>
      <c r="P4" s="216" t="s">
        <v>3296</v>
      </c>
    </row>
    <row r="5" spans="1:16" x14ac:dyDescent="0.35">
      <c r="A5" s="353">
        <v>1</v>
      </c>
      <c r="B5" s="329" t="s">
        <v>2638</v>
      </c>
      <c r="C5" s="101" t="s">
        <v>1623</v>
      </c>
      <c r="D5" s="101" t="s">
        <v>2639</v>
      </c>
      <c r="E5" s="101"/>
      <c r="F5" s="101"/>
      <c r="G5" s="148" t="s">
        <v>2640</v>
      </c>
      <c r="H5" s="101">
        <v>1</v>
      </c>
      <c r="I5" s="101">
        <v>2</v>
      </c>
      <c r="J5" s="101">
        <v>9</v>
      </c>
      <c r="K5" s="101">
        <v>11</v>
      </c>
      <c r="L5" s="136">
        <v>5</v>
      </c>
      <c r="M5" s="136">
        <v>7</v>
      </c>
      <c r="N5" s="136">
        <v>6</v>
      </c>
      <c r="O5" s="136">
        <v>8</v>
      </c>
      <c r="P5" s="218">
        <f>H5+I5+J5+K5+L5+M5+N5+O5</f>
        <v>49</v>
      </c>
    </row>
    <row r="6" spans="1:16" x14ac:dyDescent="0.35">
      <c r="A6" s="358"/>
      <c r="B6" s="330"/>
      <c r="C6" s="101" t="s">
        <v>1623</v>
      </c>
      <c r="D6" s="101" t="s">
        <v>2639</v>
      </c>
      <c r="E6" s="101"/>
      <c r="F6" s="101"/>
      <c r="G6" s="148" t="s">
        <v>2641</v>
      </c>
      <c r="H6" s="101">
        <v>2</v>
      </c>
      <c r="I6" s="101">
        <v>4</v>
      </c>
      <c r="J6" s="101">
        <v>15</v>
      </c>
      <c r="K6" s="101">
        <v>14</v>
      </c>
      <c r="L6" s="136">
        <v>10</v>
      </c>
      <c r="M6" s="136">
        <v>11</v>
      </c>
      <c r="N6" s="136">
        <v>11</v>
      </c>
      <c r="O6" s="136">
        <v>12</v>
      </c>
      <c r="P6" s="218">
        <f t="shared" ref="P6:P69" si="0">H6+I6+J6+K6+L6+M6+N6+O6</f>
        <v>79</v>
      </c>
    </row>
    <row r="7" spans="1:16" x14ac:dyDescent="0.35">
      <c r="A7" s="358"/>
      <c r="B7" s="330"/>
      <c r="C7" s="101" t="s">
        <v>1623</v>
      </c>
      <c r="D7" s="101" t="s">
        <v>2639</v>
      </c>
      <c r="E7" s="101"/>
      <c r="F7" s="101"/>
      <c r="G7" s="148" t="s">
        <v>119</v>
      </c>
      <c r="H7" s="101">
        <v>5</v>
      </c>
      <c r="I7" s="101">
        <v>3</v>
      </c>
      <c r="J7" s="101">
        <v>2</v>
      </c>
      <c r="K7" s="101">
        <v>3</v>
      </c>
      <c r="L7" s="136">
        <v>6</v>
      </c>
      <c r="M7" s="136">
        <v>5</v>
      </c>
      <c r="N7" s="136">
        <v>5</v>
      </c>
      <c r="O7" s="136">
        <v>4</v>
      </c>
      <c r="P7" s="218">
        <f t="shared" si="0"/>
        <v>33</v>
      </c>
    </row>
    <row r="8" spans="1:16" x14ac:dyDescent="0.35">
      <c r="A8" s="358"/>
      <c r="B8" s="330"/>
      <c r="C8" s="101" t="s">
        <v>1623</v>
      </c>
      <c r="D8" s="101" t="s">
        <v>2639</v>
      </c>
      <c r="E8" s="101"/>
      <c r="F8" s="101"/>
      <c r="G8" s="148" t="s">
        <v>2642</v>
      </c>
      <c r="H8" s="101">
        <v>3</v>
      </c>
      <c r="I8" s="101">
        <v>4</v>
      </c>
      <c r="J8" s="101">
        <v>18</v>
      </c>
      <c r="K8" s="101">
        <v>20</v>
      </c>
      <c r="L8" s="136">
        <v>5</v>
      </c>
      <c r="M8" s="136">
        <v>7</v>
      </c>
      <c r="N8" s="136">
        <v>10</v>
      </c>
      <c r="O8" s="136">
        <v>9</v>
      </c>
      <c r="P8" s="218">
        <f t="shared" si="0"/>
        <v>76</v>
      </c>
    </row>
    <row r="9" spans="1:16" x14ac:dyDescent="0.35">
      <c r="A9" s="358"/>
      <c r="B9" s="330"/>
      <c r="C9" s="101" t="s">
        <v>1623</v>
      </c>
      <c r="D9" s="101" t="s">
        <v>2639</v>
      </c>
      <c r="E9" s="101"/>
      <c r="F9" s="101"/>
      <c r="G9" s="148" t="s">
        <v>2369</v>
      </c>
      <c r="H9" s="101">
        <v>2</v>
      </c>
      <c r="I9" s="101">
        <v>3</v>
      </c>
      <c r="J9" s="101">
        <v>28</v>
      </c>
      <c r="K9" s="101">
        <v>12</v>
      </c>
      <c r="L9" s="136">
        <v>18</v>
      </c>
      <c r="M9" s="136">
        <v>20</v>
      </c>
      <c r="N9" s="136">
        <v>19</v>
      </c>
      <c r="O9" s="136">
        <v>22</v>
      </c>
      <c r="P9" s="218">
        <f t="shared" si="0"/>
        <v>124</v>
      </c>
    </row>
    <row r="10" spans="1:16" ht="15.75" customHeight="1" x14ac:dyDescent="0.35">
      <c r="A10" s="358"/>
      <c r="B10" s="330"/>
      <c r="C10" s="101" t="s">
        <v>1623</v>
      </c>
      <c r="D10" s="101" t="s">
        <v>2639</v>
      </c>
      <c r="E10" s="101"/>
      <c r="F10" s="101"/>
      <c r="G10" s="148" t="s">
        <v>2643</v>
      </c>
      <c r="H10" s="101">
        <v>8</v>
      </c>
      <c r="I10" s="101">
        <v>6</v>
      </c>
      <c r="J10" s="101">
        <v>26</v>
      </c>
      <c r="K10" s="101">
        <v>34</v>
      </c>
      <c r="L10" s="136">
        <v>4</v>
      </c>
      <c r="M10" s="136">
        <v>6</v>
      </c>
      <c r="N10" s="136">
        <v>4</v>
      </c>
      <c r="O10" s="136">
        <v>5</v>
      </c>
      <c r="P10" s="218">
        <f t="shared" si="0"/>
        <v>93</v>
      </c>
    </row>
    <row r="11" spans="1:16" ht="13.5" customHeight="1" x14ac:dyDescent="0.35">
      <c r="A11" s="358"/>
      <c r="B11" s="330"/>
      <c r="C11" s="101" t="s">
        <v>1623</v>
      </c>
      <c r="D11" s="101" t="s">
        <v>2639</v>
      </c>
      <c r="E11" s="101"/>
      <c r="F11" s="101"/>
      <c r="G11" s="148" t="s">
        <v>2644</v>
      </c>
      <c r="H11" s="101">
        <v>3</v>
      </c>
      <c r="I11" s="101">
        <v>5</v>
      </c>
      <c r="J11" s="101">
        <v>27</v>
      </c>
      <c r="K11" s="101">
        <v>33</v>
      </c>
      <c r="L11" s="136">
        <v>10</v>
      </c>
      <c r="M11" s="136">
        <v>9</v>
      </c>
      <c r="N11" s="136">
        <v>17</v>
      </c>
      <c r="O11" s="136">
        <v>15</v>
      </c>
      <c r="P11" s="218">
        <f t="shared" si="0"/>
        <v>119</v>
      </c>
    </row>
    <row r="12" spans="1:16" ht="13.5" customHeight="1" x14ac:dyDescent="0.35">
      <c r="A12" s="358"/>
      <c r="B12" s="330"/>
      <c r="C12" s="101" t="s">
        <v>1623</v>
      </c>
      <c r="D12" s="101" t="s">
        <v>2639</v>
      </c>
      <c r="E12" s="101"/>
      <c r="F12" s="101"/>
      <c r="G12" s="148" t="s">
        <v>2645</v>
      </c>
      <c r="H12" s="101">
        <v>3</v>
      </c>
      <c r="I12" s="101">
        <v>4</v>
      </c>
      <c r="J12" s="101">
        <v>20</v>
      </c>
      <c r="K12" s="101">
        <v>22</v>
      </c>
      <c r="L12" s="136">
        <v>14</v>
      </c>
      <c r="M12" s="136">
        <v>15</v>
      </c>
      <c r="N12" s="136">
        <v>24</v>
      </c>
      <c r="O12" s="136">
        <v>25</v>
      </c>
      <c r="P12" s="218">
        <f t="shared" si="0"/>
        <v>127</v>
      </c>
    </row>
    <row r="13" spans="1:16" x14ac:dyDescent="0.35">
      <c r="A13" s="358"/>
      <c r="B13" s="330"/>
      <c r="C13" s="101" t="s">
        <v>1623</v>
      </c>
      <c r="D13" s="101" t="s">
        <v>2639</v>
      </c>
      <c r="E13" s="101"/>
      <c r="F13" s="101"/>
      <c r="G13" s="148" t="s">
        <v>2646</v>
      </c>
      <c r="H13" s="101">
        <v>2</v>
      </c>
      <c r="I13" s="101">
        <v>0</v>
      </c>
      <c r="J13" s="101">
        <v>4</v>
      </c>
      <c r="K13" s="101">
        <v>6</v>
      </c>
      <c r="L13" s="136">
        <v>3</v>
      </c>
      <c r="M13" s="136">
        <v>1</v>
      </c>
      <c r="N13" s="136">
        <v>2</v>
      </c>
      <c r="O13" s="136">
        <v>4</v>
      </c>
      <c r="P13" s="218">
        <f t="shared" si="0"/>
        <v>22</v>
      </c>
    </row>
    <row r="14" spans="1:16" x14ac:dyDescent="0.35">
      <c r="A14" s="358"/>
      <c r="B14" s="330"/>
      <c r="C14" s="149"/>
      <c r="D14" s="149"/>
      <c r="E14" s="149"/>
      <c r="F14" s="149"/>
      <c r="G14" s="150" t="s">
        <v>2</v>
      </c>
      <c r="H14" s="151">
        <f>SUM(H5:H13)</f>
        <v>29</v>
      </c>
      <c r="I14" s="151">
        <f t="shared" ref="I14:O14" si="1">SUM(I5:I13)</f>
        <v>31</v>
      </c>
      <c r="J14" s="152">
        <f t="shared" si="1"/>
        <v>149</v>
      </c>
      <c r="K14" s="152">
        <f t="shared" si="1"/>
        <v>155</v>
      </c>
      <c r="L14" s="153">
        <f t="shared" si="1"/>
        <v>75</v>
      </c>
      <c r="M14" s="153">
        <f t="shared" si="1"/>
        <v>81</v>
      </c>
      <c r="N14" s="154">
        <f t="shared" si="1"/>
        <v>98</v>
      </c>
      <c r="O14" s="154">
        <f t="shared" si="1"/>
        <v>104</v>
      </c>
      <c r="P14" s="217">
        <f t="shared" si="0"/>
        <v>722</v>
      </c>
    </row>
    <row r="15" spans="1:16" x14ac:dyDescent="0.35">
      <c r="A15" s="354">
        <v>2</v>
      </c>
      <c r="B15" s="340" t="s">
        <v>2647</v>
      </c>
      <c r="C15" s="101" t="s">
        <v>1623</v>
      </c>
      <c r="D15" s="101" t="s">
        <v>2639</v>
      </c>
      <c r="E15" s="101"/>
      <c r="F15" s="101"/>
      <c r="G15" s="155" t="s">
        <v>37</v>
      </c>
      <c r="H15" s="101">
        <v>2</v>
      </c>
      <c r="I15" s="101">
        <v>3</v>
      </c>
      <c r="J15" s="101">
        <v>6</v>
      </c>
      <c r="K15" s="101">
        <v>8</v>
      </c>
      <c r="L15" s="136">
        <v>19</v>
      </c>
      <c r="M15" s="136">
        <v>21</v>
      </c>
      <c r="N15" s="136">
        <v>4</v>
      </c>
      <c r="O15" s="136">
        <v>3</v>
      </c>
      <c r="P15" s="218">
        <f t="shared" si="0"/>
        <v>66</v>
      </c>
    </row>
    <row r="16" spans="1:16" x14ac:dyDescent="0.35">
      <c r="A16" s="354"/>
      <c r="B16" s="341"/>
      <c r="C16" s="101" t="s">
        <v>1623</v>
      </c>
      <c r="D16" s="101" t="s">
        <v>2639</v>
      </c>
      <c r="E16" s="101"/>
      <c r="F16" s="101"/>
      <c r="G16" s="155" t="s">
        <v>2648</v>
      </c>
      <c r="H16" s="101">
        <v>3</v>
      </c>
      <c r="I16" s="101">
        <v>1</v>
      </c>
      <c r="J16" s="101">
        <v>5</v>
      </c>
      <c r="K16" s="101">
        <v>6</v>
      </c>
      <c r="L16" s="136">
        <v>1</v>
      </c>
      <c r="M16" s="136">
        <v>2</v>
      </c>
      <c r="N16" s="136">
        <v>10</v>
      </c>
      <c r="O16" s="136">
        <v>11</v>
      </c>
      <c r="P16" s="218">
        <f t="shared" si="0"/>
        <v>39</v>
      </c>
    </row>
    <row r="17" spans="1:16" x14ac:dyDescent="0.35">
      <c r="A17" s="354"/>
      <c r="B17" s="341"/>
      <c r="C17" s="101" t="s">
        <v>1623</v>
      </c>
      <c r="D17" s="101" t="s">
        <v>2639</v>
      </c>
      <c r="E17" s="101"/>
      <c r="F17" s="101"/>
      <c r="G17" s="155" t="s">
        <v>2649</v>
      </c>
      <c r="H17" s="101">
        <v>1</v>
      </c>
      <c r="I17" s="101">
        <v>2</v>
      </c>
      <c r="J17" s="101">
        <v>6</v>
      </c>
      <c r="K17" s="101">
        <v>8</v>
      </c>
      <c r="L17" s="136">
        <v>7</v>
      </c>
      <c r="M17" s="136">
        <v>5</v>
      </c>
      <c r="N17" s="136">
        <v>11</v>
      </c>
      <c r="O17" s="136">
        <v>9</v>
      </c>
      <c r="P17" s="218">
        <f t="shared" si="0"/>
        <v>49</v>
      </c>
    </row>
    <row r="18" spans="1:16" x14ac:dyDescent="0.35">
      <c r="A18" s="354"/>
      <c r="B18" s="341"/>
      <c r="C18" s="101" t="s">
        <v>1623</v>
      </c>
      <c r="D18" s="101" t="s">
        <v>2639</v>
      </c>
      <c r="E18" s="101"/>
      <c r="F18" s="101"/>
      <c r="G18" s="155" t="s">
        <v>2650</v>
      </c>
      <c r="H18" s="101">
        <v>1</v>
      </c>
      <c r="I18" s="101">
        <v>2</v>
      </c>
      <c r="J18" s="101">
        <v>9</v>
      </c>
      <c r="K18" s="101">
        <v>11</v>
      </c>
      <c r="L18" s="136">
        <v>5</v>
      </c>
      <c r="M18" s="136">
        <v>4</v>
      </c>
      <c r="N18" s="136">
        <v>6</v>
      </c>
      <c r="O18" s="136">
        <v>4</v>
      </c>
      <c r="P18" s="218">
        <f t="shared" si="0"/>
        <v>42</v>
      </c>
    </row>
    <row r="19" spans="1:16" x14ac:dyDescent="0.35">
      <c r="A19" s="354"/>
      <c r="B19" s="341"/>
      <c r="C19" s="101" t="s">
        <v>1623</v>
      </c>
      <c r="D19" s="101" t="s">
        <v>2639</v>
      </c>
      <c r="E19" s="101"/>
      <c r="F19" s="101"/>
      <c r="G19" s="155" t="s">
        <v>2651</v>
      </c>
      <c r="H19" s="101">
        <v>2</v>
      </c>
      <c r="I19" s="101">
        <v>1</v>
      </c>
      <c r="J19" s="101">
        <v>3</v>
      </c>
      <c r="K19" s="101">
        <v>4</v>
      </c>
      <c r="L19" s="136">
        <v>3</v>
      </c>
      <c r="M19" s="136">
        <v>5</v>
      </c>
      <c r="N19" s="136">
        <v>10</v>
      </c>
      <c r="O19" s="136">
        <v>8</v>
      </c>
      <c r="P19" s="218">
        <f t="shared" si="0"/>
        <v>36</v>
      </c>
    </row>
    <row r="20" spans="1:16" x14ac:dyDescent="0.35">
      <c r="A20" s="354"/>
      <c r="B20" s="341"/>
      <c r="C20" s="101" t="s">
        <v>1623</v>
      </c>
      <c r="D20" s="101" t="s">
        <v>2639</v>
      </c>
      <c r="E20" s="101"/>
      <c r="F20" s="101"/>
      <c r="G20" s="155" t="s">
        <v>2652</v>
      </c>
      <c r="H20" s="101">
        <v>1</v>
      </c>
      <c r="I20" s="101">
        <v>3</v>
      </c>
      <c r="J20" s="101">
        <v>6</v>
      </c>
      <c r="K20" s="101">
        <v>7</v>
      </c>
      <c r="L20" s="136">
        <v>7</v>
      </c>
      <c r="M20" s="136">
        <v>6</v>
      </c>
      <c r="N20" s="136">
        <v>2</v>
      </c>
      <c r="O20" s="136">
        <v>4</v>
      </c>
      <c r="P20" s="218">
        <f t="shared" si="0"/>
        <v>36</v>
      </c>
    </row>
    <row r="21" spans="1:16" x14ac:dyDescent="0.35">
      <c r="A21" s="354"/>
      <c r="B21" s="341"/>
      <c r="C21" s="101" t="s">
        <v>1623</v>
      </c>
      <c r="D21" s="101" t="s">
        <v>2639</v>
      </c>
      <c r="E21" s="101"/>
      <c r="F21" s="101"/>
      <c r="G21" s="155" t="s">
        <v>2653</v>
      </c>
      <c r="H21" s="101">
        <v>1</v>
      </c>
      <c r="I21" s="101">
        <v>1</v>
      </c>
      <c r="J21" s="101">
        <v>6</v>
      </c>
      <c r="K21" s="101">
        <v>4</v>
      </c>
      <c r="L21" s="136">
        <v>4</v>
      </c>
      <c r="M21" s="136">
        <v>2</v>
      </c>
      <c r="N21" s="136">
        <v>12</v>
      </c>
      <c r="O21" s="136">
        <v>15</v>
      </c>
      <c r="P21" s="218">
        <f t="shared" si="0"/>
        <v>45</v>
      </c>
    </row>
    <row r="22" spans="1:16" x14ac:dyDescent="0.35">
      <c r="A22" s="354"/>
      <c r="B22" s="341"/>
      <c r="C22" s="101" t="s">
        <v>1623</v>
      </c>
      <c r="D22" s="101" t="s">
        <v>2639</v>
      </c>
      <c r="E22" s="101"/>
      <c r="F22" s="101"/>
      <c r="G22" s="155" t="s">
        <v>1953</v>
      </c>
      <c r="H22" s="101">
        <v>2</v>
      </c>
      <c r="I22" s="101">
        <v>3</v>
      </c>
      <c r="J22" s="101">
        <v>8</v>
      </c>
      <c r="K22" s="101">
        <v>6</v>
      </c>
      <c r="L22" s="136">
        <v>4</v>
      </c>
      <c r="M22" s="136">
        <v>6</v>
      </c>
      <c r="N22" s="136">
        <v>6</v>
      </c>
      <c r="O22" s="136">
        <v>4</v>
      </c>
      <c r="P22" s="218">
        <f t="shared" si="0"/>
        <v>39</v>
      </c>
    </row>
    <row r="23" spans="1:16" x14ac:dyDescent="0.35">
      <c r="A23" s="354"/>
      <c r="B23" s="341"/>
      <c r="C23" s="101" t="s">
        <v>1623</v>
      </c>
      <c r="D23" s="101" t="s">
        <v>2639</v>
      </c>
      <c r="E23" s="101"/>
      <c r="F23" s="101"/>
      <c r="G23" s="155" t="s">
        <v>2654</v>
      </c>
      <c r="H23" s="101">
        <v>1</v>
      </c>
      <c r="I23" s="101">
        <v>0</v>
      </c>
      <c r="J23" s="101">
        <v>8</v>
      </c>
      <c r="K23" s="101">
        <v>6</v>
      </c>
      <c r="L23" s="136">
        <v>9</v>
      </c>
      <c r="M23" s="136">
        <v>8</v>
      </c>
      <c r="N23" s="136">
        <v>6</v>
      </c>
      <c r="O23" s="136">
        <v>7</v>
      </c>
      <c r="P23" s="218">
        <f t="shared" si="0"/>
        <v>45</v>
      </c>
    </row>
    <row r="24" spans="1:16" x14ac:dyDescent="0.35">
      <c r="A24" s="354"/>
      <c r="B24" s="341"/>
      <c r="C24" s="101" t="s">
        <v>1623</v>
      </c>
      <c r="D24" s="101" t="s">
        <v>2639</v>
      </c>
      <c r="E24" s="101"/>
      <c r="F24" s="101"/>
      <c r="G24" s="155" t="s">
        <v>141</v>
      </c>
      <c r="H24" s="101">
        <v>2</v>
      </c>
      <c r="I24" s="101">
        <v>0</v>
      </c>
      <c r="J24" s="101">
        <v>9</v>
      </c>
      <c r="K24" s="101">
        <v>7</v>
      </c>
      <c r="L24" s="136">
        <v>7</v>
      </c>
      <c r="M24" s="136">
        <v>6</v>
      </c>
      <c r="N24" s="136">
        <v>11</v>
      </c>
      <c r="O24" s="136">
        <v>9</v>
      </c>
      <c r="P24" s="218">
        <f t="shared" si="0"/>
        <v>51</v>
      </c>
    </row>
    <row r="25" spans="1:16" x14ac:dyDescent="0.35">
      <c r="A25" s="354"/>
      <c r="B25" s="341"/>
      <c r="C25" s="101" t="s">
        <v>1623</v>
      </c>
      <c r="D25" s="101" t="s">
        <v>2639</v>
      </c>
      <c r="E25" s="101"/>
      <c r="F25" s="101"/>
      <c r="G25" s="155" t="s">
        <v>2655</v>
      </c>
      <c r="H25" s="101">
        <v>2</v>
      </c>
      <c r="I25" s="101">
        <v>3</v>
      </c>
      <c r="J25" s="101">
        <v>11</v>
      </c>
      <c r="K25" s="101">
        <v>13</v>
      </c>
      <c r="L25" s="136">
        <v>2</v>
      </c>
      <c r="M25" s="136">
        <v>1</v>
      </c>
      <c r="N25" s="136">
        <v>7</v>
      </c>
      <c r="O25" s="136">
        <v>5</v>
      </c>
      <c r="P25" s="218">
        <f t="shared" si="0"/>
        <v>44</v>
      </c>
    </row>
    <row r="26" spans="1:16" x14ac:dyDescent="0.35">
      <c r="A26" s="354"/>
      <c r="B26" s="341"/>
      <c r="C26" s="101" t="s">
        <v>1623</v>
      </c>
      <c r="D26" s="101" t="s">
        <v>2639</v>
      </c>
      <c r="E26" s="101"/>
      <c r="F26" s="101"/>
      <c r="G26" s="155" t="s">
        <v>2656</v>
      </c>
      <c r="H26" s="101">
        <v>1</v>
      </c>
      <c r="I26" s="101">
        <v>2</v>
      </c>
      <c r="J26" s="101">
        <v>10</v>
      </c>
      <c r="K26" s="101">
        <v>11</v>
      </c>
      <c r="L26" s="136">
        <v>5</v>
      </c>
      <c r="M26" s="136">
        <v>3</v>
      </c>
      <c r="N26" s="136">
        <v>5</v>
      </c>
      <c r="O26" s="136">
        <v>6</v>
      </c>
      <c r="P26" s="218">
        <f t="shared" si="0"/>
        <v>43</v>
      </c>
    </row>
    <row r="27" spans="1:16" x14ac:dyDescent="0.35">
      <c r="A27" s="354"/>
      <c r="B27" s="341"/>
      <c r="C27" s="101" t="s">
        <v>1623</v>
      </c>
      <c r="D27" s="101" t="s">
        <v>2639</v>
      </c>
      <c r="E27" s="101"/>
      <c r="F27" s="101"/>
      <c r="G27" s="155" t="s">
        <v>2657</v>
      </c>
      <c r="H27" s="101">
        <v>2</v>
      </c>
      <c r="I27" s="101">
        <v>3</v>
      </c>
      <c r="J27" s="101">
        <v>7</v>
      </c>
      <c r="K27" s="101">
        <v>8</v>
      </c>
      <c r="L27" s="136">
        <v>3</v>
      </c>
      <c r="M27" s="136">
        <v>2</v>
      </c>
      <c r="N27" s="136">
        <v>9</v>
      </c>
      <c r="O27" s="136">
        <v>11</v>
      </c>
      <c r="P27" s="218">
        <f t="shared" si="0"/>
        <v>45</v>
      </c>
    </row>
    <row r="28" spans="1:16" x14ac:dyDescent="0.35">
      <c r="A28" s="354"/>
      <c r="B28" s="341"/>
      <c r="C28" s="101" t="s">
        <v>1623</v>
      </c>
      <c r="D28" s="101" t="s">
        <v>2639</v>
      </c>
      <c r="E28" s="101"/>
      <c r="F28" s="101"/>
      <c r="G28" s="155" t="s">
        <v>2658</v>
      </c>
      <c r="H28" s="101">
        <v>2</v>
      </c>
      <c r="I28" s="101">
        <v>4</v>
      </c>
      <c r="J28" s="101">
        <v>5</v>
      </c>
      <c r="K28" s="101">
        <v>6</v>
      </c>
      <c r="L28" s="136">
        <v>5</v>
      </c>
      <c r="M28" s="136">
        <v>4</v>
      </c>
      <c r="N28" s="136">
        <v>6</v>
      </c>
      <c r="O28" s="136">
        <v>7</v>
      </c>
      <c r="P28" s="218">
        <f t="shared" si="0"/>
        <v>39</v>
      </c>
    </row>
    <row r="29" spans="1:16" x14ac:dyDescent="0.35">
      <c r="A29" s="354"/>
      <c r="B29" s="341"/>
      <c r="C29" s="101" t="s">
        <v>1623</v>
      </c>
      <c r="D29" s="101" t="s">
        <v>2639</v>
      </c>
      <c r="E29" s="101"/>
      <c r="F29" s="101"/>
      <c r="G29" s="155" t="s">
        <v>2659</v>
      </c>
      <c r="H29" s="101">
        <v>6</v>
      </c>
      <c r="I29" s="101">
        <v>5</v>
      </c>
      <c r="J29" s="101">
        <v>9</v>
      </c>
      <c r="K29" s="101">
        <v>10</v>
      </c>
      <c r="L29" s="136">
        <v>7</v>
      </c>
      <c r="M29" s="136">
        <v>9</v>
      </c>
      <c r="N29" s="136">
        <v>10</v>
      </c>
      <c r="O29" s="136">
        <v>15</v>
      </c>
      <c r="P29" s="218">
        <f t="shared" si="0"/>
        <v>71</v>
      </c>
    </row>
    <row r="30" spans="1:16" x14ac:dyDescent="0.35">
      <c r="A30" s="354"/>
      <c r="B30" s="341"/>
      <c r="C30" s="101" t="s">
        <v>1623</v>
      </c>
      <c r="D30" s="101" t="s">
        <v>2639</v>
      </c>
      <c r="E30" s="101"/>
      <c r="F30" s="101"/>
      <c r="G30" s="155" t="s">
        <v>2660</v>
      </c>
      <c r="H30" s="101">
        <v>4</v>
      </c>
      <c r="I30" s="101">
        <v>5</v>
      </c>
      <c r="J30" s="101">
        <v>21</v>
      </c>
      <c r="K30" s="101">
        <v>25</v>
      </c>
      <c r="L30" s="136">
        <v>11</v>
      </c>
      <c r="M30" s="136">
        <v>8</v>
      </c>
      <c r="N30" s="136">
        <v>17</v>
      </c>
      <c r="O30" s="136">
        <v>16</v>
      </c>
      <c r="P30" s="218">
        <f t="shared" si="0"/>
        <v>107</v>
      </c>
    </row>
    <row r="31" spans="1:16" x14ac:dyDescent="0.35">
      <c r="A31" s="354"/>
      <c r="B31" s="341"/>
      <c r="C31" s="101" t="s">
        <v>1623</v>
      </c>
      <c r="D31" s="101" t="s">
        <v>2639</v>
      </c>
      <c r="E31" s="101"/>
      <c r="F31" s="101"/>
      <c r="G31" s="155" t="s">
        <v>2578</v>
      </c>
      <c r="H31" s="101">
        <v>1</v>
      </c>
      <c r="I31" s="101">
        <v>3</v>
      </c>
      <c r="J31" s="101">
        <v>3</v>
      </c>
      <c r="K31" s="101">
        <v>1</v>
      </c>
      <c r="L31" s="136">
        <v>10</v>
      </c>
      <c r="M31" s="136">
        <v>12</v>
      </c>
      <c r="N31" s="136">
        <v>2</v>
      </c>
      <c r="O31" s="136">
        <v>4</v>
      </c>
      <c r="P31" s="218">
        <f t="shared" si="0"/>
        <v>36</v>
      </c>
    </row>
    <row r="32" spans="1:16" x14ac:dyDescent="0.35">
      <c r="A32" s="354"/>
      <c r="B32" s="341"/>
      <c r="C32" s="101" t="s">
        <v>1623</v>
      </c>
      <c r="D32" s="101" t="s">
        <v>2639</v>
      </c>
      <c r="E32" s="101"/>
      <c r="F32" s="101"/>
      <c r="G32" s="155" t="s">
        <v>2661</v>
      </c>
      <c r="H32" s="101">
        <v>1</v>
      </c>
      <c r="I32" s="101">
        <v>2</v>
      </c>
      <c r="J32" s="101">
        <v>4</v>
      </c>
      <c r="K32" s="101">
        <v>6</v>
      </c>
      <c r="L32" s="136">
        <v>8</v>
      </c>
      <c r="M32" s="136">
        <v>6</v>
      </c>
      <c r="N32" s="136">
        <v>4</v>
      </c>
      <c r="O32" s="136">
        <v>6</v>
      </c>
      <c r="P32" s="218">
        <f t="shared" si="0"/>
        <v>37</v>
      </c>
    </row>
    <row r="33" spans="1:16" x14ac:dyDescent="0.35">
      <c r="A33" s="354"/>
      <c r="B33" s="341"/>
      <c r="C33" s="101" t="s">
        <v>1623</v>
      </c>
      <c r="D33" s="101" t="s">
        <v>2639</v>
      </c>
      <c r="E33" s="101"/>
      <c r="F33" s="101"/>
      <c r="G33" s="155" t="s">
        <v>2662</v>
      </c>
      <c r="H33" s="101">
        <v>1</v>
      </c>
      <c r="I33" s="101">
        <v>2</v>
      </c>
      <c r="J33" s="101">
        <v>4</v>
      </c>
      <c r="K33" s="101">
        <v>4</v>
      </c>
      <c r="L33" s="136">
        <v>6</v>
      </c>
      <c r="M33" s="136">
        <v>4</v>
      </c>
      <c r="N33" s="136">
        <v>7</v>
      </c>
      <c r="O33" s="136">
        <v>3</v>
      </c>
      <c r="P33" s="218">
        <f t="shared" si="0"/>
        <v>31</v>
      </c>
    </row>
    <row r="34" spans="1:16" x14ac:dyDescent="0.35">
      <c r="A34" s="354"/>
      <c r="B34" s="341"/>
      <c r="C34" s="101" t="s">
        <v>1623</v>
      </c>
      <c r="D34" s="101" t="s">
        <v>2639</v>
      </c>
      <c r="E34" s="101"/>
      <c r="F34" s="101"/>
      <c r="G34" s="155" t="s">
        <v>2013</v>
      </c>
      <c r="H34" s="101">
        <v>2</v>
      </c>
      <c r="I34" s="101">
        <v>1</v>
      </c>
      <c r="J34" s="101">
        <v>9</v>
      </c>
      <c r="K34" s="101">
        <v>11</v>
      </c>
      <c r="L34" s="136">
        <v>6</v>
      </c>
      <c r="M34" s="136">
        <v>7</v>
      </c>
      <c r="N34" s="136">
        <v>4</v>
      </c>
      <c r="O34" s="136">
        <v>6</v>
      </c>
      <c r="P34" s="218">
        <f t="shared" si="0"/>
        <v>46</v>
      </c>
    </row>
    <row r="35" spans="1:16" x14ac:dyDescent="0.35">
      <c r="A35" s="354"/>
      <c r="B35" s="341"/>
      <c r="C35" s="101" t="s">
        <v>1623</v>
      </c>
      <c r="D35" s="101" t="s">
        <v>2639</v>
      </c>
      <c r="E35" s="101"/>
      <c r="F35" s="101"/>
      <c r="G35" s="155" t="s">
        <v>2663</v>
      </c>
      <c r="H35" s="101">
        <v>2</v>
      </c>
      <c r="I35" s="101">
        <v>2</v>
      </c>
      <c r="J35" s="101">
        <v>8</v>
      </c>
      <c r="K35" s="101">
        <v>7</v>
      </c>
      <c r="L35" s="136">
        <v>9</v>
      </c>
      <c r="M35" s="136">
        <v>6</v>
      </c>
      <c r="N35" s="136">
        <v>4</v>
      </c>
      <c r="O35" s="136">
        <v>5</v>
      </c>
      <c r="P35" s="218">
        <f t="shared" si="0"/>
        <v>43</v>
      </c>
    </row>
    <row r="36" spans="1:16" x14ac:dyDescent="0.35">
      <c r="A36" s="354"/>
      <c r="B36" s="341"/>
      <c r="C36" s="101" t="s">
        <v>1623</v>
      </c>
      <c r="D36" s="101" t="s">
        <v>2639</v>
      </c>
      <c r="E36" s="101"/>
      <c r="F36" s="101"/>
      <c r="G36" s="155" t="s">
        <v>2664</v>
      </c>
      <c r="H36" s="101">
        <v>1</v>
      </c>
      <c r="I36" s="101">
        <v>2</v>
      </c>
      <c r="J36" s="101">
        <v>9</v>
      </c>
      <c r="K36" s="101">
        <v>11</v>
      </c>
      <c r="L36" s="136">
        <v>2</v>
      </c>
      <c r="M36" s="136">
        <v>4</v>
      </c>
      <c r="N36" s="136">
        <v>18</v>
      </c>
      <c r="O36" s="136">
        <v>15</v>
      </c>
      <c r="P36" s="218">
        <f t="shared" si="0"/>
        <v>62</v>
      </c>
    </row>
    <row r="37" spans="1:16" x14ac:dyDescent="0.35">
      <c r="A37" s="354"/>
      <c r="B37" s="341"/>
      <c r="C37" s="101" t="s">
        <v>1623</v>
      </c>
      <c r="D37" s="101" t="s">
        <v>2639</v>
      </c>
      <c r="E37" s="101"/>
      <c r="F37" s="101"/>
      <c r="G37" s="155" t="s">
        <v>2665</v>
      </c>
      <c r="H37" s="101">
        <v>1</v>
      </c>
      <c r="I37" s="101">
        <v>0</v>
      </c>
      <c r="J37" s="101">
        <v>7</v>
      </c>
      <c r="K37" s="101">
        <v>5</v>
      </c>
      <c r="L37" s="136">
        <v>3</v>
      </c>
      <c r="M37" s="136">
        <v>5</v>
      </c>
      <c r="N37" s="136">
        <v>9</v>
      </c>
      <c r="O37" s="136">
        <v>8</v>
      </c>
      <c r="P37" s="218">
        <f t="shared" si="0"/>
        <v>38</v>
      </c>
    </row>
    <row r="38" spans="1:16" x14ac:dyDescent="0.35">
      <c r="A38" s="355"/>
      <c r="B38" s="341"/>
      <c r="C38" s="101" t="s">
        <v>1623</v>
      </c>
      <c r="D38" s="101" t="s">
        <v>2639</v>
      </c>
      <c r="E38" s="101"/>
      <c r="F38" s="101"/>
      <c r="G38" s="155" t="s">
        <v>2666</v>
      </c>
      <c r="H38" s="101">
        <v>2</v>
      </c>
      <c r="I38" s="101">
        <v>0</v>
      </c>
      <c r="J38" s="101">
        <v>11</v>
      </c>
      <c r="K38" s="101">
        <v>12</v>
      </c>
      <c r="L38" s="136">
        <v>6</v>
      </c>
      <c r="M38" s="136">
        <v>4</v>
      </c>
      <c r="N38" s="136">
        <v>10</v>
      </c>
      <c r="O38" s="136">
        <v>14</v>
      </c>
      <c r="P38" s="218">
        <f t="shared" si="0"/>
        <v>59</v>
      </c>
    </row>
    <row r="39" spans="1:16" x14ac:dyDescent="0.35">
      <c r="A39" s="355"/>
      <c r="B39" s="341"/>
      <c r="C39" s="101" t="s">
        <v>1623</v>
      </c>
      <c r="D39" s="101" t="s">
        <v>2639</v>
      </c>
      <c r="E39" s="101"/>
      <c r="F39" s="101"/>
      <c r="G39" s="155" t="s">
        <v>2667</v>
      </c>
      <c r="H39" s="101">
        <v>1</v>
      </c>
      <c r="I39" s="101">
        <v>2</v>
      </c>
      <c r="J39" s="101">
        <v>4</v>
      </c>
      <c r="K39" s="101">
        <v>6</v>
      </c>
      <c r="L39" s="136">
        <v>4</v>
      </c>
      <c r="M39" s="136">
        <v>2</v>
      </c>
      <c r="N39" s="136">
        <v>3</v>
      </c>
      <c r="O39" s="136">
        <v>5</v>
      </c>
      <c r="P39" s="218">
        <f t="shared" si="0"/>
        <v>27</v>
      </c>
    </row>
    <row r="40" spans="1:16" x14ac:dyDescent="0.35">
      <c r="A40" s="355"/>
      <c r="B40" s="341"/>
      <c r="C40" s="101" t="s">
        <v>1623</v>
      </c>
      <c r="D40" s="101" t="s">
        <v>2639</v>
      </c>
      <c r="E40" s="101"/>
      <c r="F40" s="101"/>
      <c r="G40" s="155" t="s">
        <v>516</v>
      </c>
      <c r="H40" s="101">
        <v>1</v>
      </c>
      <c r="I40" s="101">
        <v>2</v>
      </c>
      <c r="J40" s="101">
        <v>7</v>
      </c>
      <c r="K40" s="101">
        <v>5</v>
      </c>
      <c r="L40" s="136">
        <v>7</v>
      </c>
      <c r="M40" s="136">
        <v>5</v>
      </c>
      <c r="N40" s="136">
        <v>11</v>
      </c>
      <c r="O40" s="136">
        <v>12</v>
      </c>
      <c r="P40" s="218">
        <f t="shared" si="0"/>
        <v>50</v>
      </c>
    </row>
    <row r="41" spans="1:16" x14ac:dyDescent="0.35">
      <c r="A41" s="355"/>
      <c r="B41" s="341"/>
      <c r="C41" s="101" t="s">
        <v>1623</v>
      </c>
      <c r="D41" s="101" t="s">
        <v>2639</v>
      </c>
      <c r="E41" s="101"/>
      <c r="F41" s="101"/>
      <c r="G41" s="155" t="s">
        <v>1962</v>
      </c>
      <c r="H41" s="101">
        <v>3</v>
      </c>
      <c r="I41" s="101">
        <v>4</v>
      </c>
      <c r="J41" s="101">
        <v>12</v>
      </c>
      <c r="K41" s="101">
        <v>15</v>
      </c>
      <c r="L41" s="136">
        <v>12</v>
      </c>
      <c r="M41" s="136">
        <v>11</v>
      </c>
      <c r="N41" s="136">
        <v>1</v>
      </c>
      <c r="O41" s="136">
        <v>3</v>
      </c>
      <c r="P41" s="218">
        <f t="shared" si="0"/>
        <v>61</v>
      </c>
    </row>
    <row r="42" spans="1:16" x14ac:dyDescent="0.35">
      <c r="A42" s="355"/>
      <c r="B42" s="341"/>
      <c r="C42" s="101" t="s">
        <v>1623</v>
      </c>
      <c r="D42" s="101" t="s">
        <v>2639</v>
      </c>
      <c r="E42" s="101"/>
      <c r="F42" s="101"/>
      <c r="G42" s="155" t="s">
        <v>2668</v>
      </c>
      <c r="H42" s="101">
        <v>2</v>
      </c>
      <c r="I42" s="101">
        <v>3</v>
      </c>
      <c r="J42" s="101">
        <v>8</v>
      </c>
      <c r="K42" s="101">
        <v>7</v>
      </c>
      <c r="L42" s="136">
        <v>10</v>
      </c>
      <c r="M42" s="136">
        <v>8</v>
      </c>
      <c r="N42" s="136">
        <v>3</v>
      </c>
      <c r="O42" s="136">
        <v>2</v>
      </c>
      <c r="P42" s="218">
        <f t="shared" si="0"/>
        <v>43</v>
      </c>
    </row>
    <row r="43" spans="1:16" x14ac:dyDescent="0.35">
      <c r="A43" s="355"/>
      <c r="B43" s="359"/>
      <c r="C43" s="149"/>
      <c r="D43" s="149"/>
      <c r="E43" s="149"/>
      <c r="F43" s="149"/>
      <c r="G43" s="156" t="s">
        <v>2</v>
      </c>
      <c r="H43" s="151">
        <f>SUM(H15:H42)</f>
        <v>51</v>
      </c>
      <c r="I43" s="151">
        <f t="shared" ref="I43:O43" si="2">SUM(I15:I42)</f>
        <v>61</v>
      </c>
      <c r="J43" s="152">
        <f t="shared" si="2"/>
        <v>215</v>
      </c>
      <c r="K43" s="152">
        <f t="shared" si="2"/>
        <v>230</v>
      </c>
      <c r="L43" s="153">
        <f t="shared" si="2"/>
        <v>182</v>
      </c>
      <c r="M43" s="153">
        <f t="shared" si="2"/>
        <v>166</v>
      </c>
      <c r="N43" s="154">
        <f t="shared" si="2"/>
        <v>208</v>
      </c>
      <c r="O43" s="154">
        <f t="shared" si="2"/>
        <v>217</v>
      </c>
      <c r="P43" s="217">
        <f t="shared" si="0"/>
        <v>1330</v>
      </c>
    </row>
    <row r="44" spans="1:16" x14ac:dyDescent="0.35">
      <c r="A44" s="338">
        <v>3</v>
      </c>
      <c r="B44" s="340" t="s">
        <v>2669</v>
      </c>
      <c r="C44" s="101" t="s">
        <v>1623</v>
      </c>
      <c r="D44" s="101" t="s">
        <v>2639</v>
      </c>
      <c r="E44" s="101"/>
      <c r="F44" s="101"/>
      <c r="G44" s="155" t="s">
        <v>2670</v>
      </c>
      <c r="H44" s="101">
        <v>7</v>
      </c>
      <c r="I44" s="101">
        <v>9</v>
      </c>
      <c r="J44" s="101">
        <v>40</v>
      </c>
      <c r="K44" s="101">
        <v>45</v>
      </c>
      <c r="L44" s="136">
        <v>6</v>
      </c>
      <c r="M44" s="136">
        <v>4</v>
      </c>
      <c r="N44" s="136">
        <v>5</v>
      </c>
      <c r="O44" s="136">
        <v>5</v>
      </c>
      <c r="P44" s="218">
        <f t="shared" si="0"/>
        <v>121</v>
      </c>
    </row>
    <row r="45" spans="1:16" x14ac:dyDescent="0.35">
      <c r="A45" s="338"/>
      <c r="B45" s="341"/>
      <c r="C45" s="101" t="s">
        <v>1623</v>
      </c>
      <c r="D45" s="101" t="s">
        <v>2639</v>
      </c>
      <c r="E45" s="101"/>
      <c r="F45" s="101"/>
      <c r="G45" s="155" t="s">
        <v>2671</v>
      </c>
      <c r="H45" s="101">
        <v>8</v>
      </c>
      <c r="I45" s="101">
        <v>7</v>
      </c>
      <c r="J45" s="101">
        <v>19</v>
      </c>
      <c r="K45" s="101">
        <v>25</v>
      </c>
      <c r="L45" s="136">
        <v>4</v>
      </c>
      <c r="M45" s="136">
        <v>5</v>
      </c>
      <c r="N45" s="136">
        <v>5</v>
      </c>
      <c r="O45" s="136">
        <v>6</v>
      </c>
      <c r="P45" s="218">
        <f t="shared" si="0"/>
        <v>79</v>
      </c>
    </row>
    <row r="46" spans="1:16" x14ac:dyDescent="0.35">
      <c r="A46" s="338"/>
      <c r="B46" s="341"/>
      <c r="C46" s="101" t="s">
        <v>1623</v>
      </c>
      <c r="D46" s="101" t="s">
        <v>2639</v>
      </c>
      <c r="E46" s="101"/>
      <c r="F46" s="101"/>
      <c r="G46" s="155" t="s">
        <v>2672</v>
      </c>
      <c r="H46" s="101">
        <v>27</v>
      </c>
      <c r="I46" s="101">
        <v>23</v>
      </c>
      <c r="J46" s="101">
        <v>19</v>
      </c>
      <c r="K46" s="101">
        <v>20</v>
      </c>
      <c r="L46" s="136">
        <v>18</v>
      </c>
      <c r="M46" s="136">
        <v>15</v>
      </c>
      <c r="N46" s="136">
        <v>10</v>
      </c>
      <c r="O46" s="136">
        <v>15</v>
      </c>
      <c r="P46" s="218">
        <f t="shared" si="0"/>
        <v>147</v>
      </c>
    </row>
    <row r="47" spans="1:16" x14ac:dyDescent="0.35">
      <c r="A47" s="338"/>
      <c r="B47" s="341"/>
      <c r="C47" s="101" t="s">
        <v>1623</v>
      </c>
      <c r="D47" s="101" t="s">
        <v>2639</v>
      </c>
      <c r="E47" s="101"/>
      <c r="F47" s="101"/>
      <c r="G47" s="155" t="s">
        <v>2673</v>
      </c>
      <c r="H47" s="101">
        <v>6</v>
      </c>
      <c r="I47" s="101">
        <v>7</v>
      </c>
      <c r="J47" s="101">
        <v>17</v>
      </c>
      <c r="K47" s="101">
        <v>21</v>
      </c>
      <c r="L47" s="136">
        <v>10</v>
      </c>
      <c r="M47" s="136">
        <v>9</v>
      </c>
      <c r="N47" s="136">
        <v>6</v>
      </c>
      <c r="O47" s="136">
        <v>8</v>
      </c>
      <c r="P47" s="218">
        <f t="shared" si="0"/>
        <v>84</v>
      </c>
    </row>
    <row r="48" spans="1:16" x14ac:dyDescent="0.35">
      <c r="A48" s="338"/>
      <c r="B48" s="341"/>
      <c r="C48" s="101" t="s">
        <v>1623</v>
      </c>
      <c r="D48" s="101" t="s">
        <v>2639</v>
      </c>
      <c r="E48" s="101"/>
      <c r="F48" s="101"/>
      <c r="G48" s="155" t="s">
        <v>2661</v>
      </c>
      <c r="H48" s="101">
        <v>23</v>
      </c>
      <c r="I48" s="101">
        <v>27</v>
      </c>
      <c r="J48" s="101">
        <v>11</v>
      </c>
      <c r="K48" s="101">
        <v>13</v>
      </c>
      <c r="L48" s="136">
        <v>18</v>
      </c>
      <c r="M48" s="136">
        <v>20</v>
      </c>
      <c r="N48" s="136">
        <v>11</v>
      </c>
      <c r="O48" s="136">
        <v>9</v>
      </c>
      <c r="P48" s="218">
        <f t="shared" si="0"/>
        <v>132</v>
      </c>
    </row>
    <row r="49" spans="1:16" x14ac:dyDescent="0.35">
      <c r="A49" s="338"/>
      <c r="B49" s="341"/>
      <c r="C49" s="101" t="s">
        <v>1623</v>
      </c>
      <c r="D49" s="101" t="s">
        <v>2639</v>
      </c>
      <c r="E49" s="101"/>
      <c r="F49" s="101"/>
      <c r="G49" s="155" t="s">
        <v>1962</v>
      </c>
      <c r="H49" s="101">
        <v>17</v>
      </c>
      <c r="I49" s="101">
        <v>18</v>
      </c>
      <c r="J49" s="101">
        <v>12</v>
      </c>
      <c r="K49" s="101">
        <v>15</v>
      </c>
      <c r="L49" s="136">
        <v>29</v>
      </c>
      <c r="M49" s="136">
        <v>24</v>
      </c>
      <c r="N49" s="136">
        <v>20</v>
      </c>
      <c r="O49" s="136">
        <v>15</v>
      </c>
      <c r="P49" s="218">
        <f t="shared" si="0"/>
        <v>150</v>
      </c>
    </row>
    <row r="50" spans="1:16" x14ac:dyDescent="0.35">
      <c r="A50" s="338"/>
      <c r="B50" s="341"/>
      <c r="C50" s="101" t="s">
        <v>1623</v>
      </c>
      <c r="D50" s="101" t="s">
        <v>2639</v>
      </c>
      <c r="E50" s="101"/>
      <c r="F50" s="101"/>
      <c r="G50" s="155" t="s">
        <v>2674</v>
      </c>
      <c r="H50" s="101">
        <v>3</v>
      </c>
      <c r="I50" s="101">
        <v>4</v>
      </c>
      <c r="J50" s="101">
        <v>1</v>
      </c>
      <c r="K50" s="101">
        <v>4</v>
      </c>
      <c r="L50" s="136">
        <v>5</v>
      </c>
      <c r="M50" s="136">
        <v>7</v>
      </c>
      <c r="N50" s="136">
        <v>11</v>
      </c>
      <c r="O50" s="136">
        <v>7</v>
      </c>
      <c r="P50" s="218">
        <f t="shared" si="0"/>
        <v>42</v>
      </c>
    </row>
    <row r="51" spans="1:16" x14ac:dyDescent="0.35">
      <c r="A51" s="338"/>
      <c r="B51" s="341"/>
      <c r="C51" s="101" t="s">
        <v>1623</v>
      </c>
      <c r="D51" s="101" t="s">
        <v>2639</v>
      </c>
      <c r="E51" s="101"/>
      <c r="F51" s="101"/>
      <c r="G51" s="155" t="s">
        <v>2675</v>
      </c>
      <c r="H51" s="101">
        <v>6</v>
      </c>
      <c r="I51" s="101">
        <v>7</v>
      </c>
      <c r="J51" s="101">
        <v>7</v>
      </c>
      <c r="K51" s="101">
        <v>8</v>
      </c>
      <c r="L51" s="136">
        <v>8</v>
      </c>
      <c r="M51" s="136">
        <v>7</v>
      </c>
      <c r="N51" s="136">
        <v>6</v>
      </c>
      <c r="O51" s="136">
        <v>4</v>
      </c>
      <c r="P51" s="218">
        <f t="shared" si="0"/>
        <v>53</v>
      </c>
    </row>
    <row r="52" spans="1:16" x14ac:dyDescent="0.35">
      <c r="A52" s="338"/>
      <c r="B52" s="341"/>
      <c r="C52" s="101" t="s">
        <v>1623</v>
      </c>
      <c r="D52" s="101" t="s">
        <v>2639</v>
      </c>
      <c r="E52" s="101"/>
      <c r="F52" s="101"/>
      <c r="G52" s="155" t="s">
        <v>2155</v>
      </c>
      <c r="H52" s="101">
        <v>6</v>
      </c>
      <c r="I52" s="101">
        <v>8</v>
      </c>
      <c r="J52" s="101">
        <v>13</v>
      </c>
      <c r="K52" s="101">
        <v>13</v>
      </c>
      <c r="L52" s="136">
        <v>3</v>
      </c>
      <c r="M52" s="136">
        <v>4</v>
      </c>
      <c r="N52" s="136">
        <v>2</v>
      </c>
      <c r="O52" s="136">
        <v>4</v>
      </c>
      <c r="P52" s="218">
        <f t="shared" si="0"/>
        <v>53</v>
      </c>
    </row>
    <row r="53" spans="1:16" x14ac:dyDescent="0.35">
      <c r="A53" s="338"/>
      <c r="B53" s="341"/>
      <c r="C53" s="101" t="s">
        <v>1623</v>
      </c>
      <c r="D53" s="101" t="s">
        <v>2639</v>
      </c>
      <c r="E53" s="101"/>
      <c r="F53" s="101"/>
      <c r="G53" s="155" t="s">
        <v>2676</v>
      </c>
      <c r="H53" s="101">
        <v>4</v>
      </c>
      <c r="I53" s="101">
        <v>6</v>
      </c>
      <c r="J53" s="101">
        <v>4</v>
      </c>
      <c r="K53" s="101">
        <v>5</v>
      </c>
      <c r="L53" s="136">
        <v>4</v>
      </c>
      <c r="M53" s="136">
        <v>2</v>
      </c>
      <c r="N53" s="136">
        <v>2</v>
      </c>
      <c r="O53" s="136">
        <v>3</v>
      </c>
      <c r="P53" s="218">
        <f t="shared" si="0"/>
        <v>30</v>
      </c>
    </row>
    <row r="54" spans="1:16" x14ac:dyDescent="0.35">
      <c r="A54" s="355"/>
      <c r="B54" s="341"/>
      <c r="C54" s="101" t="s">
        <v>1623</v>
      </c>
      <c r="D54" s="101" t="s">
        <v>2639</v>
      </c>
      <c r="E54" s="101"/>
      <c r="F54" s="101"/>
      <c r="G54" s="155" t="s">
        <v>2677</v>
      </c>
      <c r="H54" s="101">
        <v>9</v>
      </c>
      <c r="I54" s="101">
        <v>7</v>
      </c>
      <c r="J54" s="101">
        <v>11</v>
      </c>
      <c r="K54" s="101">
        <v>10</v>
      </c>
      <c r="L54" s="136">
        <v>9</v>
      </c>
      <c r="M54" s="136">
        <v>8</v>
      </c>
      <c r="N54" s="136">
        <v>6</v>
      </c>
      <c r="O54" s="136">
        <v>8</v>
      </c>
      <c r="P54" s="218">
        <f t="shared" si="0"/>
        <v>68</v>
      </c>
    </row>
    <row r="55" spans="1:16" x14ac:dyDescent="0.35">
      <c r="A55" s="355"/>
      <c r="B55" s="341"/>
      <c r="C55" s="101" t="s">
        <v>1623</v>
      </c>
      <c r="D55" s="101" t="s">
        <v>2639</v>
      </c>
      <c r="E55" s="101"/>
      <c r="F55" s="101"/>
      <c r="G55" s="155" t="s">
        <v>2678</v>
      </c>
      <c r="H55" s="101">
        <v>3</v>
      </c>
      <c r="I55" s="101">
        <v>3</v>
      </c>
      <c r="J55" s="101">
        <v>17</v>
      </c>
      <c r="K55" s="101">
        <v>14</v>
      </c>
      <c r="L55" s="136">
        <v>10</v>
      </c>
      <c r="M55" s="136">
        <v>11</v>
      </c>
      <c r="N55" s="136">
        <v>6</v>
      </c>
      <c r="O55" s="136">
        <v>8</v>
      </c>
      <c r="P55" s="218">
        <f t="shared" si="0"/>
        <v>72</v>
      </c>
    </row>
    <row r="56" spans="1:16" x14ac:dyDescent="0.35">
      <c r="A56" s="355"/>
      <c r="B56" s="341"/>
      <c r="C56" s="101" t="s">
        <v>1623</v>
      </c>
      <c r="D56" s="101" t="s">
        <v>2639</v>
      </c>
      <c r="E56" s="101"/>
      <c r="F56" s="101"/>
      <c r="G56" s="155" t="s">
        <v>2679</v>
      </c>
      <c r="H56" s="101">
        <v>8</v>
      </c>
      <c r="I56" s="101">
        <v>7</v>
      </c>
      <c r="J56" s="101">
        <v>32</v>
      </c>
      <c r="K56" s="101">
        <v>29</v>
      </c>
      <c r="L56" s="136">
        <v>36</v>
      </c>
      <c r="M56" s="136">
        <v>32</v>
      </c>
      <c r="N56" s="136">
        <v>18</v>
      </c>
      <c r="O56" s="136">
        <v>15</v>
      </c>
      <c r="P56" s="218">
        <f t="shared" si="0"/>
        <v>177</v>
      </c>
    </row>
    <row r="57" spans="1:16" x14ac:dyDescent="0.35">
      <c r="A57" s="355"/>
      <c r="B57" s="341"/>
      <c r="C57" s="101" t="s">
        <v>1623</v>
      </c>
      <c r="D57" s="101" t="s">
        <v>2639</v>
      </c>
      <c r="E57" s="101"/>
      <c r="F57" s="101"/>
      <c r="G57" s="155" t="s">
        <v>516</v>
      </c>
      <c r="H57" s="101">
        <v>12</v>
      </c>
      <c r="I57" s="101">
        <v>13</v>
      </c>
      <c r="J57" s="101">
        <v>29</v>
      </c>
      <c r="K57" s="101">
        <v>21</v>
      </c>
      <c r="L57" s="136">
        <v>19</v>
      </c>
      <c r="M57" s="136">
        <v>21</v>
      </c>
      <c r="N57" s="136">
        <v>28</v>
      </c>
      <c r="O57" s="136">
        <v>27</v>
      </c>
      <c r="P57" s="218">
        <f t="shared" si="0"/>
        <v>170</v>
      </c>
    </row>
    <row r="58" spans="1:16" x14ac:dyDescent="0.35">
      <c r="A58" s="355"/>
      <c r="B58" s="341"/>
      <c r="C58" s="101" t="s">
        <v>1623</v>
      </c>
      <c r="D58" s="101" t="s">
        <v>2639</v>
      </c>
      <c r="E58" s="101"/>
      <c r="F58" s="101"/>
      <c r="G58" s="155" t="s">
        <v>2680</v>
      </c>
      <c r="H58" s="101">
        <v>7</v>
      </c>
      <c r="I58" s="101">
        <v>9</v>
      </c>
      <c r="J58" s="101">
        <v>22</v>
      </c>
      <c r="K58" s="101">
        <v>18</v>
      </c>
      <c r="L58" s="136">
        <v>7</v>
      </c>
      <c r="M58" s="136">
        <v>3</v>
      </c>
      <c r="N58" s="136">
        <v>4</v>
      </c>
      <c r="O58" s="136">
        <v>5</v>
      </c>
      <c r="P58" s="218">
        <f t="shared" si="0"/>
        <v>75</v>
      </c>
    </row>
    <row r="59" spans="1:16" x14ac:dyDescent="0.35">
      <c r="A59" s="355"/>
      <c r="B59" s="341"/>
      <c r="C59" s="149"/>
      <c r="D59" s="149"/>
      <c r="E59" s="149"/>
      <c r="F59" s="149"/>
      <c r="G59" s="156" t="s">
        <v>2</v>
      </c>
      <c r="H59" s="151">
        <f>SUM(H44:H58)</f>
        <v>146</v>
      </c>
      <c r="I59" s="151">
        <f t="shared" ref="I59:O59" si="3">SUM(I44:I58)</f>
        <v>155</v>
      </c>
      <c r="J59" s="152">
        <f t="shared" si="3"/>
        <v>254</v>
      </c>
      <c r="K59" s="152">
        <f t="shared" si="3"/>
        <v>261</v>
      </c>
      <c r="L59" s="153">
        <f t="shared" si="3"/>
        <v>186</v>
      </c>
      <c r="M59" s="153">
        <f t="shared" si="3"/>
        <v>172</v>
      </c>
      <c r="N59" s="154">
        <f t="shared" si="3"/>
        <v>140</v>
      </c>
      <c r="O59" s="154">
        <f t="shared" si="3"/>
        <v>139</v>
      </c>
      <c r="P59" s="217">
        <f t="shared" si="0"/>
        <v>1453</v>
      </c>
    </row>
    <row r="60" spans="1:16" x14ac:dyDescent="0.35">
      <c r="A60" s="353">
        <v>4</v>
      </c>
      <c r="B60" s="329" t="s">
        <v>2681</v>
      </c>
      <c r="C60" s="101" t="s">
        <v>1623</v>
      </c>
      <c r="D60" s="101" t="s">
        <v>2639</v>
      </c>
      <c r="E60" s="101"/>
      <c r="F60" s="101"/>
      <c r="G60" s="155" t="s">
        <v>2682</v>
      </c>
      <c r="H60" s="101">
        <v>5</v>
      </c>
      <c r="I60" s="101">
        <v>7</v>
      </c>
      <c r="J60" s="101">
        <v>17</v>
      </c>
      <c r="K60" s="101">
        <v>20</v>
      </c>
      <c r="L60" s="136">
        <v>1</v>
      </c>
      <c r="M60" s="136">
        <v>3</v>
      </c>
      <c r="N60" s="136">
        <v>8</v>
      </c>
      <c r="O60" s="136">
        <v>7</v>
      </c>
      <c r="P60" s="218">
        <f t="shared" si="0"/>
        <v>68</v>
      </c>
    </row>
    <row r="61" spans="1:16" x14ac:dyDescent="0.35">
      <c r="A61" s="314"/>
      <c r="B61" s="330"/>
      <c r="C61" s="101" t="s">
        <v>1623</v>
      </c>
      <c r="D61" s="101" t="s">
        <v>2639</v>
      </c>
      <c r="E61" s="101"/>
      <c r="F61" s="101"/>
      <c r="G61" s="155" t="s">
        <v>1990</v>
      </c>
      <c r="H61" s="101">
        <v>1</v>
      </c>
      <c r="I61" s="101">
        <v>3</v>
      </c>
      <c r="J61" s="101">
        <v>9</v>
      </c>
      <c r="K61" s="101">
        <v>13</v>
      </c>
      <c r="L61" s="136">
        <v>6</v>
      </c>
      <c r="M61" s="136">
        <v>7</v>
      </c>
      <c r="N61" s="136">
        <v>7</v>
      </c>
      <c r="O61" s="136">
        <v>10</v>
      </c>
      <c r="P61" s="218">
        <f t="shared" si="0"/>
        <v>56</v>
      </c>
    </row>
    <row r="62" spans="1:16" x14ac:dyDescent="0.35">
      <c r="A62" s="314"/>
      <c r="B62" s="330"/>
      <c r="C62" s="101" t="s">
        <v>1623</v>
      </c>
      <c r="D62" s="101" t="s">
        <v>2639</v>
      </c>
      <c r="E62" s="101"/>
      <c r="F62" s="101"/>
      <c r="G62" s="155" t="s">
        <v>2164</v>
      </c>
      <c r="H62" s="101">
        <v>3</v>
      </c>
      <c r="I62" s="101">
        <v>3</v>
      </c>
      <c r="J62" s="101">
        <v>12</v>
      </c>
      <c r="K62" s="101">
        <v>16</v>
      </c>
      <c r="L62" s="136">
        <v>9</v>
      </c>
      <c r="M62" s="136">
        <v>8</v>
      </c>
      <c r="N62" s="136">
        <v>9</v>
      </c>
      <c r="O62" s="136">
        <v>11</v>
      </c>
      <c r="P62" s="218">
        <f t="shared" si="0"/>
        <v>71</v>
      </c>
    </row>
    <row r="63" spans="1:16" x14ac:dyDescent="0.35">
      <c r="A63" s="314"/>
      <c r="B63" s="330"/>
      <c r="C63" s="101" t="s">
        <v>1623</v>
      </c>
      <c r="D63" s="101" t="s">
        <v>2639</v>
      </c>
      <c r="E63" s="101"/>
      <c r="F63" s="101"/>
      <c r="G63" s="155" t="s">
        <v>1991</v>
      </c>
      <c r="H63" s="101">
        <v>2</v>
      </c>
      <c r="I63" s="101">
        <v>4</v>
      </c>
      <c r="J63" s="101">
        <v>13</v>
      </c>
      <c r="K63" s="101">
        <v>15</v>
      </c>
      <c r="L63" s="136">
        <v>9</v>
      </c>
      <c r="M63" s="136">
        <v>7</v>
      </c>
      <c r="N63" s="136">
        <v>9</v>
      </c>
      <c r="O63" s="136">
        <v>9</v>
      </c>
      <c r="P63" s="218">
        <f t="shared" si="0"/>
        <v>68</v>
      </c>
    </row>
    <row r="64" spans="1:16" x14ac:dyDescent="0.35">
      <c r="A64" s="314"/>
      <c r="B64" s="330"/>
      <c r="C64" s="101" t="s">
        <v>1623</v>
      </c>
      <c r="D64" s="101" t="s">
        <v>2639</v>
      </c>
      <c r="E64" s="101"/>
      <c r="F64" s="101"/>
      <c r="G64" s="155" t="s">
        <v>2683</v>
      </c>
      <c r="H64" s="101">
        <v>3</v>
      </c>
      <c r="I64" s="101">
        <v>1</v>
      </c>
      <c r="J64" s="101">
        <v>6</v>
      </c>
      <c r="K64" s="101">
        <v>5</v>
      </c>
      <c r="L64" s="136">
        <v>12</v>
      </c>
      <c r="M64" s="136">
        <v>11</v>
      </c>
      <c r="N64" s="136">
        <v>8</v>
      </c>
      <c r="O64" s="136">
        <v>9</v>
      </c>
      <c r="P64" s="218">
        <f t="shared" si="0"/>
        <v>55</v>
      </c>
    </row>
    <row r="65" spans="1:16" x14ac:dyDescent="0.35">
      <c r="A65" s="314"/>
      <c r="B65" s="330"/>
      <c r="C65" s="101" t="s">
        <v>1623</v>
      </c>
      <c r="D65" s="101" t="s">
        <v>2639</v>
      </c>
      <c r="E65" s="101"/>
      <c r="F65" s="101"/>
      <c r="G65" s="155" t="s">
        <v>286</v>
      </c>
      <c r="H65" s="101">
        <v>4</v>
      </c>
      <c r="I65" s="101">
        <v>3</v>
      </c>
      <c r="J65" s="101">
        <v>6</v>
      </c>
      <c r="K65" s="101">
        <v>4</v>
      </c>
      <c r="L65" s="136">
        <v>12</v>
      </c>
      <c r="M65" s="136">
        <v>15</v>
      </c>
      <c r="N65" s="136">
        <v>10</v>
      </c>
      <c r="O65" s="136">
        <v>8</v>
      </c>
      <c r="P65" s="218">
        <f t="shared" si="0"/>
        <v>62</v>
      </c>
    </row>
    <row r="66" spans="1:16" x14ac:dyDescent="0.35">
      <c r="A66" s="314"/>
      <c r="B66" s="330"/>
      <c r="C66" s="101" t="s">
        <v>1623</v>
      </c>
      <c r="D66" s="101" t="s">
        <v>2639</v>
      </c>
      <c r="E66" s="101"/>
      <c r="F66" s="101"/>
      <c r="G66" s="155" t="s">
        <v>2684</v>
      </c>
      <c r="H66" s="101">
        <v>4</v>
      </c>
      <c r="I66" s="101">
        <v>5</v>
      </c>
      <c r="J66" s="101">
        <v>21</v>
      </c>
      <c r="K66" s="101">
        <v>19</v>
      </c>
      <c r="L66" s="136">
        <v>12</v>
      </c>
      <c r="M66" s="136">
        <v>14</v>
      </c>
      <c r="N66" s="136">
        <v>4</v>
      </c>
      <c r="O66" s="136">
        <v>6</v>
      </c>
      <c r="P66" s="218">
        <f t="shared" si="0"/>
        <v>85</v>
      </c>
    </row>
    <row r="67" spans="1:16" x14ac:dyDescent="0.35">
      <c r="A67" s="314"/>
      <c r="B67" s="330"/>
      <c r="C67" s="101" t="s">
        <v>1623</v>
      </c>
      <c r="D67" s="101" t="s">
        <v>2639</v>
      </c>
      <c r="E67" s="101"/>
      <c r="F67" s="101"/>
      <c r="G67" s="155" t="s">
        <v>2685</v>
      </c>
      <c r="H67" s="101">
        <v>3</v>
      </c>
      <c r="I67" s="101">
        <v>4</v>
      </c>
      <c r="J67" s="101">
        <v>9</v>
      </c>
      <c r="K67" s="101">
        <v>8</v>
      </c>
      <c r="L67" s="136">
        <v>13</v>
      </c>
      <c r="M67" s="136">
        <v>14</v>
      </c>
      <c r="N67" s="136">
        <v>9</v>
      </c>
      <c r="O67" s="136">
        <v>13</v>
      </c>
      <c r="P67" s="218">
        <f t="shared" si="0"/>
        <v>73</v>
      </c>
    </row>
    <row r="68" spans="1:16" x14ac:dyDescent="0.35">
      <c r="A68" s="314"/>
      <c r="B68" s="330"/>
      <c r="C68" s="101" t="s">
        <v>1623</v>
      </c>
      <c r="D68" s="101" t="s">
        <v>2639</v>
      </c>
      <c r="E68" s="101"/>
      <c r="F68" s="101"/>
      <c r="G68" s="155" t="s">
        <v>2686</v>
      </c>
      <c r="H68" s="101">
        <v>2</v>
      </c>
      <c r="I68" s="101">
        <v>4</v>
      </c>
      <c r="J68" s="101">
        <v>18</v>
      </c>
      <c r="K68" s="101">
        <v>14</v>
      </c>
      <c r="L68" s="136">
        <v>3</v>
      </c>
      <c r="M68" s="136">
        <v>1</v>
      </c>
      <c r="N68" s="136">
        <v>7</v>
      </c>
      <c r="O68" s="136">
        <v>5</v>
      </c>
      <c r="P68" s="218">
        <f t="shared" si="0"/>
        <v>54</v>
      </c>
    </row>
    <row r="69" spans="1:16" x14ac:dyDescent="0.35">
      <c r="A69" s="314"/>
      <c r="B69" s="330"/>
      <c r="C69" s="101" t="s">
        <v>1623</v>
      </c>
      <c r="D69" s="101" t="s">
        <v>2639</v>
      </c>
      <c r="E69" s="101"/>
      <c r="F69" s="101"/>
      <c r="G69" s="155" t="s">
        <v>2687</v>
      </c>
      <c r="H69" s="101">
        <v>4</v>
      </c>
      <c r="I69" s="101">
        <v>6</v>
      </c>
      <c r="J69" s="101">
        <v>22</v>
      </c>
      <c r="K69" s="101">
        <v>20</v>
      </c>
      <c r="L69" s="136">
        <v>21</v>
      </c>
      <c r="M69" s="136">
        <v>15</v>
      </c>
      <c r="N69" s="136">
        <v>6</v>
      </c>
      <c r="O69" s="136">
        <v>7</v>
      </c>
      <c r="P69" s="218">
        <f t="shared" si="0"/>
        <v>101</v>
      </c>
    </row>
    <row r="70" spans="1:16" x14ac:dyDescent="0.35">
      <c r="A70" s="314"/>
      <c r="B70" s="330"/>
      <c r="C70" s="101" t="s">
        <v>1623</v>
      </c>
      <c r="D70" s="101" t="s">
        <v>2639</v>
      </c>
      <c r="E70" s="101"/>
      <c r="F70" s="101"/>
      <c r="G70" s="155" t="s">
        <v>2572</v>
      </c>
      <c r="H70" s="101">
        <v>3</v>
      </c>
      <c r="I70" s="101">
        <v>2</v>
      </c>
      <c r="J70" s="101">
        <v>21</v>
      </c>
      <c r="K70" s="101">
        <v>21</v>
      </c>
      <c r="L70" s="136">
        <v>7</v>
      </c>
      <c r="M70" s="136">
        <v>5</v>
      </c>
      <c r="N70" s="136">
        <v>9</v>
      </c>
      <c r="O70" s="136">
        <v>8</v>
      </c>
      <c r="P70" s="218">
        <f t="shared" ref="P70:P133" si="4">H70+I70+J70+K70+L70+M70+N70+O70</f>
        <v>76</v>
      </c>
    </row>
    <row r="71" spans="1:16" x14ac:dyDescent="0.35">
      <c r="A71" s="314"/>
      <c r="B71" s="330"/>
      <c r="C71" s="101" t="s">
        <v>1623</v>
      </c>
      <c r="D71" s="101" t="s">
        <v>2639</v>
      </c>
      <c r="E71" s="101"/>
      <c r="F71" s="101"/>
      <c r="G71" s="155" t="s">
        <v>2688</v>
      </c>
      <c r="H71" s="101">
        <v>2</v>
      </c>
      <c r="I71" s="101">
        <v>3</v>
      </c>
      <c r="J71" s="101">
        <v>9</v>
      </c>
      <c r="K71" s="101">
        <v>13</v>
      </c>
      <c r="L71" s="136">
        <v>4</v>
      </c>
      <c r="M71" s="136">
        <v>4</v>
      </c>
      <c r="N71" s="136">
        <v>7</v>
      </c>
      <c r="O71" s="136">
        <v>9</v>
      </c>
      <c r="P71" s="218">
        <f t="shared" si="4"/>
        <v>51</v>
      </c>
    </row>
    <row r="72" spans="1:16" x14ac:dyDescent="0.35">
      <c r="A72" s="314"/>
      <c r="B72" s="330"/>
      <c r="C72" s="101" t="s">
        <v>1623</v>
      </c>
      <c r="D72" s="101" t="s">
        <v>2639</v>
      </c>
      <c r="E72" s="101"/>
      <c r="F72" s="101"/>
      <c r="G72" s="155" t="s">
        <v>2689</v>
      </c>
      <c r="H72" s="101">
        <v>3</v>
      </c>
      <c r="I72" s="101">
        <v>1</v>
      </c>
      <c r="J72" s="101">
        <v>23</v>
      </c>
      <c r="K72" s="101">
        <v>21</v>
      </c>
      <c r="L72" s="136">
        <v>6</v>
      </c>
      <c r="M72" s="136">
        <v>3</v>
      </c>
      <c r="N72" s="136">
        <v>5</v>
      </c>
      <c r="O72" s="136">
        <v>3</v>
      </c>
      <c r="P72" s="218">
        <f t="shared" si="4"/>
        <v>65</v>
      </c>
    </row>
    <row r="73" spans="1:16" x14ac:dyDescent="0.35">
      <c r="A73" s="314"/>
      <c r="B73" s="330"/>
      <c r="C73" s="149"/>
      <c r="D73" s="149"/>
      <c r="E73" s="149"/>
      <c r="F73" s="149"/>
      <c r="G73" s="156" t="s">
        <v>2</v>
      </c>
      <c r="H73" s="151">
        <f>SUM(H60:H72)</f>
        <v>39</v>
      </c>
      <c r="I73" s="151">
        <f t="shared" ref="I73:O73" si="5">SUM(I60:I72)</f>
        <v>46</v>
      </c>
      <c r="J73" s="152">
        <f t="shared" si="5"/>
        <v>186</v>
      </c>
      <c r="K73" s="152">
        <f t="shared" si="5"/>
        <v>189</v>
      </c>
      <c r="L73" s="153">
        <f t="shared" si="5"/>
        <v>115</v>
      </c>
      <c r="M73" s="153">
        <f t="shared" si="5"/>
        <v>107</v>
      </c>
      <c r="N73" s="154">
        <f t="shared" si="5"/>
        <v>98</v>
      </c>
      <c r="O73" s="154">
        <f t="shared" si="5"/>
        <v>105</v>
      </c>
      <c r="P73" s="217">
        <f t="shared" si="4"/>
        <v>885</v>
      </c>
    </row>
    <row r="74" spans="1:16" x14ac:dyDescent="0.35">
      <c r="A74" s="354">
        <v>5</v>
      </c>
      <c r="B74" s="329" t="s">
        <v>2690</v>
      </c>
      <c r="C74" s="101" t="s">
        <v>1623</v>
      </c>
      <c r="D74" s="101" t="s">
        <v>2639</v>
      </c>
      <c r="E74" s="101"/>
      <c r="F74" s="101"/>
      <c r="G74" s="157" t="s">
        <v>2691</v>
      </c>
      <c r="H74" s="101">
        <v>2</v>
      </c>
      <c r="I74" s="101">
        <v>3</v>
      </c>
      <c r="J74" s="101">
        <v>13</v>
      </c>
      <c r="K74" s="101">
        <v>13</v>
      </c>
      <c r="L74" s="136">
        <v>5</v>
      </c>
      <c r="M74" s="136">
        <v>5</v>
      </c>
      <c r="N74" s="136">
        <v>10</v>
      </c>
      <c r="O74" s="136">
        <v>13</v>
      </c>
      <c r="P74" s="218">
        <f t="shared" si="4"/>
        <v>64</v>
      </c>
    </row>
    <row r="75" spans="1:16" x14ac:dyDescent="0.35">
      <c r="A75" s="354"/>
      <c r="B75" s="330"/>
      <c r="C75" s="101" t="s">
        <v>1623</v>
      </c>
      <c r="D75" s="101" t="s">
        <v>2639</v>
      </c>
      <c r="E75" s="101"/>
      <c r="F75" s="101"/>
      <c r="G75" s="157" t="s">
        <v>1976</v>
      </c>
      <c r="H75" s="101">
        <v>1</v>
      </c>
      <c r="I75" s="101">
        <v>1</v>
      </c>
      <c r="J75" s="101">
        <v>22</v>
      </c>
      <c r="K75" s="101">
        <v>15</v>
      </c>
      <c r="L75" s="136">
        <v>6</v>
      </c>
      <c r="M75" s="136">
        <v>4</v>
      </c>
      <c r="N75" s="136">
        <v>8</v>
      </c>
      <c r="O75" s="136">
        <v>7</v>
      </c>
      <c r="P75" s="218">
        <f t="shared" si="4"/>
        <v>64</v>
      </c>
    </row>
    <row r="76" spans="1:16" x14ac:dyDescent="0.35">
      <c r="A76" s="354"/>
      <c r="B76" s="330"/>
      <c r="C76" s="101" t="s">
        <v>1623</v>
      </c>
      <c r="D76" s="101" t="s">
        <v>2639</v>
      </c>
      <c r="E76" s="101"/>
      <c r="F76" s="101"/>
      <c r="G76" s="157" t="s">
        <v>2692</v>
      </c>
      <c r="H76" s="101">
        <v>4</v>
      </c>
      <c r="I76" s="101">
        <v>6</v>
      </c>
      <c r="J76" s="101">
        <v>9</v>
      </c>
      <c r="K76" s="101">
        <v>7</v>
      </c>
      <c r="L76" s="136">
        <v>2</v>
      </c>
      <c r="M76" s="136">
        <v>4</v>
      </c>
      <c r="N76" s="136">
        <v>6</v>
      </c>
      <c r="O76" s="136">
        <v>5</v>
      </c>
      <c r="P76" s="218">
        <f t="shared" si="4"/>
        <v>43</v>
      </c>
    </row>
    <row r="77" spans="1:16" x14ac:dyDescent="0.35">
      <c r="A77" s="354"/>
      <c r="B77" s="330"/>
      <c r="C77" s="101" t="s">
        <v>1623</v>
      </c>
      <c r="D77" s="101" t="s">
        <v>2639</v>
      </c>
      <c r="E77" s="101"/>
      <c r="F77" s="101"/>
      <c r="G77" s="157" t="s">
        <v>2052</v>
      </c>
      <c r="H77" s="101">
        <v>2</v>
      </c>
      <c r="I77" s="101">
        <v>0</v>
      </c>
      <c r="J77" s="101">
        <v>21</v>
      </c>
      <c r="K77" s="101">
        <v>16</v>
      </c>
      <c r="L77" s="136">
        <v>4</v>
      </c>
      <c r="M77" s="136">
        <v>6</v>
      </c>
      <c r="N77" s="136">
        <v>7</v>
      </c>
      <c r="O77" s="136">
        <v>8</v>
      </c>
      <c r="P77" s="218">
        <f t="shared" si="4"/>
        <v>64</v>
      </c>
    </row>
    <row r="78" spans="1:16" x14ac:dyDescent="0.35">
      <c r="A78" s="354"/>
      <c r="B78" s="330"/>
      <c r="C78" s="101" t="s">
        <v>1623</v>
      </c>
      <c r="D78" s="101" t="s">
        <v>2639</v>
      </c>
      <c r="E78" s="101"/>
      <c r="F78" s="101"/>
      <c r="G78" s="157" t="s">
        <v>2693</v>
      </c>
      <c r="H78" s="101">
        <v>3</v>
      </c>
      <c r="I78" s="101">
        <v>5</v>
      </c>
      <c r="J78" s="101">
        <v>11</v>
      </c>
      <c r="K78" s="101">
        <v>13</v>
      </c>
      <c r="L78" s="136">
        <v>2</v>
      </c>
      <c r="M78" s="136">
        <v>3</v>
      </c>
      <c r="N78" s="136">
        <v>5</v>
      </c>
      <c r="O78" s="136">
        <v>4</v>
      </c>
      <c r="P78" s="218">
        <f t="shared" si="4"/>
        <v>46</v>
      </c>
    </row>
    <row r="79" spans="1:16" x14ac:dyDescent="0.35">
      <c r="A79" s="354"/>
      <c r="B79" s="330"/>
      <c r="C79" s="101" t="s">
        <v>1623</v>
      </c>
      <c r="D79" s="101" t="s">
        <v>2639</v>
      </c>
      <c r="E79" s="101"/>
      <c r="F79" s="101"/>
      <c r="G79" s="157" t="s">
        <v>2694</v>
      </c>
      <c r="H79" s="101">
        <v>10</v>
      </c>
      <c r="I79" s="101">
        <v>12</v>
      </c>
      <c r="J79" s="101">
        <v>19</v>
      </c>
      <c r="K79" s="101">
        <v>15</v>
      </c>
      <c r="L79" s="136">
        <v>27</v>
      </c>
      <c r="M79" s="136">
        <v>25</v>
      </c>
      <c r="N79" s="136">
        <v>11</v>
      </c>
      <c r="O79" s="136">
        <v>15</v>
      </c>
      <c r="P79" s="218">
        <f t="shared" si="4"/>
        <v>134</v>
      </c>
    </row>
    <row r="80" spans="1:16" x14ac:dyDescent="0.35">
      <c r="A80" s="354"/>
      <c r="B80" s="330"/>
      <c r="C80" s="101" t="s">
        <v>1623</v>
      </c>
      <c r="D80" s="101" t="s">
        <v>2639</v>
      </c>
      <c r="E80" s="101"/>
      <c r="F80" s="101"/>
      <c r="G80" s="157" t="s">
        <v>2209</v>
      </c>
      <c r="H80" s="101">
        <v>5</v>
      </c>
      <c r="I80" s="101">
        <v>7</v>
      </c>
      <c r="J80" s="101">
        <v>22</v>
      </c>
      <c r="K80" s="101">
        <v>21</v>
      </c>
      <c r="L80" s="136">
        <v>11</v>
      </c>
      <c r="M80" s="136">
        <v>13</v>
      </c>
      <c r="N80" s="136">
        <v>9</v>
      </c>
      <c r="O80" s="136">
        <v>10</v>
      </c>
      <c r="P80" s="218">
        <f t="shared" si="4"/>
        <v>98</v>
      </c>
    </row>
    <row r="81" spans="1:16" x14ac:dyDescent="0.35">
      <c r="A81" s="354"/>
      <c r="B81" s="330"/>
      <c r="C81" s="101" t="s">
        <v>1623</v>
      </c>
      <c r="D81" s="101" t="s">
        <v>2639</v>
      </c>
      <c r="E81" s="101"/>
      <c r="F81" s="101"/>
      <c r="G81" s="157" t="s">
        <v>2463</v>
      </c>
      <c r="H81" s="101">
        <v>1</v>
      </c>
      <c r="I81" s="101">
        <v>0</v>
      </c>
      <c r="J81" s="101">
        <v>10</v>
      </c>
      <c r="K81" s="101">
        <v>7</v>
      </c>
      <c r="L81" s="136">
        <v>2</v>
      </c>
      <c r="M81" s="136">
        <v>1</v>
      </c>
      <c r="N81" s="136">
        <v>3</v>
      </c>
      <c r="O81" s="136">
        <v>1</v>
      </c>
      <c r="P81" s="218">
        <f t="shared" si="4"/>
        <v>25</v>
      </c>
    </row>
    <row r="82" spans="1:16" x14ac:dyDescent="0.35">
      <c r="A82" s="354"/>
      <c r="B82" s="330"/>
      <c r="C82" s="101" t="s">
        <v>1623</v>
      </c>
      <c r="D82" s="101" t="s">
        <v>2639</v>
      </c>
      <c r="E82" s="101"/>
      <c r="F82" s="101"/>
      <c r="G82" s="157" t="s">
        <v>2695</v>
      </c>
      <c r="H82" s="101">
        <v>3</v>
      </c>
      <c r="I82" s="101">
        <v>1</v>
      </c>
      <c r="J82" s="101">
        <v>3</v>
      </c>
      <c r="K82" s="101">
        <v>2</v>
      </c>
      <c r="L82" s="136">
        <v>3</v>
      </c>
      <c r="M82" s="136">
        <v>4</v>
      </c>
      <c r="N82" s="136">
        <v>5</v>
      </c>
      <c r="O82" s="136">
        <v>7</v>
      </c>
      <c r="P82" s="218">
        <f t="shared" si="4"/>
        <v>28</v>
      </c>
    </row>
    <row r="83" spans="1:16" x14ac:dyDescent="0.35">
      <c r="A83" s="354"/>
      <c r="B83" s="330"/>
      <c r="C83" s="101" t="s">
        <v>1623</v>
      </c>
      <c r="D83" s="101" t="s">
        <v>2639</v>
      </c>
      <c r="E83" s="101"/>
      <c r="F83" s="101"/>
      <c r="G83" s="157" t="s">
        <v>2696</v>
      </c>
      <c r="H83" s="101">
        <v>4</v>
      </c>
      <c r="I83" s="101">
        <v>6</v>
      </c>
      <c r="J83" s="101">
        <v>20</v>
      </c>
      <c r="K83" s="101">
        <v>14</v>
      </c>
      <c r="L83" s="136">
        <v>4</v>
      </c>
      <c r="M83" s="136">
        <v>5</v>
      </c>
      <c r="N83" s="136">
        <v>1</v>
      </c>
      <c r="O83" s="136">
        <v>0</v>
      </c>
      <c r="P83" s="218">
        <f t="shared" si="4"/>
        <v>54</v>
      </c>
    </row>
    <row r="84" spans="1:16" x14ac:dyDescent="0.35">
      <c r="A84" s="354"/>
      <c r="B84" s="330"/>
      <c r="C84" s="101" t="s">
        <v>1623</v>
      </c>
      <c r="D84" s="101" t="s">
        <v>2639</v>
      </c>
      <c r="E84" s="101"/>
      <c r="F84" s="101"/>
      <c r="G84" s="157" t="s">
        <v>2697</v>
      </c>
      <c r="H84" s="101">
        <v>3</v>
      </c>
      <c r="I84" s="101">
        <v>2</v>
      </c>
      <c r="J84" s="101">
        <v>10</v>
      </c>
      <c r="K84" s="101">
        <v>15</v>
      </c>
      <c r="L84" s="136">
        <v>4</v>
      </c>
      <c r="M84" s="136">
        <v>6</v>
      </c>
      <c r="N84" s="136">
        <v>6</v>
      </c>
      <c r="O84" s="136">
        <v>5</v>
      </c>
      <c r="P84" s="218">
        <f t="shared" si="4"/>
        <v>51</v>
      </c>
    </row>
    <row r="85" spans="1:16" x14ac:dyDescent="0.35">
      <c r="A85" s="354"/>
      <c r="B85" s="330"/>
      <c r="C85" s="101" t="s">
        <v>1623</v>
      </c>
      <c r="D85" s="101" t="s">
        <v>2639</v>
      </c>
      <c r="E85" s="101"/>
      <c r="F85" s="101"/>
      <c r="G85" s="157" t="s">
        <v>2698</v>
      </c>
      <c r="H85" s="101">
        <v>6</v>
      </c>
      <c r="I85" s="101">
        <v>5</v>
      </c>
      <c r="J85" s="101">
        <v>7</v>
      </c>
      <c r="K85" s="101">
        <v>5</v>
      </c>
      <c r="L85" s="136">
        <v>7</v>
      </c>
      <c r="M85" s="136">
        <v>3</v>
      </c>
      <c r="N85" s="136">
        <v>5</v>
      </c>
      <c r="O85" s="136">
        <v>3</v>
      </c>
      <c r="P85" s="218">
        <f t="shared" si="4"/>
        <v>41</v>
      </c>
    </row>
    <row r="86" spans="1:16" x14ac:dyDescent="0.35">
      <c r="A86" s="354"/>
      <c r="B86" s="330"/>
      <c r="C86" s="101" t="s">
        <v>1623</v>
      </c>
      <c r="D86" s="101" t="s">
        <v>2639</v>
      </c>
      <c r="E86" s="101"/>
      <c r="F86" s="101"/>
      <c r="G86" s="157" t="s">
        <v>2699</v>
      </c>
      <c r="H86" s="101">
        <v>1</v>
      </c>
      <c r="I86" s="101">
        <v>2</v>
      </c>
      <c r="J86" s="101">
        <v>17</v>
      </c>
      <c r="K86" s="101">
        <v>13</v>
      </c>
      <c r="L86" s="136">
        <v>9</v>
      </c>
      <c r="M86" s="136">
        <v>13</v>
      </c>
      <c r="N86" s="136">
        <v>10</v>
      </c>
      <c r="O86" s="136">
        <v>9</v>
      </c>
      <c r="P86" s="218">
        <f t="shared" si="4"/>
        <v>74</v>
      </c>
    </row>
    <row r="87" spans="1:16" x14ac:dyDescent="0.35">
      <c r="A87" s="354"/>
      <c r="B87" s="330"/>
      <c r="C87" s="101" t="s">
        <v>1623</v>
      </c>
      <c r="D87" s="101" t="s">
        <v>2639</v>
      </c>
      <c r="E87" s="101"/>
      <c r="F87" s="101"/>
      <c r="G87" s="157" t="s">
        <v>2700</v>
      </c>
      <c r="H87" s="101">
        <v>3</v>
      </c>
      <c r="I87" s="101">
        <v>4</v>
      </c>
      <c r="J87" s="101">
        <v>6</v>
      </c>
      <c r="K87" s="101">
        <v>8</v>
      </c>
      <c r="L87" s="136">
        <v>4</v>
      </c>
      <c r="M87" s="136">
        <v>6</v>
      </c>
      <c r="N87" s="136">
        <v>5</v>
      </c>
      <c r="O87" s="136">
        <v>7</v>
      </c>
      <c r="P87" s="218">
        <f t="shared" si="4"/>
        <v>43</v>
      </c>
    </row>
    <row r="88" spans="1:16" x14ac:dyDescent="0.35">
      <c r="A88" s="354"/>
      <c r="B88" s="330"/>
      <c r="C88" s="101" t="s">
        <v>1623</v>
      </c>
      <c r="D88" s="101" t="s">
        <v>2639</v>
      </c>
      <c r="E88" s="101"/>
      <c r="F88" s="101"/>
      <c r="G88" s="157" t="s">
        <v>2701</v>
      </c>
      <c r="H88" s="101">
        <v>2</v>
      </c>
      <c r="I88" s="101">
        <v>4</v>
      </c>
      <c r="J88" s="101">
        <v>9</v>
      </c>
      <c r="K88" s="101">
        <v>11</v>
      </c>
      <c r="L88" s="136">
        <v>4</v>
      </c>
      <c r="M88" s="136">
        <v>2</v>
      </c>
      <c r="N88" s="136">
        <v>4</v>
      </c>
      <c r="O88" s="136">
        <v>6</v>
      </c>
      <c r="P88" s="218">
        <f t="shared" si="4"/>
        <v>42</v>
      </c>
    </row>
    <row r="89" spans="1:16" x14ac:dyDescent="0.35">
      <c r="A89" s="354"/>
      <c r="B89" s="330"/>
      <c r="C89" s="101" t="s">
        <v>1623</v>
      </c>
      <c r="D89" s="101" t="s">
        <v>2639</v>
      </c>
      <c r="E89" s="101"/>
      <c r="F89" s="101"/>
      <c r="G89" s="157" t="s">
        <v>2702</v>
      </c>
      <c r="H89" s="101">
        <v>1</v>
      </c>
      <c r="I89" s="101">
        <v>2</v>
      </c>
      <c r="J89" s="101">
        <v>9</v>
      </c>
      <c r="K89" s="101">
        <v>8</v>
      </c>
      <c r="L89" s="136">
        <v>6</v>
      </c>
      <c r="M89" s="136">
        <v>7</v>
      </c>
      <c r="N89" s="136">
        <v>10</v>
      </c>
      <c r="O89" s="136">
        <v>13</v>
      </c>
      <c r="P89" s="218">
        <f t="shared" si="4"/>
        <v>56</v>
      </c>
    </row>
    <row r="90" spans="1:16" x14ac:dyDescent="0.35">
      <c r="A90" s="354"/>
      <c r="B90" s="330"/>
      <c r="C90" s="101" t="s">
        <v>1623</v>
      </c>
      <c r="D90" s="101" t="s">
        <v>2639</v>
      </c>
      <c r="E90" s="101"/>
      <c r="F90" s="101"/>
      <c r="G90" s="157" t="s">
        <v>2703</v>
      </c>
      <c r="H90" s="101">
        <v>4</v>
      </c>
      <c r="I90" s="101">
        <v>5</v>
      </c>
      <c r="J90" s="101">
        <v>8</v>
      </c>
      <c r="K90" s="101">
        <v>9</v>
      </c>
      <c r="L90" s="136">
        <v>7</v>
      </c>
      <c r="M90" s="136">
        <v>5</v>
      </c>
      <c r="N90" s="136">
        <v>11</v>
      </c>
      <c r="O90" s="136">
        <v>9</v>
      </c>
      <c r="P90" s="218">
        <f t="shared" si="4"/>
        <v>58</v>
      </c>
    </row>
    <row r="91" spans="1:16" x14ac:dyDescent="0.35">
      <c r="A91" s="354"/>
      <c r="B91" s="330"/>
      <c r="C91" s="101" t="s">
        <v>1623</v>
      </c>
      <c r="D91" s="101" t="s">
        <v>2639</v>
      </c>
      <c r="E91" s="101"/>
      <c r="F91" s="101"/>
      <c r="G91" s="157" t="s">
        <v>2704</v>
      </c>
      <c r="H91" s="101">
        <v>1</v>
      </c>
      <c r="I91" s="101">
        <v>2</v>
      </c>
      <c r="J91" s="101">
        <v>6</v>
      </c>
      <c r="K91" s="101">
        <v>5</v>
      </c>
      <c r="L91" s="136">
        <v>3</v>
      </c>
      <c r="M91" s="136">
        <v>5</v>
      </c>
      <c r="N91" s="136">
        <v>5</v>
      </c>
      <c r="O91" s="136">
        <v>5</v>
      </c>
      <c r="P91" s="218">
        <f t="shared" si="4"/>
        <v>32</v>
      </c>
    </row>
    <row r="92" spans="1:16" x14ac:dyDescent="0.35">
      <c r="A92" s="355"/>
      <c r="B92" s="331"/>
      <c r="C92" s="149"/>
      <c r="D92" s="149"/>
      <c r="E92" s="149"/>
      <c r="F92" s="149"/>
      <c r="G92" s="156" t="s">
        <v>2</v>
      </c>
      <c r="H92" s="151">
        <f>SUM(H74:H91)</f>
        <v>56</v>
      </c>
      <c r="I92" s="151">
        <f t="shared" ref="I92:O92" si="6">SUM(I74:I91)</f>
        <v>67</v>
      </c>
      <c r="J92" s="152">
        <f t="shared" si="6"/>
        <v>222</v>
      </c>
      <c r="K92" s="152">
        <f t="shared" si="6"/>
        <v>197</v>
      </c>
      <c r="L92" s="153">
        <f t="shared" si="6"/>
        <v>110</v>
      </c>
      <c r="M92" s="153">
        <f t="shared" si="6"/>
        <v>117</v>
      </c>
      <c r="N92" s="154">
        <f t="shared" si="6"/>
        <v>121</v>
      </c>
      <c r="O92" s="154">
        <f t="shared" si="6"/>
        <v>127</v>
      </c>
      <c r="P92" s="217">
        <f t="shared" si="4"/>
        <v>1017</v>
      </c>
    </row>
    <row r="93" spans="1:16" x14ac:dyDescent="0.35">
      <c r="A93" s="338">
        <v>6</v>
      </c>
      <c r="B93" s="356" t="s">
        <v>2705</v>
      </c>
      <c r="C93" s="101" t="s">
        <v>1623</v>
      </c>
      <c r="D93" s="101" t="s">
        <v>2639</v>
      </c>
      <c r="E93" s="101"/>
      <c r="F93" s="101"/>
      <c r="G93" s="155" t="s">
        <v>2706</v>
      </c>
      <c r="H93" s="101">
        <v>4</v>
      </c>
      <c r="I93" s="101">
        <v>6</v>
      </c>
      <c r="J93" s="101">
        <v>10</v>
      </c>
      <c r="K93" s="101">
        <v>12</v>
      </c>
      <c r="L93" s="136">
        <v>10</v>
      </c>
      <c r="M93" s="136">
        <v>6</v>
      </c>
      <c r="N93" s="136">
        <v>32</v>
      </c>
      <c r="O93" s="136">
        <v>22</v>
      </c>
      <c r="P93" s="218">
        <f t="shared" si="4"/>
        <v>102</v>
      </c>
    </row>
    <row r="94" spans="1:16" x14ac:dyDescent="0.35">
      <c r="A94" s="338"/>
      <c r="B94" s="357"/>
      <c r="C94" s="101" t="s">
        <v>1623</v>
      </c>
      <c r="D94" s="101" t="s">
        <v>2639</v>
      </c>
      <c r="E94" s="101"/>
      <c r="F94" s="101"/>
      <c r="G94" s="155" t="s">
        <v>2707</v>
      </c>
      <c r="H94" s="101">
        <v>2</v>
      </c>
      <c r="I94" s="101">
        <v>3</v>
      </c>
      <c r="J94" s="101">
        <v>17</v>
      </c>
      <c r="K94" s="101">
        <v>16</v>
      </c>
      <c r="L94" s="136">
        <v>9</v>
      </c>
      <c r="M94" s="136">
        <v>11</v>
      </c>
      <c r="N94" s="136">
        <v>3</v>
      </c>
      <c r="O94" s="136">
        <v>9</v>
      </c>
      <c r="P94" s="218">
        <f t="shared" si="4"/>
        <v>70</v>
      </c>
    </row>
    <row r="95" spans="1:16" x14ac:dyDescent="0.35">
      <c r="A95" s="338"/>
      <c r="B95" s="357"/>
      <c r="C95" s="101" t="s">
        <v>1623</v>
      </c>
      <c r="D95" s="101" t="s">
        <v>2639</v>
      </c>
      <c r="E95" s="101"/>
      <c r="F95" s="101"/>
      <c r="G95" s="155" t="s">
        <v>2708</v>
      </c>
      <c r="H95" s="101">
        <v>3</v>
      </c>
      <c r="I95" s="101">
        <v>5</v>
      </c>
      <c r="J95" s="101">
        <v>10</v>
      </c>
      <c r="K95" s="101">
        <v>9</v>
      </c>
      <c r="L95" s="136">
        <v>3</v>
      </c>
      <c r="M95" s="136">
        <v>4</v>
      </c>
      <c r="N95" s="136">
        <v>8</v>
      </c>
      <c r="O95" s="136">
        <v>9</v>
      </c>
      <c r="P95" s="218">
        <f t="shared" si="4"/>
        <v>51</v>
      </c>
    </row>
    <row r="96" spans="1:16" x14ac:dyDescent="0.35">
      <c r="A96" s="338"/>
      <c r="B96" s="357"/>
      <c r="C96" s="101" t="s">
        <v>1623</v>
      </c>
      <c r="D96" s="101" t="s">
        <v>2639</v>
      </c>
      <c r="E96" s="101"/>
      <c r="F96" s="101"/>
      <c r="G96" s="155" t="s">
        <v>2709</v>
      </c>
      <c r="H96" s="101">
        <v>4</v>
      </c>
      <c r="I96" s="101">
        <v>6</v>
      </c>
      <c r="J96" s="101">
        <v>28</v>
      </c>
      <c r="K96" s="101">
        <v>25</v>
      </c>
      <c r="L96" s="136">
        <v>3</v>
      </c>
      <c r="M96" s="136">
        <v>21</v>
      </c>
      <c r="N96" s="136">
        <v>12</v>
      </c>
      <c r="O96" s="136">
        <v>12</v>
      </c>
      <c r="P96" s="218">
        <f t="shared" si="4"/>
        <v>111</v>
      </c>
    </row>
    <row r="97" spans="1:16" x14ac:dyDescent="0.35">
      <c r="A97" s="338"/>
      <c r="B97" s="357"/>
      <c r="C97" s="101" t="s">
        <v>1623</v>
      </c>
      <c r="D97" s="101" t="s">
        <v>2639</v>
      </c>
      <c r="E97" s="101"/>
      <c r="F97" s="101"/>
      <c r="G97" s="155" t="s">
        <v>2710</v>
      </c>
      <c r="H97" s="101">
        <v>3</v>
      </c>
      <c r="I97" s="101">
        <v>1</v>
      </c>
      <c r="J97" s="101">
        <v>31</v>
      </c>
      <c r="K97" s="101">
        <v>26</v>
      </c>
      <c r="L97" s="136">
        <v>8</v>
      </c>
      <c r="M97" s="136">
        <v>7</v>
      </c>
      <c r="N97" s="136">
        <v>10</v>
      </c>
      <c r="O97" s="136">
        <v>15</v>
      </c>
      <c r="P97" s="218">
        <f t="shared" si="4"/>
        <v>101</v>
      </c>
    </row>
    <row r="98" spans="1:16" x14ac:dyDescent="0.35">
      <c r="A98" s="338"/>
      <c r="B98" s="357"/>
      <c r="C98" s="101" t="s">
        <v>1623</v>
      </c>
      <c r="D98" s="101" t="s">
        <v>2639</v>
      </c>
      <c r="E98" s="101"/>
      <c r="F98" s="101"/>
      <c r="G98" s="155" t="s">
        <v>2711</v>
      </c>
      <c r="H98" s="101">
        <v>9</v>
      </c>
      <c r="I98" s="101">
        <v>7</v>
      </c>
      <c r="J98" s="101">
        <v>29</v>
      </c>
      <c r="K98" s="101">
        <v>32</v>
      </c>
      <c r="L98" s="136">
        <v>21</v>
      </c>
      <c r="M98" s="136">
        <v>23</v>
      </c>
      <c r="N98" s="136">
        <v>10</v>
      </c>
      <c r="O98" s="136">
        <v>16</v>
      </c>
      <c r="P98" s="218">
        <f t="shared" si="4"/>
        <v>147</v>
      </c>
    </row>
    <row r="99" spans="1:16" x14ac:dyDescent="0.35">
      <c r="A99" s="338"/>
      <c r="B99" s="357"/>
      <c r="C99" s="101" t="s">
        <v>1623</v>
      </c>
      <c r="D99" s="101" t="s">
        <v>2639</v>
      </c>
      <c r="E99" s="101"/>
      <c r="F99" s="101"/>
      <c r="G99" s="155" t="s">
        <v>2712</v>
      </c>
      <c r="H99" s="101">
        <v>3</v>
      </c>
      <c r="I99" s="101">
        <v>1</v>
      </c>
      <c r="J99" s="101">
        <v>35</v>
      </c>
      <c r="K99" s="101">
        <v>40</v>
      </c>
      <c r="L99" s="136">
        <v>5</v>
      </c>
      <c r="M99" s="136">
        <v>6</v>
      </c>
      <c r="N99" s="136">
        <v>17</v>
      </c>
      <c r="O99" s="136">
        <v>15</v>
      </c>
      <c r="P99" s="218">
        <f t="shared" si="4"/>
        <v>122</v>
      </c>
    </row>
    <row r="100" spans="1:16" x14ac:dyDescent="0.35">
      <c r="A100" s="338"/>
      <c r="B100" s="357"/>
      <c r="C100" s="101" t="s">
        <v>1623</v>
      </c>
      <c r="D100" s="101" t="s">
        <v>2639</v>
      </c>
      <c r="E100" s="101"/>
      <c r="F100" s="101"/>
      <c r="G100" s="155" t="s">
        <v>2713</v>
      </c>
      <c r="H100" s="101">
        <v>4</v>
      </c>
      <c r="I100" s="101">
        <v>2</v>
      </c>
      <c r="J100" s="101">
        <v>10</v>
      </c>
      <c r="K100" s="101">
        <v>14</v>
      </c>
      <c r="L100" s="136">
        <v>11</v>
      </c>
      <c r="M100" s="136">
        <v>10</v>
      </c>
      <c r="N100" s="136">
        <v>8</v>
      </c>
      <c r="O100" s="136">
        <v>10</v>
      </c>
      <c r="P100" s="218">
        <f t="shared" si="4"/>
        <v>69</v>
      </c>
    </row>
    <row r="101" spans="1:16" x14ac:dyDescent="0.35">
      <c r="A101" s="338"/>
      <c r="B101" s="357"/>
      <c r="C101" s="101" t="s">
        <v>1623</v>
      </c>
      <c r="D101" s="101" t="s">
        <v>2639</v>
      </c>
      <c r="E101" s="101"/>
      <c r="F101" s="101"/>
      <c r="G101" s="155" t="s">
        <v>2714</v>
      </c>
      <c r="H101" s="101">
        <v>4</v>
      </c>
      <c r="I101" s="101">
        <v>5</v>
      </c>
      <c r="J101" s="101">
        <v>13</v>
      </c>
      <c r="K101" s="101">
        <v>13</v>
      </c>
      <c r="L101" s="136">
        <v>18</v>
      </c>
      <c r="M101" s="136">
        <v>15</v>
      </c>
      <c r="N101" s="136">
        <v>22</v>
      </c>
      <c r="O101" s="136">
        <v>23</v>
      </c>
      <c r="P101" s="218">
        <f t="shared" si="4"/>
        <v>113</v>
      </c>
    </row>
    <row r="102" spans="1:16" x14ac:dyDescent="0.35">
      <c r="A102" s="338"/>
      <c r="B102" s="357"/>
      <c r="C102" s="101" t="s">
        <v>1623</v>
      </c>
      <c r="D102" s="101" t="s">
        <v>2639</v>
      </c>
      <c r="E102" s="101"/>
      <c r="F102" s="101"/>
      <c r="G102" s="155" t="s">
        <v>2715</v>
      </c>
      <c r="H102" s="101">
        <v>6</v>
      </c>
      <c r="I102" s="101">
        <v>6</v>
      </c>
      <c r="J102" s="101">
        <v>19</v>
      </c>
      <c r="K102" s="101">
        <v>17</v>
      </c>
      <c r="L102" s="136">
        <v>18</v>
      </c>
      <c r="M102" s="136">
        <v>16</v>
      </c>
      <c r="N102" s="136">
        <v>20</v>
      </c>
      <c r="O102" s="136">
        <v>25</v>
      </c>
      <c r="P102" s="218">
        <f t="shared" si="4"/>
        <v>127</v>
      </c>
    </row>
    <row r="103" spans="1:16" x14ac:dyDescent="0.35">
      <c r="A103" s="338"/>
      <c r="B103" s="357"/>
      <c r="C103" s="101" t="s">
        <v>1623</v>
      </c>
      <c r="D103" s="101" t="s">
        <v>2639</v>
      </c>
      <c r="E103" s="101"/>
      <c r="F103" s="101"/>
      <c r="G103" s="155" t="s">
        <v>1962</v>
      </c>
      <c r="H103" s="101">
        <v>3</v>
      </c>
      <c r="I103" s="101">
        <v>5</v>
      </c>
      <c r="J103" s="101">
        <v>50</v>
      </c>
      <c r="K103" s="101">
        <v>62</v>
      </c>
      <c r="L103" s="136">
        <v>13</v>
      </c>
      <c r="M103" s="136">
        <v>11</v>
      </c>
      <c r="N103" s="136">
        <v>3</v>
      </c>
      <c r="O103" s="136">
        <v>5</v>
      </c>
      <c r="P103" s="218">
        <f t="shared" si="4"/>
        <v>152</v>
      </c>
    </row>
    <row r="104" spans="1:16" x14ac:dyDescent="0.35">
      <c r="A104" s="338"/>
      <c r="B104" s="357"/>
      <c r="C104" s="101" t="s">
        <v>1623</v>
      </c>
      <c r="D104" s="101" t="s">
        <v>2639</v>
      </c>
      <c r="E104" s="101"/>
      <c r="F104" s="101"/>
      <c r="G104" s="155" t="s">
        <v>1736</v>
      </c>
      <c r="H104" s="101">
        <v>8</v>
      </c>
      <c r="I104" s="101">
        <v>7</v>
      </c>
      <c r="J104" s="101">
        <v>9</v>
      </c>
      <c r="K104" s="101">
        <v>13</v>
      </c>
      <c r="L104" s="136">
        <v>9</v>
      </c>
      <c r="M104" s="136">
        <v>8</v>
      </c>
      <c r="N104" s="136">
        <v>10</v>
      </c>
      <c r="O104" s="136">
        <v>15</v>
      </c>
      <c r="P104" s="218">
        <f t="shared" si="4"/>
        <v>79</v>
      </c>
    </row>
    <row r="105" spans="1:16" x14ac:dyDescent="0.35">
      <c r="A105" s="338"/>
      <c r="B105" s="357"/>
      <c r="C105" s="101" t="s">
        <v>1623</v>
      </c>
      <c r="D105" s="101" t="s">
        <v>2639</v>
      </c>
      <c r="E105" s="101"/>
      <c r="F105" s="101"/>
      <c r="G105" s="155" t="s">
        <v>2716</v>
      </c>
      <c r="H105" s="101">
        <v>10</v>
      </c>
      <c r="I105" s="101">
        <v>8</v>
      </c>
      <c r="J105" s="101">
        <v>28</v>
      </c>
      <c r="K105" s="101">
        <v>23</v>
      </c>
      <c r="L105" s="136">
        <v>12</v>
      </c>
      <c r="M105" s="136">
        <v>14</v>
      </c>
      <c r="N105" s="136">
        <v>10</v>
      </c>
      <c r="O105" s="136">
        <v>9</v>
      </c>
      <c r="P105" s="218">
        <f t="shared" si="4"/>
        <v>114</v>
      </c>
    </row>
    <row r="106" spans="1:16" x14ac:dyDescent="0.35">
      <c r="A106" s="338"/>
      <c r="B106" s="357"/>
      <c r="C106" s="101" t="s">
        <v>1623</v>
      </c>
      <c r="D106" s="101" t="s">
        <v>2639</v>
      </c>
      <c r="E106" s="101"/>
      <c r="F106" s="101"/>
      <c r="G106" s="155" t="s">
        <v>2717</v>
      </c>
      <c r="H106" s="101">
        <v>4</v>
      </c>
      <c r="I106" s="101">
        <v>2</v>
      </c>
      <c r="J106" s="101">
        <v>26</v>
      </c>
      <c r="K106" s="101">
        <v>25</v>
      </c>
      <c r="L106" s="136">
        <v>6</v>
      </c>
      <c r="M106" s="136">
        <v>4</v>
      </c>
      <c r="N106" s="136">
        <v>19</v>
      </c>
      <c r="O106" s="136">
        <v>21</v>
      </c>
      <c r="P106" s="218">
        <f t="shared" si="4"/>
        <v>107</v>
      </c>
    </row>
    <row r="107" spans="1:16" x14ac:dyDescent="0.35">
      <c r="A107" s="338"/>
      <c r="B107" s="357"/>
      <c r="C107" s="101" t="s">
        <v>1623</v>
      </c>
      <c r="D107" s="101" t="s">
        <v>2639</v>
      </c>
      <c r="E107" s="101"/>
      <c r="F107" s="101"/>
      <c r="G107" s="155" t="s">
        <v>2718</v>
      </c>
      <c r="H107" s="101">
        <v>3</v>
      </c>
      <c r="I107" s="101">
        <v>4</v>
      </c>
      <c r="J107" s="101">
        <v>23</v>
      </c>
      <c r="K107" s="101">
        <v>25</v>
      </c>
      <c r="L107" s="136">
        <v>11</v>
      </c>
      <c r="M107" s="136">
        <v>9</v>
      </c>
      <c r="N107" s="136">
        <v>10</v>
      </c>
      <c r="O107" s="136">
        <v>8</v>
      </c>
      <c r="P107" s="218">
        <f t="shared" si="4"/>
        <v>93</v>
      </c>
    </row>
    <row r="108" spans="1:16" x14ac:dyDescent="0.35">
      <c r="A108" s="339"/>
      <c r="B108" s="357"/>
      <c r="C108" s="101" t="s">
        <v>1623</v>
      </c>
      <c r="D108" s="101" t="s">
        <v>2639</v>
      </c>
      <c r="E108" s="101"/>
      <c r="F108" s="101"/>
      <c r="G108" s="155" t="s">
        <v>2719</v>
      </c>
      <c r="H108" s="101">
        <v>7</v>
      </c>
      <c r="I108" s="101">
        <v>5</v>
      </c>
      <c r="J108" s="101">
        <v>19</v>
      </c>
      <c r="K108" s="101">
        <v>22</v>
      </c>
      <c r="L108" s="136">
        <v>10</v>
      </c>
      <c r="M108" s="136">
        <v>8</v>
      </c>
      <c r="N108" s="136">
        <v>14</v>
      </c>
      <c r="O108" s="136">
        <v>13</v>
      </c>
      <c r="P108" s="218">
        <f t="shared" si="4"/>
        <v>98</v>
      </c>
    </row>
    <row r="109" spans="1:16" x14ac:dyDescent="0.35">
      <c r="A109" s="339"/>
      <c r="B109" s="357"/>
      <c r="C109" s="101" t="s">
        <v>1623</v>
      </c>
      <c r="D109" s="101" t="s">
        <v>2639</v>
      </c>
      <c r="E109" s="101"/>
      <c r="F109" s="101"/>
      <c r="G109" s="155" t="s">
        <v>2720</v>
      </c>
      <c r="H109" s="101">
        <v>6</v>
      </c>
      <c r="I109" s="101">
        <v>4</v>
      </c>
      <c r="J109" s="101">
        <v>10</v>
      </c>
      <c r="K109" s="101">
        <v>7</v>
      </c>
      <c r="L109" s="136">
        <v>8</v>
      </c>
      <c r="M109" s="136">
        <v>7</v>
      </c>
      <c r="N109" s="136">
        <v>19</v>
      </c>
      <c r="O109" s="136">
        <v>15</v>
      </c>
      <c r="P109" s="218">
        <f t="shared" si="4"/>
        <v>76</v>
      </c>
    </row>
    <row r="110" spans="1:16" x14ac:dyDescent="0.35">
      <c r="A110" s="339"/>
      <c r="B110" s="357"/>
      <c r="C110" s="101" t="s">
        <v>1623</v>
      </c>
      <c r="D110" s="101" t="s">
        <v>2639</v>
      </c>
      <c r="E110" s="101"/>
      <c r="F110" s="101"/>
      <c r="G110" s="155" t="s">
        <v>2721</v>
      </c>
      <c r="H110" s="101">
        <v>5</v>
      </c>
      <c r="I110" s="101">
        <v>4</v>
      </c>
      <c r="J110" s="101">
        <v>32</v>
      </c>
      <c r="K110" s="101">
        <v>25</v>
      </c>
      <c r="L110" s="136">
        <v>8</v>
      </c>
      <c r="M110" s="136">
        <v>10</v>
      </c>
      <c r="N110" s="136">
        <v>6</v>
      </c>
      <c r="O110" s="136">
        <v>7</v>
      </c>
      <c r="P110" s="218">
        <f t="shared" si="4"/>
        <v>97</v>
      </c>
    </row>
    <row r="111" spans="1:16" x14ac:dyDescent="0.35">
      <c r="A111" s="339"/>
      <c r="B111" s="357"/>
      <c r="C111" s="101" t="s">
        <v>1623</v>
      </c>
      <c r="D111" s="101" t="s">
        <v>2639</v>
      </c>
      <c r="E111" s="101"/>
      <c r="F111" s="101"/>
      <c r="G111" s="155" t="s">
        <v>2722</v>
      </c>
      <c r="H111" s="101">
        <v>3</v>
      </c>
      <c r="I111" s="101">
        <v>5</v>
      </c>
      <c r="J111" s="101">
        <v>12</v>
      </c>
      <c r="K111" s="101">
        <v>14</v>
      </c>
      <c r="L111" s="136">
        <v>9</v>
      </c>
      <c r="M111" s="136">
        <v>11</v>
      </c>
      <c r="N111" s="136">
        <v>9</v>
      </c>
      <c r="O111" s="136">
        <v>8</v>
      </c>
      <c r="P111" s="218">
        <f t="shared" si="4"/>
        <v>71</v>
      </c>
    </row>
    <row r="112" spans="1:16" x14ac:dyDescent="0.35">
      <c r="A112" s="339"/>
      <c r="B112" s="357"/>
      <c r="C112" s="101" t="s">
        <v>1623</v>
      </c>
      <c r="D112" s="101" t="s">
        <v>2639</v>
      </c>
      <c r="E112" s="101"/>
      <c r="F112" s="101"/>
      <c r="G112" s="155" t="s">
        <v>2723</v>
      </c>
      <c r="H112" s="101">
        <v>4</v>
      </c>
      <c r="I112" s="101">
        <v>2</v>
      </c>
      <c r="J112" s="101">
        <v>6</v>
      </c>
      <c r="K112" s="101">
        <v>5</v>
      </c>
      <c r="L112" s="136">
        <v>7</v>
      </c>
      <c r="M112" s="136">
        <v>12</v>
      </c>
      <c r="N112" s="136">
        <v>5</v>
      </c>
      <c r="O112" s="136">
        <v>8</v>
      </c>
      <c r="P112" s="218">
        <f t="shared" si="4"/>
        <v>49</v>
      </c>
    </row>
    <row r="113" spans="1:16" x14ac:dyDescent="0.35">
      <c r="A113" s="339"/>
      <c r="B113" s="357"/>
      <c r="C113" s="101" t="s">
        <v>1623</v>
      </c>
      <c r="D113" s="101" t="s">
        <v>2639</v>
      </c>
      <c r="E113" s="101"/>
      <c r="F113" s="101"/>
      <c r="G113" s="155" t="s">
        <v>2724</v>
      </c>
      <c r="H113" s="101">
        <v>8</v>
      </c>
      <c r="I113" s="101">
        <v>7</v>
      </c>
      <c r="J113" s="101">
        <v>5</v>
      </c>
      <c r="K113" s="101">
        <v>6</v>
      </c>
      <c r="L113" s="136">
        <v>9</v>
      </c>
      <c r="M113" s="136">
        <v>8</v>
      </c>
      <c r="N113" s="136">
        <v>6</v>
      </c>
      <c r="O113" s="136">
        <v>5</v>
      </c>
      <c r="P113" s="218">
        <f t="shared" si="4"/>
        <v>54</v>
      </c>
    </row>
    <row r="114" spans="1:16" x14ac:dyDescent="0.35">
      <c r="A114" s="339"/>
      <c r="B114" s="357"/>
      <c r="C114" s="101" t="s">
        <v>1623</v>
      </c>
      <c r="D114" s="101" t="s">
        <v>2639</v>
      </c>
      <c r="E114" s="101"/>
      <c r="F114" s="101"/>
      <c r="G114" s="155" t="s">
        <v>2725</v>
      </c>
      <c r="H114" s="101">
        <v>4</v>
      </c>
      <c r="I114" s="101">
        <v>6</v>
      </c>
      <c r="J114" s="101">
        <v>6</v>
      </c>
      <c r="K114" s="101">
        <v>8</v>
      </c>
      <c r="L114" s="136">
        <v>3</v>
      </c>
      <c r="M114" s="136">
        <v>5</v>
      </c>
      <c r="N114" s="136">
        <v>8</v>
      </c>
      <c r="O114" s="136">
        <v>6</v>
      </c>
      <c r="P114" s="218">
        <f t="shared" si="4"/>
        <v>46</v>
      </c>
    </row>
    <row r="115" spans="1:16" x14ac:dyDescent="0.35">
      <c r="A115" s="339"/>
      <c r="B115" s="357"/>
      <c r="C115" s="101" t="s">
        <v>1623</v>
      </c>
      <c r="D115" s="101" t="s">
        <v>2639</v>
      </c>
      <c r="E115" s="101"/>
      <c r="F115" s="101"/>
      <c r="G115" s="155" t="s">
        <v>2726</v>
      </c>
      <c r="H115" s="101">
        <v>8</v>
      </c>
      <c r="I115" s="101">
        <v>7</v>
      </c>
      <c r="J115" s="101">
        <v>8</v>
      </c>
      <c r="K115" s="101">
        <v>5</v>
      </c>
      <c r="L115" s="136">
        <v>9</v>
      </c>
      <c r="M115" s="136">
        <v>10</v>
      </c>
      <c r="N115" s="136">
        <v>5</v>
      </c>
      <c r="O115" s="136">
        <v>4</v>
      </c>
      <c r="P115" s="218">
        <f t="shared" si="4"/>
        <v>56</v>
      </c>
    </row>
    <row r="116" spans="1:16" x14ac:dyDescent="0.35">
      <c r="A116" s="339"/>
      <c r="B116" s="357"/>
      <c r="C116" s="149"/>
      <c r="D116" s="149"/>
      <c r="E116" s="149"/>
      <c r="F116" s="149"/>
      <c r="G116" s="158" t="s">
        <v>2</v>
      </c>
      <c r="H116" s="159">
        <f>SUM(H93:H115)</f>
        <v>115</v>
      </c>
      <c r="I116" s="159">
        <f t="shared" ref="I116:O116" si="7">SUM(I93:I115)</f>
        <v>108</v>
      </c>
      <c r="J116" s="160">
        <f t="shared" si="7"/>
        <v>436</v>
      </c>
      <c r="K116" s="160">
        <f t="shared" si="7"/>
        <v>444</v>
      </c>
      <c r="L116" s="161">
        <f t="shared" si="7"/>
        <v>220</v>
      </c>
      <c r="M116" s="161">
        <f t="shared" si="7"/>
        <v>236</v>
      </c>
      <c r="N116" s="162">
        <f t="shared" si="7"/>
        <v>266</v>
      </c>
      <c r="O116" s="162">
        <f t="shared" si="7"/>
        <v>280</v>
      </c>
      <c r="P116" s="217">
        <f t="shared" si="4"/>
        <v>2105</v>
      </c>
    </row>
    <row r="117" spans="1:16" x14ac:dyDescent="0.35">
      <c r="A117" s="338">
        <v>7</v>
      </c>
      <c r="B117" s="329" t="s">
        <v>2727</v>
      </c>
      <c r="C117" s="101" t="s">
        <v>1623</v>
      </c>
      <c r="D117" s="101" t="s">
        <v>2639</v>
      </c>
      <c r="E117" s="101"/>
      <c r="F117" s="101"/>
      <c r="G117" s="148" t="s">
        <v>2728</v>
      </c>
      <c r="H117" s="101">
        <v>3</v>
      </c>
      <c r="I117" s="101">
        <v>5</v>
      </c>
      <c r="J117" s="101">
        <v>28</v>
      </c>
      <c r="K117" s="101">
        <v>22</v>
      </c>
      <c r="L117" s="136">
        <v>10</v>
      </c>
      <c r="M117" s="136">
        <v>8</v>
      </c>
      <c r="N117" s="136">
        <v>19</v>
      </c>
      <c r="O117" s="136">
        <v>21</v>
      </c>
      <c r="P117" s="218">
        <f t="shared" si="4"/>
        <v>116</v>
      </c>
    </row>
    <row r="118" spans="1:16" x14ac:dyDescent="0.35">
      <c r="A118" s="339"/>
      <c r="B118" s="330"/>
      <c r="C118" s="101" t="s">
        <v>1623</v>
      </c>
      <c r="D118" s="101" t="s">
        <v>2639</v>
      </c>
      <c r="E118" s="101"/>
      <c r="F118" s="101"/>
      <c r="G118" s="148" t="s">
        <v>2729</v>
      </c>
      <c r="H118" s="101">
        <v>5</v>
      </c>
      <c r="I118" s="101">
        <v>4</v>
      </c>
      <c r="J118" s="101">
        <v>26</v>
      </c>
      <c r="K118" s="101">
        <v>25</v>
      </c>
      <c r="L118" s="136">
        <v>8</v>
      </c>
      <c r="M118" s="136">
        <v>10</v>
      </c>
      <c r="N118" s="136">
        <v>10</v>
      </c>
      <c r="O118" s="136">
        <v>13</v>
      </c>
      <c r="P118" s="218">
        <f t="shared" si="4"/>
        <v>101</v>
      </c>
    </row>
    <row r="119" spans="1:16" x14ac:dyDescent="0.35">
      <c r="A119" s="339"/>
      <c r="B119" s="330"/>
      <c r="C119" s="101" t="s">
        <v>1623</v>
      </c>
      <c r="D119" s="101" t="s">
        <v>2639</v>
      </c>
      <c r="E119" s="101"/>
      <c r="F119" s="101"/>
      <c r="G119" s="148" t="s">
        <v>2730</v>
      </c>
      <c r="H119" s="101">
        <v>4</v>
      </c>
      <c r="I119" s="101">
        <v>3</v>
      </c>
      <c r="J119" s="101">
        <v>19</v>
      </c>
      <c r="K119" s="101">
        <v>21</v>
      </c>
      <c r="L119" s="136">
        <v>2</v>
      </c>
      <c r="M119" s="136">
        <v>4</v>
      </c>
      <c r="N119" s="136">
        <v>10</v>
      </c>
      <c r="O119" s="136">
        <v>11</v>
      </c>
      <c r="P119" s="218">
        <f t="shared" si="4"/>
        <v>74</v>
      </c>
    </row>
    <row r="120" spans="1:16" x14ac:dyDescent="0.35">
      <c r="A120" s="339"/>
      <c r="B120" s="330"/>
      <c r="C120" s="101" t="s">
        <v>1623</v>
      </c>
      <c r="D120" s="101" t="s">
        <v>2639</v>
      </c>
      <c r="E120" s="101"/>
      <c r="F120" s="101"/>
      <c r="G120" s="148" t="s">
        <v>2731</v>
      </c>
      <c r="H120" s="101">
        <v>40</v>
      </c>
      <c r="I120" s="101">
        <v>36</v>
      </c>
      <c r="J120" s="101">
        <v>22</v>
      </c>
      <c r="K120" s="101">
        <v>25</v>
      </c>
      <c r="L120" s="136">
        <v>18</v>
      </c>
      <c r="M120" s="136">
        <v>20</v>
      </c>
      <c r="N120" s="136">
        <v>33</v>
      </c>
      <c r="O120" s="136">
        <v>37</v>
      </c>
      <c r="P120" s="218">
        <f t="shared" si="4"/>
        <v>231</v>
      </c>
    </row>
    <row r="121" spans="1:16" x14ac:dyDescent="0.35">
      <c r="A121" s="339"/>
      <c r="B121" s="330"/>
      <c r="C121" s="101" t="s">
        <v>1623</v>
      </c>
      <c r="D121" s="101" t="s">
        <v>2639</v>
      </c>
      <c r="E121" s="101"/>
      <c r="F121" s="101"/>
      <c r="G121" s="148" t="s">
        <v>2732</v>
      </c>
      <c r="H121" s="101">
        <v>13</v>
      </c>
      <c r="I121" s="101">
        <v>11</v>
      </c>
      <c r="J121" s="101">
        <v>26</v>
      </c>
      <c r="K121" s="101">
        <v>30</v>
      </c>
      <c r="L121" s="136">
        <v>30</v>
      </c>
      <c r="M121" s="136">
        <v>25</v>
      </c>
      <c r="N121" s="136">
        <v>17</v>
      </c>
      <c r="O121" s="136">
        <v>15</v>
      </c>
      <c r="P121" s="218">
        <f t="shared" si="4"/>
        <v>167</v>
      </c>
    </row>
    <row r="122" spans="1:16" x14ac:dyDescent="0.35">
      <c r="A122" s="339"/>
      <c r="B122" s="330"/>
      <c r="C122" s="101" t="s">
        <v>1623</v>
      </c>
      <c r="D122" s="101" t="s">
        <v>2639</v>
      </c>
      <c r="E122" s="101"/>
      <c r="F122" s="101"/>
      <c r="G122" s="148" t="s">
        <v>2733</v>
      </c>
      <c r="H122" s="101">
        <v>5</v>
      </c>
      <c r="I122" s="101">
        <v>7</v>
      </c>
      <c r="J122" s="101">
        <v>90</v>
      </c>
      <c r="K122" s="101">
        <v>88</v>
      </c>
      <c r="L122" s="136">
        <v>70</v>
      </c>
      <c r="M122" s="136">
        <v>82</v>
      </c>
      <c r="N122" s="136">
        <v>46</v>
      </c>
      <c r="O122" s="136">
        <v>45</v>
      </c>
      <c r="P122" s="218">
        <f t="shared" si="4"/>
        <v>433</v>
      </c>
    </row>
    <row r="123" spans="1:16" x14ac:dyDescent="0.35">
      <c r="A123" s="339"/>
      <c r="B123" s="330"/>
      <c r="C123" s="101" t="s">
        <v>1623</v>
      </c>
      <c r="D123" s="101" t="s">
        <v>2639</v>
      </c>
      <c r="E123" s="101"/>
      <c r="F123" s="101"/>
      <c r="G123" s="148" t="s">
        <v>2020</v>
      </c>
      <c r="H123" s="101">
        <v>6</v>
      </c>
      <c r="I123" s="101">
        <v>4</v>
      </c>
      <c r="J123" s="101">
        <v>27</v>
      </c>
      <c r="K123" s="101">
        <v>23</v>
      </c>
      <c r="L123" s="136">
        <v>4</v>
      </c>
      <c r="M123" s="136">
        <v>6</v>
      </c>
      <c r="N123" s="136">
        <v>4</v>
      </c>
      <c r="O123" s="136">
        <v>6</v>
      </c>
      <c r="P123" s="218">
        <f t="shared" si="4"/>
        <v>80</v>
      </c>
    </row>
    <row r="124" spans="1:16" x14ac:dyDescent="0.35">
      <c r="A124" s="339"/>
      <c r="B124" s="330"/>
      <c r="C124" s="101" t="s">
        <v>1623</v>
      </c>
      <c r="D124" s="101" t="s">
        <v>2639</v>
      </c>
      <c r="E124" s="101"/>
      <c r="F124" s="101"/>
      <c r="G124" s="163" t="s">
        <v>2734</v>
      </c>
      <c r="H124" s="101">
        <v>8</v>
      </c>
      <c r="I124" s="101">
        <v>7</v>
      </c>
      <c r="J124" s="101">
        <v>44</v>
      </c>
      <c r="K124" s="101">
        <v>45</v>
      </c>
      <c r="L124" s="136">
        <v>18</v>
      </c>
      <c r="M124" s="136">
        <v>15</v>
      </c>
      <c r="N124" s="136">
        <v>13</v>
      </c>
      <c r="O124" s="136">
        <v>14</v>
      </c>
      <c r="P124" s="218">
        <f t="shared" si="4"/>
        <v>164</v>
      </c>
    </row>
    <row r="125" spans="1:16" x14ac:dyDescent="0.35">
      <c r="A125" s="339"/>
      <c r="B125" s="330"/>
      <c r="C125" s="101" t="s">
        <v>1623</v>
      </c>
      <c r="D125" s="101" t="s">
        <v>2639</v>
      </c>
      <c r="E125" s="101"/>
      <c r="F125" s="101"/>
      <c r="G125" s="148" t="s">
        <v>2735</v>
      </c>
      <c r="H125" s="101">
        <v>2</v>
      </c>
      <c r="I125" s="101">
        <v>3</v>
      </c>
      <c r="J125" s="101">
        <v>22</v>
      </c>
      <c r="K125" s="101">
        <v>18</v>
      </c>
      <c r="L125" s="136">
        <v>12</v>
      </c>
      <c r="M125" s="136">
        <v>5</v>
      </c>
      <c r="N125" s="136">
        <v>11</v>
      </c>
      <c r="O125" s="136">
        <v>16</v>
      </c>
      <c r="P125" s="218">
        <f t="shared" si="4"/>
        <v>89</v>
      </c>
    </row>
    <row r="126" spans="1:16" x14ac:dyDescent="0.35">
      <c r="A126" s="339"/>
      <c r="B126" s="330"/>
      <c r="C126" s="101" t="s">
        <v>1623</v>
      </c>
      <c r="D126" s="101" t="s">
        <v>2639</v>
      </c>
      <c r="E126" s="101"/>
      <c r="F126" s="101"/>
      <c r="G126" s="163" t="s">
        <v>2736</v>
      </c>
      <c r="H126" s="101">
        <v>2</v>
      </c>
      <c r="I126" s="101">
        <v>4</v>
      </c>
      <c r="J126" s="101">
        <v>37</v>
      </c>
      <c r="K126" s="101">
        <v>39</v>
      </c>
      <c r="L126" s="136">
        <v>17</v>
      </c>
      <c r="M126" s="136">
        <v>15</v>
      </c>
      <c r="N126" s="136">
        <v>28</v>
      </c>
      <c r="O126" s="136">
        <v>22</v>
      </c>
      <c r="P126" s="218">
        <f t="shared" si="4"/>
        <v>164</v>
      </c>
    </row>
    <row r="127" spans="1:16" x14ac:dyDescent="0.35">
      <c r="A127" s="339"/>
      <c r="B127" s="330"/>
      <c r="C127" s="101" t="s">
        <v>1623</v>
      </c>
      <c r="D127" s="101" t="s">
        <v>2639</v>
      </c>
      <c r="E127" s="101"/>
      <c r="F127" s="101"/>
      <c r="G127" s="163" t="s">
        <v>2737</v>
      </c>
      <c r="H127" s="101">
        <v>7</v>
      </c>
      <c r="I127" s="101">
        <v>5</v>
      </c>
      <c r="J127" s="101">
        <v>25</v>
      </c>
      <c r="K127" s="101">
        <v>27</v>
      </c>
      <c r="L127" s="136">
        <v>6</v>
      </c>
      <c r="M127" s="136">
        <v>14</v>
      </c>
      <c r="N127" s="136">
        <v>40</v>
      </c>
      <c r="O127" s="136">
        <v>44</v>
      </c>
      <c r="P127" s="218">
        <f t="shared" si="4"/>
        <v>168</v>
      </c>
    </row>
    <row r="128" spans="1:16" x14ac:dyDescent="0.35">
      <c r="A128" s="339"/>
      <c r="B128" s="330"/>
      <c r="C128" s="101" t="s">
        <v>1623</v>
      </c>
      <c r="D128" s="101" t="s">
        <v>2639</v>
      </c>
      <c r="E128" s="101"/>
      <c r="F128" s="101"/>
      <c r="G128" s="163" t="s">
        <v>2738</v>
      </c>
      <c r="H128" s="101">
        <v>1</v>
      </c>
      <c r="I128" s="101">
        <v>2</v>
      </c>
      <c r="J128" s="101">
        <v>11</v>
      </c>
      <c r="K128" s="101">
        <v>13</v>
      </c>
      <c r="L128" s="136">
        <v>4</v>
      </c>
      <c r="M128" s="136">
        <v>5</v>
      </c>
      <c r="N128" s="136">
        <v>21</v>
      </c>
      <c r="O128" s="136">
        <v>25</v>
      </c>
      <c r="P128" s="218">
        <f t="shared" si="4"/>
        <v>82</v>
      </c>
    </row>
    <row r="129" spans="1:16" x14ac:dyDescent="0.35">
      <c r="A129" s="339"/>
      <c r="B129" s="330"/>
      <c r="C129" s="149"/>
      <c r="D129" s="149"/>
      <c r="E129" s="149"/>
      <c r="F129" s="149"/>
      <c r="G129" s="158" t="s">
        <v>2</v>
      </c>
      <c r="H129" s="159">
        <f>SUM(H117:H128)</f>
        <v>96</v>
      </c>
      <c r="I129" s="159">
        <f t="shared" ref="I129:O129" si="8">SUM(I117:I128)</f>
        <v>91</v>
      </c>
      <c r="J129" s="160">
        <f t="shared" si="8"/>
        <v>377</v>
      </c>
      <c r="K129" s="160">
        <f t="shared" si="8"/>
        <v>376</v>
      </c>
      <c r="L129" s="161">
        <f t="shared" si="8"/>
        <v>199</v>
      </c>
      <c r="M129" s="161">
        <f t="shared" si="8"/>
        <v>209</v>
      </c>
      <c r="N129" s="162">
        <f t="shared" si="8"/>
        <v>252</v>
      </c>
      <c r="O129" s="162">
        <f t="shared" si="8"/>
        <v>269</v>
      </c>
      <c r="P129" s="217">
        <f t="shared" si="4"/>
        <v>1869</v>
      </c>
    </row>
    <row r="130" spans="1:16" x14ac:dyDescent="0.35">
      <c r="A130" s="326">
        <v>8</v>
      </c>
      <c r="B130" s="335" t="s">
        <v>2739</v>
      </c>
      <c r="C130" s="101" t="s">
        <v>1623</v>
      </c>
      <c r="D130" s="101" t="s">
        <v>2639</v>
      </c>
      <c r="E130" s="101"/>
      <c r="F130" s="101"/>
      <c r="G130" s="157" t="s">
        <v>2740</v>
      </c>
      <c r="H130" s="101">
        <v>2</v>
      </c>
      <c r="I130" s="101">
        <v>4</v>
      </c>
      <c r="J130" s="101">
        <v>27</v>
      </c>
      <c r="K130" s="101">
        <v>23</v>
      </c>
      <c r="L130" s="136">
        <v>17</v>
      </c>
      <c r="M130" s="136">
        <v>15</v>
      </c>
      <c r="N130" s="136">
        <v>19</v>
      </c>
      <c r="O130" s="136">
        <v>21</v>
      </c>
      <c r="P130" s="218">
        <f t="shared" si="4"/>
        <v>128</v>
      </c>
    </row>
    <row r="131" spans="1:16" x14ac:dyDescent="0.35">
      <c r="A131" s="351"/>
      <c r="B131" s="336"/>
      <c r="C131" s="101" t="s">
        <v>1623</v>
      </c>
      <c r="D131" s="101" t="s">
        <v>2639</v>
      </c>
      <c r="E131" s="101"/>
      <c r="F131" s="101"/>
      <c r="G131" s="157" t="s">
        <v>2741</v>
      </c>
      <c r="H131" s="101">
        <v>9</v>
      </c>
      <c r="I131" s="101">
        <v>11</v>
      </c>
      <c r="J131" s="101">
        <v>20</v>
      </c>
      <c r="K131" s="101">
        <v>14</v>
      </c>
      <c r="L131" s="136">
        <v>4</v>
      </c>
      <c r="M131" s="136">
        <v>6</v>
      </c>
      <c r="N131" s="136">
        <v>7</v>
      </c>
      <c r="O131" s="136">
        <v>10</v>
      </c>
      <c r="P131" s="218">
        <f t="shared" si="4"/>
        <v>81</v>
      </c>
    </row>
    <row r="132" spans="1:16" x14ac:dyDescent="0.35">
      <c r="A132" s="351"/>
      <c r="B132" s="336"/>
      <c r="C132" s="101" t="s">
        <v>1623</v>
      </c>
      <c r="D132" s="101" t="s">
        <v>2639</v>
      </c>
      <c r="E132" s="101"/>
      <c r="F132" s="101"/>
      <c r="G132" s="157" t="s">
        <v>2742</v>
      </c>
      <c r="H132" s="101">
        <v>6</v>
      </c>
      <c r="I132" s="101">
        <v>7</v>
      </c>
      <c r="J132" s="101">
        <v>15</v>
      </c>
      <c r="K132" s="101">
        <v>20</v>
      </c>
      <c r="L132" s="136">
        <v>22</v>
      </c>
      <c r="M132" s="136">
        <v>21</v>
      </c>
      <c r="N132" s="136">
        <v>19</v>
      </c>
      <c r="O132" s="136">
        <v>20</v>
      </c>
      <c r="P132" s="218">
        <f t="shared" si="4"/>
        <v>130</v>
      </c>
    </row>
    <row r="133" spans="1:16" x14ac:dyDescent="0.35">
      <c r="A133" s="351"/>
      <c r="B133" s="336"/>
      <c r="C133" s="101" t="s">
        <v>1623</v>
      </c>
      <c r="D133" s="101" t="s">
        <v>2639</v>
      </c>
      <c r="E133" s="101"/>
      <c r="F133" s="101"/>
      <c r="G133" s="157" t="s">
        <v>1962</v>
      </c>
      <c r="H133" s="101">
        <v>6</v>
      </c>
      <c r="I133" s="101">
        <v>5</v>
      </c>
      <c r="J133" s="101">
        <v>16</v>
      </c>
      <c r="K133" s="101">
        <v>15</v>
      </c>
      <c r="L133" s="136">
        <v>6</v>
      </c>
      <c r="M133" s="136">
        <v>7</v>
      </c>
      <c r="N133" s="136">
        <v>12</v>
      </c>
      <c r="O133" s="136">
        <v>11</v>
      </c>
      <c r="P133" s="218">
        <f t="shared" si="4"/>
        <v>78</v>
      </c>
    </row>
    <row r="134" spans="1:16" x14ac:dyDescent="0.35">
      <c r="A134" s="351"/>
      <c r="B134" s="336"/>
      <c r="C134" s="101" t="s">
        <v>1623</v>
      </c>
      <c r="D134" s="101" t="s">
        <v>2639</v>
      </c>
      <c r="E134" s="101"/>
      <c r="F134" s="101"/>
      <c r="G134" s="157" t="s">
        <v>2743</v>
      </c>
      <c r="H134" s="101">
        <v>8</v>
      </c>
      <c r="I134" s="101">
        <v>10</v>
      </c>
      <c r="J134" s="101">
        <v>21</v>
      </c>
      <c r="K134" s="101">
        <v>21</v>
      </c>
      <c r="L134" s="136">
        <v>13</v>
      </c>
      <c r="M134" s="136">
        <v>15</v>
      </c>
      <c r="N134" s="136">
        <v>27</v>
      </c>
      <c r="O134" s="136">
        <v>30</v>
      </c>
      <c r="P134" s="218">
        <f t="shared" ref="P134:P197" si="9">H134+I134+J134+K134+L134+M134+N134+O134</f>
        <v>145</v>
      </c>
    </row>
    <row r="135" spans="1:16" x14ac:dyDescent="0.35">
      <c r="A135" s="351"/>
      <c r="B135" s="336"/>
      <c r="C135" s="101" t="s">
        <v>1623</v>
      </c>
      <c r="D135" s="101" t="s">
        <v>2639</v>
      </c>
      <c r="E135" s="101"/>
      <c r="F135" s="101"/>
      <c r="G135" s="157" t="s">
        <v>2744</v>
      </c>
      <c r="H135" s="101">
        <v>14</v>
      </c>
      <c r="I135" s="101">
        <v>16</v>
      </c>
      <c r="J135" s="101">
        <v>31</v>
      </c>
      <c r="K135" s="101">
        <v>27</v>
      </c>
      <c r="L135" s="136">
        <v>20</v>
      </c>
      <c r="M135" s="136">
        <v>22</v>
      </c>
      <c r="N135" s="136">
        <v>18</v>
      </c>
      <c r="O135" s="136">
        <v>17</v>
      </c>
      <c r="P135" s="218">
        <f t="shared" si="9"/>
        <v>165</v>
      </c>
    </row>
    <row r="136" spans="1:16" x14ac:dyDescent="0.35">
      <c r="A136" s="351"/>
      <c r="B136" s="336"/>
      <c r="C136" s="101" t="s">
        <v>1623</v>
      </c>
      <c r="D136" s="101" t="s">
        <v>2639</v>
      </c>
      <c r="E136" s="101"/>
      <c r="F136" s="101"/>
      <c r="G136" s="157" t="s">
        <v>2745</v>
      </c>
      <c r="H136" s="101">
        <v>8</v>
      </c>
      <c r="I136" s="101">
        <v>7</v>
      </c>
      <c r="J136" s="101">
        <v>28</v>
      </c>
      <c r="K136" s="101">
        <v>25</v>
      </c>
      <c r="L136" s="136">
        <v>13</v>
      </c>
      <c r="M136" s="136">
        <v>15</v>
      </c>
      <c r="N136" s="136">
        <v>14</v>
      </c>
      <c r="O136" s="136">
        <v>15</v>
      </c>
      <c r="P136" s="218">
        <f t="shared" si="9"/>
        <v>125</v>
      </c>
    </row>
    <row r="137" spans="1:16" x14ac:dyDescent="0.35">
      <c r="A137" s="351"/>
      <c r="B137" s="336"/>
      <c r="C137" s="101" t="s">
        <v>1623</v>
      </c>
      <c r="D137" s="101" t="s">
        <v>2639</v>
      </c>
      <c r="E137" s="101"/>
      <c r="F137" s="101"/>
      <c r="G137" s="157" t="s">
        <v>2746</v>
      </c>
      <c r="H137" s="101">
        <v>9</v>
      </c>
      <c r="I137" s="101">
        <v>8</v>
      </c>
      <c r="J137" s="101">
        <v>30</v>
      </c>
      <c r="K137" s="101">
        <v>23</v>
      </c>
      <c r="L137" s="136">
        <v>11</v>
      </c>
      <c r="M137" s="136">
        <v>17</v>
      </c>
      <c r="N137" s="136">
        <v>12</v>
      </c>
      <c r="O137" s="136">
        <v>13</v>
      </c>
      <c r="P137" s="218">
        <f t="shared" si="9"/>
        <v>123</v>
      </c>
    </row>
    <row r="138" spans="1:16" x14ac:dyDescent="0.35">
      <c r="A138" s="351"/>
      <c r="B138" s="336"/>
      <c r="C138" s="101" t="s">
        <v>1623</v>
      </c>
      <c r="D138" s="101" t="s">
        <v>2639</v>
      </c>
      <c r="E138" s="101"/>
      <c r="F138" s="101"/>
      <c r="G138" s="157" t="s">
        <v>1967</v>
      </c>
      <c r="H138" s="101">
        <v>8</v>
      </c>
      <c r="I138" s="101">
        <v>7</v>
      </c>
      <c r="J138" s="101">
        <v>19</v>
      </c>
      <c r="K138" s="101">
        <v>25</v>
      </c>
      <c r="L138" s="136">
        <v>10</v>
      </c>
      <c r="M138" s="136">
        <v>12</v>
      </c>
      <c r="N138" s="136">
        <v>18</v>
      </c>
      <c r="O138" s="136">
        <v>22</v>
      </c>
      <c r="P138" s="218">
        <f t="shared" si="9"/>
        <v>121</v>
      </c>
    </row>
    <row r="139" spans="1:16" x14ac:dyDescent="0.35">
      <c r="A139" s="351"/>
      <c r="B139" s="336"/>
      <c r="C139" s="101" t="s">
        <v>1623</v>
      </c>
      <c r="D139" s="101" t="s">
        <v>2639</v>
      </c>
      <c r="E139" s="101"/>
      <c r="F139" s="101"/>
      <c r="G139" s="157" t="s">
        <v>2747</v>
      </c>
      <c r="H139" s="101">
        <v>4</v>
      </c>
      <c r="I139" s="101">
        <v>6</v>
      </c>
      <c r="J139" s="101">
        <v>13</v>
      </c>
      <c r="K139" s="101">
        <v>17</v>
      </c>
      <c r="L139" s="136">
        <v>2</v>
      </c>
      <c r="M139" s="136">
        <v>4</v>
      </c>
      <c r="N139" s="136">
        <v>5</v>
      </c>
      <c r="O139" s="136">
        <v>7</v>
      </c>
      <c r="P139" s="218">
        <f t="shared" si="9"/>
        <v>58</v>
      </c>
    </row>
    <row r="140" spans="1:16" x14ac:dyDescent="0.35">
      <c r="A140" s="351"/>
      <c r="B140" s="336"/>
      <c r="C140" s="101" t="s">
        <v>1623</v>
      </c>
      <c r="D140" s="101" t="s">
        <v>2639</v>
      </c>
      <c r="E140" s="101"/>
      <c r="F140" s="101"/>
      <c r="G140" s="157" t="s">
        <v>2748</v>
      </c>
      <c r="H140" s="101">
        <v>6</v>
      </c>
      <c r="I140" s="101">
        <v>4</v>
      </c>
      <c r="J140" s="101">
        <v>9</v>
      </c>
      <c r="K140" s="101">
        <v>11</v>
      </c>
      <c r="L140" s="136">
        <v>10</v>
      </c>
      <c r="M140" s="136">
        <v>9</v>
      </c>
      <c r="N140" s="136">
        <v>10</v>
      </c>
      <c r="O140" s="136">
        <v>9</v>
      </c>
      <c r="P140" s="218">
        <f t="shared" si="9"/>
        <v>68</v>
      </c>
    </row>
    <row r="141" spans="1:16" x14ac:dyDescent="0.35">
      <c r="A141" s="351"/>
      <c r="B141" s="336"/>
      <c r="C141" s="101" t="s">
        <v>1623</v>
      </c>
      <c r="D141" s="101" t="s">
        <v>2639</v>
      </c>
      <c r="E141" s="101"/>
      <c r="F141" s="101"/>
      <c r="G141" s="157" t="s">
        <v>2749</v>
      </c>
      <c r="H141" s="101">
        <v>9</v>
      </c>
      <c r="I141" s="101">
        <v>11</v>
      </c>
      <c r="J141" s="101">
        <v>7</v>
      </c>
      <c r="K141" s="101">
        <v>5</v>
      </c>
      <c r="L141" s="136">
        <v>10</v>
      </c>
      <c r="M141" s="136">
        <v>11</v>
      </c>
      <c r="N141" s="136">
        <v>19</v>
      </c>
      <c r="O141" s="136">
        <v>21</v>
      </c>
      <c r="P141" s="218">
        <f t="shared" si="9"/>
        <v>93</v>
      </c>
    </row>
    <row r="142" spans="1:16" x14ac:dyDescent="0.35">
      <c r="A142" s="351"/>
      <c r="B142" s="336"/>
      <c r="C142" s="101" t="s">
        <v>1623</v>
      </c>
      <c r="D142" s="101" t="s">
        <v>2639</v>
      </c>
      <c r="E142" s="101"/>
      <c r="F142" s="101"/>
      <c r="G142" s="157" t="s">
        <v>2750</v>
      </c>
      <c r="H142" s="101">
        <v>7</v>
      </c>
      <c r="I142" s="101">
        <v>13</v>
      </c>
      <c r="J142" s="101">
        <v>29</v>
      </c>
      <c r="K142" s="101">
        <v>33</v>
      </c>
      <c r="L142" s="136">
        <v>12</v>
      </c>
      <c r="M142" s="136">
        <v>8</v>
      </c>
      <c r="N142" s="136">
        <v>14</v>
      </c>
      <c r="O142" s="136">
        <v>12</v>
      </c>
      <c r="P142" s="218">
        <f t="shared" si="9"/>
        <v>128</v>
      </c>
    </row>
    <row r="143" spans="1:16" x14ac:dyDescent="0.35">
      <c r="A143" s="351"/>
      <c r="B143" s="336"/>
      <c r="C143" s="101" t="s">
        <v>1623</v>
      </c>
      <c r="D143" s="101" t="s">
        <v>2639</v>
      </c>
      <c r="E143" s="101"/>
      <c r="F143" s="101"/>
      <c r="G143" s="157" t="s">
        <v>2751</v>
      </c>
      <c r="H143" s="101">
        <v>5</v>
      </c>
      <c r="I143" s="101">
        <v>7</v>
      </c>
      <c r="J143" s="101">
        <v>17</v>
      </c>
      <c r="K143" s="101">
        <v>17</v>
      </c>
      <c r="L143" s="136">
        <v>6</v>
      </c>
      <c r="M143" s="136">
        <v>4</v>
      </c>
      <c r="N143" s="136">
        <v>10</v>
      </c>
      <c r="O143" s="136">
        <v>7</v>
      </c>
      <c r="P143" s="218">
        <f t="shared" si="9"/>
        <v>73</v>
      </c>
    </row>
    <row r="144" spans="1:16" x14ac:dyDescent="0.35">
      <c r="A144" s="351"/>
      <c r="B144" s="336"/>
      <c r="C144" s="101" t="s">
        <v>1623</v>
      </c>
      <c r="D144" s="101" t="s">
        <v>2639</v>
      </c>
      <c r="E144" s="101"/>
      <c r="F144" s="101"/>
      <c r="G144" s="157" t="s">
        <v>2752</v>
      </c>
      <c r="H144" s="101">
        <v>11</v>
      </c>
      <c r="I144" s="101">
        <v>9</v>
      </c>
      <c r="J144" s="101">
        <v>10</v>
      </c>
      <c r="K144" s="101">
        <v>13</v>
      </c>
      <c r="L144" s="136">
        <v>6</v>
      </c>
      <c r="M144" s="136">
        <v>7</v>
      </c>
      <c r="N144" s="136">
        <v>9</v>
      </c>
      <c r="O144" s="136">
        <v>9</v>
      </c>
      <c r="P144" s="218">
        <f t="shared" si="9"/>
        <v>74</v>
      </c>
    </row>
    <row r="145" spans="1:16" x14ac:dyDescent="0.35">
      <c r="A145" s="351"/>
      <c r="B145" s="336"/>
      <c r="C145" s="101" t="s">
        <v>1623</v>
      </c>
      <c r="D145" s="101" t="s">
        <v>2639</v>
      </c>
      <c r="E145" s="101"/>
      <c r="F145" s="101"/>
      <c r="G145" s="157" t="s">
        <v>1953</v>
      </c>
      <c r="H145" s="101">
        <v>10</v>
      </c>
      <c r="I145" s="101">
        <v>9</v>
      </c>
      <c r="J145" s="101">
        <v>27</v>
      </c>
      <c r="K145" s="101">
        <v>23</v>
      </c>
      <c r="L145" s="136">
        <v>10</v>
      </c>
      <c r="M145" s="136">
        <v>8</v>
      </c>
      <c r="N145" s="136">
        <v>22</v>
      </c>
      <c r="O145" s="136">
        <v>20</v>
      </c>
      <c r="P145" s="218">
        <f t="shared" si="9"/>
        <v>129</v>
      </c>
    </row>
    <row r="146" spans="1:16" x14ac:dyDescent="0.35">
      <c r="A146" s="351"/>
      <c r="B146" s="336"/>
      <c r="C146" s="101" t="s">
        <v>1623</v>
      </c>
      <c r="D146" s="101" t="s">
        <v>2639</v>
      </c>
      <c r="E146" s="101"/>
      <c r="F146" s="101"/>
      <c r="G146" s="157" t="s">
        <v>2753</v>
      </c>
      <c r="H146" s="101">
        <v>18</v>
      </c>
      <c r="I146" s="101">
        <v>12</v>
      </c>
      <c r="J146" s="101">
        <v>33</v>
      </c>
      <c r="K146" s="101">
        <v>35</v>
      </c>
      <c r="L146" s="136">
        <v>29</v>
      </c>
      <c r="M146" s="136">
        <v>35</v>
      </c>
      <c r="N146" s="136">
        <v>19</v>
      </c>
      <c r="O146" s="136">
        <v>15</v>
      </c>
      <c r="P146" s="218">
        <f t="shared" si="9"/>
        <v>196</v>
      </c>
    </row>
    <row r="147" spans="1:16" x14ac:dyDescent="0.35">
      <c r="A147" s="351"/>
      <c r="B147" s="336"/>
      <c r="C147" s="101" t="s">
        <v>1623</v>
      </c>
      <c r="D147" s="101" t="s">
        <v>2639</v>
      </c>
      <c r="E147" s="101"/>
      <c r="F147" s="101"/>
      <c r="G147" s="157" t="s">
        <v>2754</v>
      </c>
      <c r="H147" s="101">
        <v>8</v>
      </c>
      <c r="I147" s="101">
        <v>7</v>
      </c>
      <c r="J147" s="101">
        <v>29</v>
      </c>
      <c r="K147" s="101">
        <v>27</v>
      </c>
      <c r="L147" s="136">
        <v>17</v>
      </c>
      <c r="M147" s="136">
        <v>13</v>
      </c>
      <c r="N147" s="136">
        <v>10</v>
      </c>
      <c r="O147" s="136">
        <v>5</v>
      </c>
      <c r="P147" s="218">
        <f t="shared" si="9"/>
        <v>116</v>
      </c>
    </row>
    <row r="148" spans="1:16" x14ac:dyDescent="0.35">
      <c r="A148" s="352"/>
      <c r="B148" s="337"/>
      <c r="C148" s="149"/>
      <c r="D148" s="149"/>
      <c r="E148" s="149"/>
      <c r="F148" s="149"/>
      <c r="G148" s="158" t="s">
        <v>2</v>
      </c>
      <c r="H148" s="159">
        <f>SUM(H130:H147)</f>
        <v>148</v>
      </c>
      <c r="I148" s="159">
        <f t="shared" ref="I148:O148" si="10">SUM(I130:I147)</f>
        <v>153</v>
      </c>
      <c r="J148" s="160">
        <f t="shared" si="10"/>
        <v>381</v>
      </c>
      <c r="K148" s="160">
        <f t="shared" si="10"/>
        <v>374</v>
      </c>
      <c r="L148" s="161">
        <f t="shared" si="10"/>
        <v>218</v>
      </c>
      <c r="M148" s="161">
        <f t="shared" si="10"/>
        <v>229</v>
      </c>
      <c r="N148" s="162">
        <f t="shared" si="10"/>
        <v>264</v>
      </c>
      <c r="O148" s="162">
        <f t="shared" si="10"/>
        <v>264</v>
      </c>
      <c r="P148" s="217">
        <f t="shared" si="9"/>
        <v>2031</v>
      </c>
    </row>
    <row r="149" spans="1:16" x14ac:dyDescent="0.35">
      <c r="A149" s="348">
        <v>9</v>
      </c>
      <c r="B149" s="335" t="s">
        <v>2755</v>
      </c>
      <c r="C149" s="101" t="s">
        <v>1623</v>
      </c>
      <c r="D149" s="101" t="s">
        <v>2639</v>
      </c>
      <c r="E149" s="101"/>
      <c r="F149" s="101"/>
      <c r="G149" s="157" t="s">
        <v>335</v>
      </c>
      <c r="H149" s="101">
        <v>6</v>
      </c>
      <c r="I149" s="101">
        <v>7</v>
      </c>
      <c r="J149" s="101">
        <v>33</v>
      </c>
      <c r="K149" s="101">
        <v>30</v>
      </c>
      <c r="L149" s="136">
        <v>22</v>
      </c>
      <c r="M149" s="136">
        <v>25</v>
      </c>
      <c r="N149" s="136">
        <v>40</v>
      </c>
      <c r="O149" s="136">
        <v>36</v>
      </c>
      <c r="P149" s="218">
        <f t="shared" si="9"/>
        <v>199</v>
      </c>
    </row>
    <row r="150" spans="1:16" x14ac:dyDescent="0.35">
      <c r="A150" s="349"/>
      <c r="B150" s="336"/>
      <c r="C150" s="101" t="s">
        <v>1623</v>
      </c>
      <c r="D150" s="101" t="s">
        <v>2639</v>
      </c>
      <c r="E150" s="101"/>
      <c r="F150" s="101"/>
      <c r="G150" s="157" t="s">
        <v>2756</v>
      </c>
      <c r="H150" s="101">
        <v>2</v>
      </c>
      <c r="I150" s="101">
        <v>5</v>
      </c>
      <c r="J150" s="101">
        <v>17</v>
      </c>
      <c r="K150" s="101">
        <v>15</v>
      </c>
      <c r="L150" s="136">
        <v>2</v>
      </c>
      <c r="M150" s="136">
        <v>4</v>
      </c>
      <c r="N150" s="136">
        <v>19</v>
      </c>
      <c r="O150" s="136">
        <v>20</v>
      </c>
      <c r="P150" s="218">
        <f t="shared" si="9"/>
        <v>84</v>
      </c>
    </row>
    <row r="151" spans="1:16" x14ac:dyDescent="0.35">
      <c r="A151" s="349"/>
      <c r="B151" s="336"/>
      <c r="C151" s="101" t="s">
        <v>1623</v>
      </c>
      <c r="D151" s="101" t="s">
        <v>2639</v>
      </c>
      <c r="E151" s="101"/>
      <c r="F151" s="101"/>
      <c r="G151" s="157" t="s">
        <v>2757</v>
      </c>
      <c r="H151" s="101">
        <v>3</v>
      </c>
      <c r="I151" s="101">
        <v>4</v>
      </c>
      <c r="J151" s="101">
        <v>19</v>
      </c>
      <c r="K151" s="101">
        <v>14</v>
      </c>
      <c r="L151" s="136">
        <v>6</v>
      </c>
      <c r="M151" s="136">
        <v>7</v>
      </c>
      <c r="N151" s="136">
        <v>21</v>
      </c>
      <c r="O151" s="136">
        <v>19</v>
      </c>
      <c r="P151" s="218">
        <f t="shared" si="9"/>
        <v>93</v>
      </c>
    </row>
    <row r="152" spans="1:16" x14ac:dyDescent="0.35">
      <c r="A152" s="349"/>
      <c r="B152" s="336"/>
      <c r="C152" s="101" t="s">
        <v>1623</v>
      </c>
      <c r="D152" s="101" t="s">
        <v>2639</v>
      </c>
      <c r="E152" s="101"/>
      <c r="F152" s="101"/>
      <c r="G152" s="157" t="s">
        <v>2758</v>
      </c>
      <c r="H152" s="101">
        <v>9</v>
      </c>
      <c r="I152" s="101">
        <v>11</v>
      </c>
      <c r="J152" s="101">
        <v>11</v>
      </c>
      <c r="K152" s="101">
        <v>8</v>
      </c>
      <c r="L152" s="136">
        <v>5</v>
      </c>
      <c r="M152" s="136">
        <v>4</v>
      </c>
      <c r="N152" s="136">
        <v>19</v>
      </c>
      <c r="O152" s="136">
        <v>20</v>
      </c>
      <c r="P152" s="218">
        <f t="shared" si="9"/>
        <v>87</v>
      </c>
    </row>
    <row r="153" spans="1:16" x14ac:dyDescent="0.35">
      <c r="A153" s="349"/>
      <c r="B153" s="336"/>
      <c r="C153" s="101" t="s">
        <v>1623</v>
      </c>
      <c r="D153" s="101" t="s">
        <v>2639</v>
      </c>
      <c r="E153" s="101"/>
      <c r="F153" s="101"/>
      <c r="G153" s="157" t="s">
        <v>2759</v>
      </c>
      <c r="H153" s="101">
        <v>2</v>
      </c>
      <c r="I153" s="101">
        <v>4</v>
      </c>
      <c r="J153" s="101">
        <v>11</v>
      </c>
      <c r="K153" s="101">
        <v>13</v>
      </c>
      <c r="L153" s="136">
        <v>6</v>
      </c>
      <c r="M153" s="136">
        <v>4</v>
      </c>
      <c r="N153" s="136">
        <v>16</v>
      </c>
      <c r="O153" s="136">
        <v>14</v>
      </c>
      <c r="P153" s="218">
        <f t="shared" si="9"/>
        <v>70</v>
      </c>
    </row>
    <row r="154" spans="1:16" x14ac:dyDescent="0.35">
      <c r="A154" s="349"/>
      <c r="B154" s="336"/>
      <c r="C154" s="101" t="s">
        <v>1623</v>
      </c>
      <c r="D154" s="101" t="s">
        <v>2639</v>
      </c>
      <c r="E154" s="101"/>
      <c r="F154" s="101"/>
      <c r="G154" s="157" t="s">
        <v>2760</v>
      </c>
      <c r="H154" s="101">
        <v>6</v>
      </c>
      <c r="I154" s="101">
        <v>5</v>
      </c>
      <c r="J154" s="101">
        <v>21</v>
      </c>
      <c r="K154" s="101">
        <v>15</v>
      </c>
      <c r="L154" s="136">
        <v>9</v>
      </c>
      <c r="M154" s="136">
        <v>11</v>
      </c>
      <c r="N154" s="136">
        <v>22</v>
      </c>
      <c r="O154" s="136">
        <v>25</v>
      </c>
      <c r="P154" s="218">
        <f t="shared" si="9"/>
        <v>114</v>
      </c>
    </row>
    <row r="155" spans="1:16" x14ac:dyDescent="0.35">
      <c r="A155" s="349"/>
      <c r="B155" s="336"/>
      <c r="C155" s="101" t="s">
        <v>1623</v>
      </c>
      <c r="D155" s="101" t="s">
        <v>2639</v>
      </c>
      <c r="E155" s="101"/>
      <c r="F155" s="101"/>
      <c r="G155" s="157" t="s">
        <v>2761</v>
      </c>
      <c r="H155" s="101">
        <v>4</v>
      </c>
      <c r="I155" s="101">
        <v>2</v>
      </c>
      <c r="J155" s="101">
        <v>7</v>
      </c>
      <c r="K155" s="101">
        <v>8</v>
      </c>
      <c r="L155" s="136">
        <v>6</v>
      </c>
      <c r="M155" s="136">
        <v>5</v>
      </c>
      <c r="N155" s="136">
        <v>10</v>
      </c>
      <c r="O155" s="136">
        <v>11</v>
      </c>
      <c r="P155" s="218">
        <f t="shared" si="9"/>
        <v>53</v>
      </c>
    </row>
    <row r="156" spans="1:16" x14ac:dyDescent="0.35">
      <c r="A156" s="349"/>
      <c r="B156" s="336"/>
      <c r="C156" s="101" t="s">
        <v>1623</v>
      </c>
      <c r="D156" s="101" t="s">
        <v>2639</v>
      </c>
      <c r="E156" s="101"/>
      <c r="F156" s="101"/>
      <c r="G156" s="157" t="s">
        <v>2762</v>
      </c>
      <c r="H156" s="101">
        <v>3</v>
      </c>
      <c r="I156" s="101">
        <v>3</v>
      </c>
      <c r="J156" s="101">
        <v>22</v>
      </c>
      <c r="K156" s="101">
        <v>23</v>
      </c>
      <c r="L156" s="136">
        <v>6</v>
      </c>
      <c r="M156" s="136">
        <v>8</v>
      </c>
      <c r="N156" s="136">
        <v>26</v>
      </c>
      <c r="O156" s="136">
        <v>25</v>
      </c>
      <c r="P156" s="218">
        <f t="shared" si="9"/>
        <v>116</v>
      </c>
    </row>
    <row r="157" spans="1:16" x14ac:dyDescent="0.35">
      <c r="A157" s="349"/>
      <c r="B157" s="336"/>
      <c r="C157" s="101" t="s">
        <v>1623</v>
      </c>
      <c r="D157" s="101" t="s">
        <v>2639</v>
      </c>
      <c r="E157" s="101"/>
      <c r="F157" s="101"/>
      <c r="G157" s="157" t="s">
        <v>2763</v>
      </c>
      <c r="H157" s="101">
        <v>3</v>
      </c>
      <c r="I157" s="101">
        <v>1</v>
      </c>
      <c r="J157" s="101">
        <v>4</v>
      </c>
      <c r="K157" s="101">
        <v>5</v>
      </c>
      <c r="L157" s="136">
        <v>2</v>
      </c>
      <c r="M157" s="136">
        <v>3</v>
      </c>
      <c r="N157" s="136">
        <v>6</v>
      </c>
      <c r="O157" s="136">
        <v>7</v>
      </c>
      <c r="P157" s="218">
        <f t="shared" si="9"/>
        <v>31</v>
      </c>
    </row>
    <row r="158" spans="1:16" x14ac:dyDescent="0.35">
      <c r="A158" s="349"/>
      <c r="B158" s="336"/>
      <c r="C158" s="101" t="s">
        <v>1623</v>
      </c>
      <c r="D158" s="101" t="s">
        <v>2639</v>
      </c>
      <c r="E158" s="101"/>
      <c r="F158" s="101"/>
      <c r="G158" s="157" t="s">
        <v>286</v>
      </c>
      <c r="H158" s="101">
        <v>1</v>
      </c>
      <c r="I158" s="101">
        <v>1</v>
      </c>
      <c r="J158" s="101">
        <v>8</v>
      </c>
      <c r="K158" s="101">
        <v>7</v>
      </c>
      <c r="L158" s="136">
        <v>3</v>
      </c>
      <c r="M158" s="136">
        <v>1</v>
      </c>
      <c r="N158" s="136">
        <v>9</v>
      </c>
      <c r="O158" s="136">
        <v>8</v>
      </c>
      <c r="P158" s="218">
        <f t="shared" si="9"/>
        <v>38</v>
      </c>
    </row>
    <row r="159" spans="1:16" x14ac:dyDescent="0.35">
      <c r="A159" s="349"/>
      <c r="B159" s="336"/>
      <c r="C159" s="101" t="s">
        <v>1623</v>
      </c>
      <c r="D159" s="101" t="s">
        <v>2639</v>
      </c>
      <c r="E159" s="101"/>
      <c r="F159" s="101"/>
      <c r="G159" s="157" t="s">
        <v>2764</v>
      </c>
      <c r="H159" s="101">
        <v>4</v>
      </c>
      <c r="I159" s="101">
        <v>2</v>
      </c>
      <c r="J159" s="101">
        <v>4</v>
      </c>
      <c r="K159" s="101">
        <v>5</v>
      </c>
      <c r="L159" s="136">
        <v>4</v>
      </c>
      <c r="M159" s="136">
        <v>2</v>
      </c>
      <c r="N159" s="136">
        <v>8</v>
      </c>
      <c r="O159" s="136">
        <v>7</v>
      </c>
      <c r="P159" s="218">
        <f t="shared" si="9"/>
        <v>36</v>
      </c>
    </row>
    <row r="160" spans="1:16" x14ac:dyDescent="0.35">
      <c r="A160" s="349"/>
      <c r="B160" s="336"/>
      <c r="C160" s="101" t="s">
        <v>1623</v>
      </c>
      <c r="D160" s="101" t="s">
        <v>2639</v>
      </c>
      <c r="E160" s="101"/>
      <c r="F160" s="101"/>
      <c r="G160" s="157" t="s">
        <v>2765</v>
      </c>
      <c r="H160" s="101">
        <v>3</v>
      </c>
      <c r="I160" s="101">
        <v>5</v>
      </c>
      <c r="J160" s="101">
        <v>9</v>
      </c>
      <c r="K160" s="101">
        <v>11</v>
      </c>
      <c r="L160" s="136">
        <v>6</v>
      </c>
      <c r="M160" s="136">
        <v>4</v>
      </c>
      <c r="N160" s="136">
        <v>13</v>
      </c>
      <c r="O160" s="136">
        <v>15</v>
      </c>
      <c r="P160" s="218">
        <f t="shared" si="9"/>
        <v>66</v>
      </c>
    </row>
    <row r="161" spans="1:16" x14ac:dyDescent="0.35">
      <c r="A161" s="349"/>
      <c r="B161" s="336"/>
      <c r="C161" s="101" t="s">
        <v>1623</v>
      </c>
      <c r="D161" s="101" t="s">
        <v>2639</v>
      </c>
      <c r="E161" s="101"/>
      <c r="F161" s="101"/>
      <c r="G161" s="157" t="s">
        <v>2766</v>
      </c>
      <c r="H161" s="101">
        <v>1</v>
      </c>
      <c r="I161" s="101">
        <v>0</v>
      </c>
      <c r="J161" s="101">
        <v>8</v>
      </c>
      <c r="K161" s="101">
        <v>7</v>
      </c>
      <c r="L161" s="136">
        <v>6</v>
      </c>
      <c r="M161" s="136">
        <v>7</v>
      </c>
      <c r="N161" s="136">
        <v>8</v>
      </c>
      <c r="O161" s="136">
        <v>8</v>
      </c>
      <c r="P161" s="218">
        <f t="shared" si="9"/>
        <v>45</v>
      </c>
    </row>
    <row r="162" spans="1:16" x14ac:dyDescent="0.35">
      <c r="A162" s="349"/>
      <c r="B162" s="336"/>
      <c r="C162" s="101" t="s">
        <v>1623</v>
      </c>
      <c r="D162" s="101" t="s">
        <v>2639</v>
      </c>
      <c r="E162" s="101"/>
      <c r="F162" s="101"/>
      <c r="G162" s="157" t="s">
        <v>2767</v>
      </c>
      <c r="H162" s="101">
        <v>1</v>
      </c>
      <c r="I162" s="101">
        <v>0</v>
      </c>
      <c r="J162" s="101">
        <v>5</v>
      </c>
      <c r="K162" s="101">
        <v>3</v>
      </c>
      <c r="L162" s="136">
        <v>1</v>
      </c>
      <c r="M162" s="136">
        <v>1</v>
      </c>
      <c r="N162" s="136">
        <v>5</v>
      </c>
      <c r="O162" s="136">
        <v>4</v>
      </c>
      <c r="P162" s="218">
        <f t="shared" si="9"/>
        <v>20</v>
      </c>
    </row>
    <row r="163" spans="1:16" x14ac:dyDescent="0.35">
      <c r="A163" s="349"/>
      <c r="B163" s="336"/>
      <c r="C163" s="101" t="s">
        <v>1623</v>
      </c>
      <c r="D163" s="101" t="s">
        <v>2639</v>
      </c>
      <c r="E163" s="101"/>
      <c r="F163" s="101"/>
      <c r="G163" s="157" t="s">
        <v>2768</v>
      </c>
      <c r="H163" s="101">
        <v>3</v>
      </c>
      <c r="I163" s="101">
        <v>4</v>
      </c>
      <c r="J163" s="101">
        <v>10</v>
      </c>
      <c r="K163" s="101">
        <v>8</v>
      </c>
      <c r="L163" s="136">
        <v>4</v>
      </c>
      <c r="M163" s="136">
        <v>2</v>
      </c>
      <c r="N163" s="136">
        <v>12</v>
      </c>
      <c r="O163" s="136">
        <v>13</v>
      </c>
      <c r="P163" s="218">
        <f t="shared" si="9"/>
        <v>56</v>
      </c>
    </row>
    <row r="164" spans="1:16" x14ac:dyDescent="0.35">
      <c r="A164" s="349"/>
      <c r="B164" s="336"/>
      <c r="C164" s="101" t="s">
        <v>1623</v>
      </c>
      <c r="D164" s="101" t="s">
        <v>2639</v>
      </c>
      <c r="E164" s="101"/>
      <c r="F164" s="101"/>
      <c r="G164" s="157" t="s">
        <v>2769</v>
      </c>
      <c r="H164" s="101">
        <v>3</v>
      </c>
      <c r="I164" s="101">
        <v>1</v>
      </c>
      <c r="J164" s="101">
        <v>12</v>
      </c>
      <c r="K164" s="101">
        <v>11</v>
      </c>
      <c r="L164" s="136">
        <v>7</v>
      </c>
      <c r="M164" s="136">
        <v>5</v>
      </c>
      <c r="N164" s="136">
        <v>12</v>
      </c>
      <c r="O164" s="136">
        <v>15</v>
      </c>
      <c r="P164" s="218">
        <f t="shared" si="9"/>
        <v>66</v>
      </c>
    </row>
    <row r="165" spans="1:16" x14ac:dyDescent="0.35">
      <c r="A165" s="350"/>
      <c r="B165" s="337"/>
      <c r="C165" s="149"/>
      <c r="D165" s="149"/>
      <c r="E165" s="149"/>
      <c r="F165" s="149"/>
      <c r="G165" s="158" t="s">
        <v>2</v>
      </c>
      <c r="H165" s="159">
        <f>SUM(H149:H164)</f>
        <v>54</v>
      </c>
      <c r="I165" s="159">
        <f t="shared" ref="I165:O165" si="11">SUM(I149:I164)</f>
        <v>55</v>
      </c>
      <c r="J165" s="160">
        <f t="shared" si="11"/>
        <v>201</v>
      </c>
      <c r="K165" s="160">
        <f t="shared" si="11"/>
        <v>183</v>
      </c>
      <c r="L165" s="161">
        <f t="shared" si="11"/>
        <v>95</v>
      </c>
      <c r="M165" s="161">
        <f t="shared" si="11"/>
        <v>93</v>
      </c>
      <c r="N165" s="162">
        <f t="shared" si="11"/>
        <v>246</v>
      </c>
      <c r="O165" s="162">
        <f t="shared" si="11"/>
        <v>247</v>
      </c>
      <c r="P165" s="217">
        <f t="shared" si="9"/>
        <v>1174</v>
      </c>
    </row>
    <row r="166" spans="1:16" x14ac:dyDescent="0.35">
      <c r="A166" s="348">
        <v>10</v>
      </c>
      <c r="B166" s="335" t="s">
        <v>2770</v>
      </c>
      <c r="C166" s="101" t="s">
        <v>1623</v>
      </c>
      <c r="D166" s="101" t="s">
        <v>2639</v>
      </c>
      <c r="E166" s="101"/>
      <c r="F166" s="101"/>
      <c r="G166" s="157" t="s">
        <v>2771</v>
      </c>
      <c r="H166" s="101">
        <v>3</v>
      </c>
      <c r="I166" s="101">
        <v>5</v>
      </c>
      <c r="J166" s="101">
        <v>11</v>
      </c>
      <c r="K166" s="101">
        <v>6</v>
      </c>
      <c r="L166" s="136">
        <v>10</v>
      </c>
      <c r="M166" s="136">
        <v>7</v>
      </c>
      <c r="N166" s="136">
        <v>4</v>
      </c>
      <c r="O166" s="136">
        <v>5</v>
      </c>
      <c r="P166" s="218">
        <f t="shared" si="9"/>
        <v>51</v>
      </c>
    </row>
    <row r="167" spans="1:16" x14ac:dyDescent="0.35">
      <c r="A167" s="349"/>
      <c r="B167" s="336"/>
      <c r="C167" s="101" t="s">
        <v>1623</v>
      </c>
      <c r="D167" s="101" t="s">
        <v>2639</v>
      </c>
      <c r="E167" s="101"/>
      <c r="F167" s="101"/>
      <c r="G167" s="157" t="s">
        <v>2772</v>
      </c>
      <c r="H167" s="101">
        <v>10</v>
      </c>
      <c r="I167" s="101">
        <v>8</v>
      </c>
      <c r="J167" s="101">
        <v>10</v>
      </c>
      <c r="K167" s="101">
        <v>9</v>
      </c>
      <c r="L167" s="136">
        <v>4</v>
      </c>
      <c r="M167" s="136">
        <v>5</v>
      </c>
      <c r="N167" s="136">
        <v>8</v>
      </c>
      <c r="O167" s="136">
        <v>9</v>
      </c>
      <c r="P167" s="218">
        <f t="shared" si="9"/>
        <v>63</v>
      </c>
    </row>
    <row r="168" spans="1:16" x14ac:dyDescent="0.35">
      <c r="A168" s="349"/>
      <c r="B168" s="336"/>
      <c r="C168" s="101" t="s">
        <v>1623</v>
      </c>
      <c r="D168" s="101" t="s">
        <v>2639</v>
      </c>
      <c r="E168" s="101"/>
      <c r="F168" s="101"/>
      <c r="G168" s="157" t="s">
        <v>2773</v>
      </c>
      <c r="H168" s="101">
        <v>5</v>
      </c>
      <c r="I168" s="101">
        <v>3</v>
      </c>
      <c r="J168" s="101">
        <v>19</v>
      </c>
      <c r="K168" s="101">
        <v>20</v>
      </c>
      <c r="L168" s="136">
        <v>3</v>
      </c>
      <c r="M168" s="136">
        <v>6</v>
      </c>
      <c r="N168" s="136">
        <v>3</v>
      </c>
      <c r="O168" s="136">
        <v>2</v>
      </c>
      <c r="P168" s="218">
        <f t="shared" si="9"/>
        <v>61</v>
      </c>
    </row>
    <row r="169" spans="1:16" x14ac:dyDescent="0.35">
      <c r="A169" s="349"/>
      <c r="B169" s="336"/>
      <c r="C169" s="101" t="s">
        <v>1623</v>
      </c>
      <c r="D169" s="101" t="s">
        <v>2639</v>
      </c>
      <c r="E169" s="101"/>
      <c r="F169" s="101"/>
      <c r="G169" s="157" t="s">
        <v>2774</v>
      </c>
      <c r="H169" s="101">
        <v>3</v>
      </c>
      <c r="I169" s="101">
        <v>5</v>
      </c>
      <c r="J169" s="101">
        <v>29</v>
      </c>
      <c r="K169" s="101">
        <v>30</v>
      </c>
      <c r="L169" s="136">
        <v>1</v>
      </c>
      <c r="M169" s="136">
        <v>3</v>
      </c>
      <c r="N169" s="136">
        <v>3</v>
      </c>
      <c r="O169" s="136">
        <v>1</v>
      </c>
      <c r="P169" s="218">
        <f t="shared" si="9"/>
        <v>75</v>
      </c>
    </row>
    <row r="170" spans="1:16" x14ac:dyDescent="0.35">
      <c r="A170" s="349"/>
      <c r="B170" s="336"/>
      <c r="C170" s="101" t="s">
        <v>1623</v>
      </c>
      <c r="D170" s="101" t="s">
        <v>2639</v>
      </c>
      <c r="E170" s="101"/>
      <c r="F170" s="101"/>
      <c r="G170" s="157" t="s">
        <v>2013</v>
      </c>
      <c r="H170" s="101">
        <v>6</v>
      </c>
      <c r="I170" s="101">
        <v>2</v>
      </c>
      <c r="J170" s="101">
        <v>8</v>
      </c>
      <c r="K170" s="101">
        <v>8</v>
      </c>
      <c r="L170" s="136">
        <v>8</v>
      </c>
      <c r="M170" s="136">
        <v>6</v>
      </c>
      <c r="N170" s="136">
        <v>5</v>
      </c>
      <c r="O170" s="136">
        <v>7</v>
      </c>
      <c r="P170" s="218">
        <f t="shared" si="9"/>
        <v>50</v>
      </c>
    </row>
    <row r="171" spans="1:16" x14ac:dyDescent="0.35">
      <c r="A171" s="349"/>
      <c r="B171" s="336"/>
      <c r="C171" s="101" t="s">
        <v>1623</v>
      </c>
      <c r="D171" s="101" t="s">
        <v>2639</v>
      </c>
      <c r="E171" s="101"/>
      <c r="F171" s="101"/>
      <c r="G171" s="157" t="s">
        <v>2775</v>
      </c>
      <c r="H171" s="101">
        <v>4</v>
      </c>
      <c r="I171" s="101">
        <v>6</v>
      </c>
      <c r="J171" s="101">
        <v>23</v>
      </c>
      <c r="K171" s="101">
        <v>20</v>
      </c>
      <c r="L171" s="136">
        <v>6</v>
      </c>
      <c r="M171" s="136">
        <v>10</v>
      </c>
      <c r="N171" s="136">
        <v>10</v>
      </c>
      <c r="O171" s="136">
        <v>8</v>
      </c>
      <c r="P171" s="218">
        <f t="shared" si="9"/>
        <v>87</v>
      </c>
    </row>
    <row r="172" spans="1:16" x14ac:dyDescent="0.35">
      <c r="A172" s="349"/>
      <c r="B172" s="336"/>
      <c r="C172" s="101" t="s">
        <v>1623</v>
      </c>
      <c r="D172" s="101" t="s">
        <v>2639</v>
      </c>
      <c r="E172" s="101"/>
      <c r="F172" s="101"/>
      <c r="G172" s="157" t="s">
        <v>2659</v>
      </c>
      <c r="H172" s="101">
        <v>2</v>
      </c>
      <c r="I172" s="101">
        <v>0</v>
      </c>
      <c r="J172" s="101">
        <v>11</v>
      </c>
      <c r="K172" s="101">
        <v>17</v>
      </c>
      <c r="L172" s="136">
        <v>6</v>
      </c>
      <c r="M172" s="136">
        <v>4</v>
      </c>
      <c r="N172" s="136">
        <v>6</v>
      </c>
      <c r="O172" s="136">
        <v>5</v>
      </c>
      <c r="P172" s="218">
        <f t="shared" si="9"/>
        <v>51</v>
      </c>
    </row>
    <row r="173" spans="1:16" x14ac:dyDescent="0.35">
      <c r="A173" s="349"/>
      <c r="B173" s="336"/>
      <c r="C173" s="101" t="s">
        <v>1623</v>
      </c>
      <c r="D173" s="101" t="s">
        <v>2639</v>
      </c>
      <c r="E173" s="101"/>
      <c r="F173" s="101"/>
      <c r="G173" s="157" t="s">
        <v>2776</v>
      </c>
      <c r="H173" s="101">
        <v>7</v>
      </c>
      <c r="I173" s="101">
        <v>9</v>
      </c>
      <c r="J173" s="101">
        <v>29</v>
      </c>
      <c r="K173" s="101">
        <v>30</v>
      </c>
      <c r="L173" s="136">
        <v>9</v>
      </c>
      <c r="M173" s="136">
        <v>12</v>
      </c>
      <c r="N173" s="136">
        <v>4</v>
      </c>
      <c r="O173" s="136">
        <v>5</v>
      </c>
      <c r="P173" s="218">
        <f t="shared" si="9"/>
        <v>105</v>
      </c>
    </row>
    <row r="174" spans="1:16" x14ac:dyDescent="0.35">
      <c r="A174" s="349"/>
      <c r="B174" s="336"/>
      <c r="C174" s="101" t="s">
        <v>1623</v>
      </c>
      <c r="D174" s="101" t="s">
        <v>2639</v>
      </c>
      <c r="E174" s="101"/>
      <c r="F174" s="101"/>
      <c r="G174" s="157" t="s">
        <v>2777</v>
      </c>
      <c r="H174" s="101">
        <v>2</v>
      </c>
      <c r="I174" s="101">
        <v>4</v>
      </c>
      <c r="J174" s="101">
        <v>9</v>
      </c>
      <c r="K174" s="101">
        <v>11</v>
      </c>
      <c r="L174" s="136">
        <v>6</v>
      </c>
      <c r="M174" s="136">
        <v>11</v>
      </c>
      <c r="N174" s="136">
        <v>11</v>
      </c>
      <c r="O174" s="136">
        <v>6</v>
      </c>
      <c r="P174" s="218">
        <f t="shared" si="9"/>
        <v>60</v>
      </c>
    </row>
    <row r="175" spans="1:16" x14ac:dyDescent="0.35">
      <c r="A175" s="349"/>
      <c r="B175" s="336"/>
      <c r="C175" s="101" t="s">
        <v>1623</v>
      </c>
      <c r="D175" s="101" t="s">
        <v>2639</v>
      </c>
      <c r="E175" s="101"/>
      <c r="F175" s="101"/>
      <c r="G175" s="157" t="s">
        <v>2778</v>
      </c>
      <c r="H175" s="101">
        <v>5</v>
      </c>
      <c r="I175" s="101">
        <v>3</v>
      </c>
      <c r="J175" s="101">
        <v>17</v>
      </c>
      <c r="K175" s="101">
        <v>13</v>
      </c>
      <c r="L175" s="136">
        <v>10</v>
      </c>
      <c r="M175" s="136">
        <v>8</v>
      </c>
      <c r="N175" s="136">
        <v>3</v>
      </c>
      <c r="O175" s="136">
        <v>1</v>
      </c>
      <c r="P175" s="218">
        <f t="shared" si="9"/>
        <v>60</v>
      </c>
    </row>
    <row r="176" spans="1:16" x14ac:dyDescent="0.35">
      <c r="A176" s="349"/>
      <c r="B176" s="336"/>
      <c r="C176" s="101" t="s">
        <v>1623</v>
      </c>
      <c r="D176" s="101" t="s">
        <v>2639</v>
      </c>
      <c r="E176" s="101"/>
      <c r="F176" s="101"/>
      <c r="G176" s="157" t="s">
        <v>2779</v>
      </c>
      <c r="H176" s="101">
        <v>8</v>
      </c>
      <c r="I176" s="101">
        <v>7</v>
      </c>
      <c r="J176" s="101">
        <v>18</v>
      </c>
      <c r="K176" s="101">
        <v>20</v>
      </c>
      <c r="L176" s="136">
        <v>16</v>
      </c>
      <c r="M176" s="136">
        <v>15</v>
      </c>
      <c r="N176" s="136">
        <v>10</v>
      </c>
      <c r="O176" s="136">
        <v>14</v>
      </c>
      <c r="P176" s="218">
        <f t="shared" si="9"/>
        <v>108</v>
      </c>
    </row>
    <row r="177" spans="1:16" x14ac:dyDescent="0.35">
      <c r="A177" s="349"/>
      <c r="B177" s="336"/>
      <c r="C177" s="101" t="s">
        <v>1623</v>
      </c>
      <c r="D177" s="101" t="s">
        <v>2639</v>
      </c>
      <c r="E177" s="101"/>
      <c r="F177" s="101"/>
      <c r="G177" s="157" t="s">
        <v>2780</v>
      </c>
      <c r="H177" s="101">
        <v>4</v>
      </c>
      <c r="I177" s="101">
        <v>3</v>
      </c>
      <c r="J177" s="101">
        <v>21</v>
      </c>
      <c r="K177" s="101">
        <v>25</v>
      </c>
      <c r="L177" s="136">
        <v>10</v>
      </c>
      <c r="M177" s="136">
        <v>12</v>
      </c>
      <c r="N177" s="136">
        <v>23</v>
      </c>
      <c r="O177" s="136">
        <v>25</v>
      </c>
      <c r="P177" s="218">
        <f t="shared" si="9"/>
        <v>123</v>
      </c>
    </row>
    <row r="178" spans="1:16" x14ac:dyDescent="0.35">
      <c r="A178" s="349"/>
      <c r="B178" s="336"/>
      <c r="C178" s="101" t="s">
        <v>1623</v>
      </c>
      <c r="D178" s="101" t="s">
        <v>2639</v>
      </c>
      <c r="E178" s="101"/>
      <c r="F178" s="101"/>
      <c r="G178" s="157" t="s">
        <v>2781</v>
      </c>
      <c r="H178" s="101">
        <v>11</v>
      </c>
      <c r="I178" s="101">
        <v>6</v>
      </c>
      <c r="J178" s="101">
        <v>9</v>
      </c>
      <c r="K178" s="101">
        <v>9</v>
      </c>
      <c r="L178" s="136">
        <v>8</v>
      </c>
      <c r="M178" s="136">
        <v>14</v>
      </c>
      <c r="N178" s="136">
        <v>17</v>
      </c>
      <c r="O178" s="136">
        <v>15</v>
      </c>
      <c r="P178" s="218">
        <f t="shared" si="9"/>
        <v>89</v>
      </c>
    </row>
    <row r="179" spans="1:16" x14ac:dyDescent="0.35">
      <c r="A179" s="349"/>
      <c r="B179" s="336"/>
      <c r="C179" s="101" t="s">
        <v>1623</v>
      </c>
      <c r="D179" s="101" t="s">
        <v>2639</v>
      </c>
      <c r="E179" s="101"/>
      <c r="F179" s="101"/>
      <c r="G179" s="157" t="s">
        <v>2782</v>
      </c>
      <c r="H179" s="101">
        <v>7</v>
      </c>
      <c r="I179" s="101">
        <v>8</v>
      </c>
      <c r="J179" s="101">
        <v>21</v>
      </c>
      <c r="K179" s="101">
        <v>24</v>
      </c>
      <c r="L179" s="136">
        <v>10</v>
      </c>
      <c r="M179" s="136">
        <v>7</v>
      </c>
      <c r="N179" s="136">
        <v>9</v>
      </c>
      <c r="O179" s="136">
        <v>7</v>
      </c>
      <c r="P179" s="218">
        <f t="shared" si="9"/>
        <v>93</v>
      </c>
    </row>
    <row r="180" spans="1:16" x14ac:dyDescent="0.35">
      <c r="A180" s="349"/>
      <c r="B180" s="336"/>
      <c r="C180" s="101" t="s">
        <v>1623</v>
      </c>
      <c r="D180" s="101" t="s">
        <v>2639</v>
      </c>
      <c r="E180" s="101"/>
      <c r="F180" s="101"/>
      <c r="G180" s="157" t="s">
        <v>2783</v>
      </c>
      <c r="H180" s="101">
        <v>6</v>
      </c>
      <c r="I180" s="101">
        <v>7</v>
      </c>
      <c r="J180" s="101">
        <v>29</v>
      </c>
      <c r="K180" s="101">
        <v>33</v>
      </c>
      <c r="L180" s="136">
        <v>1</v>
      </c>
      <c r="M180" s="136">
        <v>2</v>
      </c>
      <c r="N180" s="136">
        <v>3</v>
      </c>
      <c r="O180" s="136">
        <v>5</v>
      </c>
      <c r="P180" s="218">
        <f t="shared" si="9"/>
        <v>86</v>
      </c>
    </row>
    <row r="181" spans="1:16" x14ac:dyDescent="0.35">
      <c r="A181" s="349"/>
      <c r="B181" s="336"/>
      <c r="C181" s="101" t="s">
        <v>1623</v>
      </c>
      <c r="D181" s="101" t="s">
        <v>2639</v>
      </c>
      <c r="E181" s="101"/>
      <c r="F181" s="101"/>
      <c r="G181" s="157" t="s">
        <v>2784</v>
      </c>
      <c r="H181" s="101">
        <v>3</v>
      </c>
      <c r="I181" s="101">
        <v>4</v>
      </c>
      <c r="J181" s="101">
        <v>12</v>
      </c>
      <c r="K181" s="101">
        <v>11</v>
      </c>
      <c r="L181" s="136">
        <v>8</v>
      </c>
      <c r="M181" s="136">
        <v>7</v>
      </c>
      <c r="N181" s="136">
        <v>5</v>
      </c>
      <c r="O181" s="136">
        <v>4</v>
      </c>
      <c r="P181" s="218">
        <f t="shared" si="9"/>
        <v>54</v>
      </c>
    </row>
    <row r="182" spans="1:16" x14ac:dyDescent="0.35">
      <c r="A182" s="349"/>
      <c r="B182" s="336"/>
      <c r="C182" s="101" t="s">
        <v>1623</v>
      </c>
      <c r="D182" s="101" t="s">
        <v>2639</v>
      </c>
      <c r="E182" s="101"/>
      <c r="F182" s="101"/>
      <c r="G182" s="157" t="s">
        <v>2785</v>
      </c>
      <c r="H182" s="101">
        <v>5</v>
      </c>
      <c r="I182" s="101">
        <v>3</v>
      </c>
      <c r="J182" s="101">
        <v>19</v>
      </c>
      <c r="K182" s="101">
        <v>16</v>
      </c>
      <c r="L182" s="136">
        <v>20</v>
      </c>
      <c r="M182" s="136">
        <v>25</v>
      </c>
      <c r="N182" s="136">
        <v>10</v>
      </c>
      <c r="O182" s="136">
        <v>9</v>
      </c>
      <c r="P182" s="218">
        <f t="shared" si="9"/>
        <v>107</v>
      </c>
    </row>
    <row r="183" spans="1:16" x14ac:dyDescent="0.35">
      <c r="A183" s="350"/>
      <c r="B183" s="337"/>
      <c r="C183" s="149"/>
      <c r="D183" s="149"/>
      <c r="E183" s="149"/>
      <c r="F183" s="149"/>
      <c r="G183" s="158" t="s">
        <v>2</v>
      </c>
      <c r="H183" s="159">
        <f>SUM(H166:H182)</f>
        <v>91</v>
      </c>
      <c r="I183" s="159">
        <f t="shared" ref="I183:O183" si="12">SUM(I166:I182)</f>
        <v>83</v>
      </c>
      <c r="J183" s="160">
        <f t="shared" si="12"/>
        <v>295</v>
      </c>
      <c r="K183" s="160">
        <f t="shared" si="12"/>
        <v>302</v>
      </c>
      <c r="L183" s="161">
        <f t="shared" si="12"/>
        <v>136</v>
      </c>
      <c r="M183" s="161">
        <f t="shared" si="12"/>
        <v>154</v>
      </c>
      <c r="N183" s="162">
        <f t="shared" si="12"/>
        <v>134</v>
      </c>
      <c r="O183" s="162">
        <f t="shared" si="12"/>
        <v>128</v>
      </c>
      <c r="P183" s="217">
        <f t="shared" si="9"/>
        <v>1323</v>
      </c>
    </row>
    <row r="184" spans="1:16" x14ac:dyDescent="0.35">
      <c r="A184" s="348">
        <v>11</v>
      </c>
      <c r="B184" s="335" t="s">
        <v>2786</v>
      </c>
      <c r="C184" s="101" t="s">
        <v>1623</v>
      </c>
      <c r="D184" s="101" t="s">
        <v>2639</v>
      </c>
      <c r="E184" s="101"/>
      <c r="F184" s="101"/>
      <c r="G184" s="157" t="s">
        <v>2787</v>
      </c>
      <c r="H184" s="101">
        <v>3</v>
      </c>
      <c r="I184" s="101">
        <v>4</v>
      </c>
      <c r="J184" s="101">
        <v>10</v>
      </c>
      <c r="K184" s="101">
        <v>7</v>
      </c>
      <c r="L184" s="136">
        <v>10</v>
      </c>
      <c r="M184" s="136">
        <v>8</v>
      </c>
      <c r="N184" s="136">
        <v>11</v>
      </c>
      <c r="O184" s="136">
        <v>14</v>
      </c>
      <c r="P184" s="218">
        <f t="shared" si="9"/>
        <v>67</v>
      </c>
    </row>
    <row r="185" spans="1:16" x14ac:dyDescent="0.35">
      <c r="A185" s="349"/>
      <c r="B185" s="336"/>
      <c r="C185" s="101" t="s">
        <v>1623</v>
      </c>
      <c r="D185" s="101" t="s">
        <v>2639</v>
      </c>
      <c r="E185" s="101"/>
      <c r="F185" s="101"/>
      <c r="G185" s="157" t="s">
        <v>1953</v>
      </c>
      <c r="H185" s="101">
        <v>6</v>
      </c>
      <c r="I185" s="101">
        <v>7</v>
      </c>
      <c r="J185" s="101">
        <v>24</v>
      </c>
      <c r="K185" s="101">
        <v>25</v>
      </c>
      <c r="L185" s="136">
        <v>7</v>
      </c>
      <c r="M185" s="136">
        <v>7</v>
      </c>
      <c r="N185" s="136">
        <v>5</v>
      </c>
      <c r="O185" s="136">
        <v>7</v>
      </c>
      <c r="P185" s="218">
        <f t="shared" si="9"/>
        <v>88</v>
      </c>
    </row>
    <row r="186" spans="1:16" x14ac:dyDescent="0.35">
      <c r="A186" s="349"/>
      <c r="B186" s="336"/>
      <c r="C186" s="101" t="s">
        <v>1623</v>
      </c>
      <c r="D186" s="101" t="s">
        <v>2639</v>
      </c>
      <c r="E186" s="101"/>
      <c r="F186" s="101"/>
      <c r="G186" s="157" t="s">
        <v>1649</v>
      </c>
      <c r="H186" s="101">
        <v>3</v>
      </c>
      <c r="I186" s="101">
        <v>4</v>
      </c>
      <c r="J186" s="101">
        <v>20</v>
      </c>
      <c r="K186" s="101">
        <v>15</v>
      </c>
      <c r="L186" s="136">
        <v>5</v>
      </c>
      <c r="M186" s="136">
        <v>4</v>
      </c>
      <c r="N186" s="136">
        <v>7</v>
      </c>
      <c r="O186" s="136">
        <v>5</v>
      </c>
      <c r="P186" s="218">
        <f t="shared" si="9"/>
        <v>63</v>
      </c>
    </row>
    <row r="187" spans="1:16" x14ac:dyDescent="0.35">
      <c r="A187" s="349"/>
      <c r="B187" s="336"/>
      <c r="C187" s="101" t="s">
        <v>1623</v>
      </c>
      <c r="D187" s="101" t="s">
        <v>2639</v>
      </c>
      <c r="E187" s="101"/>
      <c r="F187" s="101"/>
      <c r="G187" s="157" t="s">
        <v>2788</v>
      </c>
      <c r="H187" s="101">
        <v>1</v>
      </c>
      <c r="I187" s="101">
        <v>1</v>
      </c>
      <c r="J187" s="101">
        <v>11</v>
      </c>
      <c r="K187" s="101">
        <v>14</v>
      </c>
      <c r="L187" s="136">
        <v>4</v>
      </c>
      <c r="M187" s="136">
        <v>5</v>
      </c>
      <c r="N187" s="136">
        <v>10</v>
      </c>
      <c r="O187" s="136">
        <v>6</v>
      </c>
      <c r="P187" s="218">
        <f t="shared" si="9"/>
        <v>52</v>
      </c>
    </row>
    <row r="188" spans="1:16" x14ac:dyDescent="0.35">
      <c r="A188" s="349"/>
      <c r="B188" s="336"/>
      <c r="C188" s="101" t="s">
        <v>1623</v>
      </c>
      <c r="D188" s="101" t="s">
        <v>2639</v>
      </c>
      <c r="E188" s="101"/>
      <c r="F188" s="101"/>
      <c r="G188" s="157" t="s">
        <v>2789</v>
      </c>
      <c r="H188" s="101">
        <v>7</v>
      </c>
      <c r="I188" s="101">
        <v>5</v>
      </c>
      <c r="J188" s="101">
        <v>26</v>
      </c>
      <c r="K188" s="101">
        <v>24</v>
      </c>
      <c r="L188" s="136">
        <v>6</v>
      </c>
      <c r="M188" s="136">
        <v>4</v>
      </c>
      <c r="N188" s="136">
        <v>8</v>
      </c>
      <c r="O188" s="136">
        <v>7</v>
      </c>
      <c r="P188" s="218">
        <f t="shared" si="9"/>
        <v>87</v>
      </c>
    </row>
    <row r="189" spans="1:16" x14ac:dyDescent="0.35">
      <c r="A189" s="349"/>
      <c r="B189" s="336"/>
      <c r="C189" s="101" t="s">
        <v>1623</v>
      </c>
      <c r="D189" s="101" t="s">
        <v>2639</v>
      </c>
      <c r="E189" s="101"/>
      <c r="F189" s="101"/>
      <c r="G189" s="157" t="s">
        <v>2790</v>
      </c>
      <c r="H189" s="101">
        <v>4</v>
      </c>
      <c r="I189" s="101">
        <v>5</v>
      </c>
      <c r="J189" s="101">
        <v>10</v>
      </c>
      <c r="K189" s="101">
        <v>11</v>
      </c>
      <c r="L189" s="136">
        <v>6</v>
      </c>
      <c r="M189" s="136">
        <v>6</v>
      </c>
      <c r="N189" s="136">
        <v>14</v>
      </c>
      <c r="O189" s="136">
        <v>12</v>
      </c>
      <c r="P189" s="218">
        <f t="shared" si="9"/>
        <v>68</v>
      </c>
    </row>
    <row r="190" spans="1:16" x14ac:dyDescent="0.35">
      <c r="A190" s="349"/>
      <c r="B190" s="336"/>
      <c r="C190" s="101" t="s">
        <v>1623</v>
      </c>
      <c r="D190" s="101" t="s">
        <v>2639</v>
      </c>
      <c r="E190" s="101"/>
      <c r="F190" s="101"/>
      <c r="G190" s="157" t="s">
        <v>2791</v>
      </c>
      <c r="H190" s="101">
        <v>3</v>
      </c>
      <c r="I190" s="101">
        <v>5</v>
      </c>
      <c r="J190" s="101">
        <v>17</v>
      </c>
      <c r="K190" s="101">
        <v>14</v>
      </c>
      <c r="L190" s="136">
        <v>7</v>
      </c>
      <c r="M190" s="136">
        <v>5</v>
      </c>
      <c r="N190" s="136">
        <v>3</v>
      </c>
      <c r="O190" s="136">
        <v>4</v>
      </c>
      <c r="P190" s="218">
        <f t="shared" si="9"/>
        <v>58</v>
      </c>
    </row>
    <row r="191" spans="1:16" x14ac:dyDescent="0.35">
      <c r="A191" s="349"/>
      <c r="B191" s="336"/>
      <c r="C191" s="101" t="s">
        <v>1623</v>
      </c>
      <c r="D191" s="101" t="s">
        <v>2639</v>
      </c>
      <c r="E191" s="101"/>
      <c r="F191" s="101"/>
      <c r="G191" s="157" t="s">
        <v>2652</v>
      </c>
      <c r="H191" s="101">
        <v>6</v>
      </c>
      <c r="I191" s="101">
        <v>5</v>
      </c>
      <c r="J191" s="101">
        <v>13</v>
      </c>
      <c r="K191" s="101">
        <v>12</v>
      </c>
      <c r="L191" s="136">
        <v>8</v>
      </c>
      <c r="M191" s="136">
        <v>7</v>
      </c>
      <c r="N191" s="136">
        <v>14</v>
      </c>
      <c r="O191" s="136">
        <v>12</v>
      </c>
      <c r="P191" s="218">
        <f t="shared" si="9"/>
        <v>77</v>
      </c>
    </row>
    <row r="192" spans="1:16" x14ac:dyDescent="0.35">
      <c r="A192" s="349"/>
      <c r="B192" s="336"/>
      <c r="C192" s="101" t="s">
        <v>1623</v>
      </c>
      <c r="D192" s="101" t="s">
        <v>2639</v>
      </c>
      <c r="E192" s="101"/>
      <c r="F192" s="101"/>
      <c r="G192" s="157" t="s">
        <v>2792</v>
      </c>
      <c r="H192" s="101">
        <v>5</v>
      </c>
      <c r="I192" s="101">
        <v>3</v>
      </c>
      <c r="J192" s="101">
        <v>11</v>
      </c>
      <c r="K192" s="101">
        <v>13</v>
      </c>
      <c r="L192" s="136">
        <v>3</v>
      </c>
      <c r="M192" s="136">
        <v>4</v>
      </c>
      <c r="N192" s="136">
        <v>9</v>
      </c>
      <c r="O192" s="136">
        <v>9</v>
      </c>
      <c r="P192" s="218">
        <f t="shared" si="9"/>
        <v>57</v>
      </c>
    </row>
    <row r="193" spans="1:16" x14ac:dyDescent="0.35">
      <c r="A193" s="349"/>
      <c r="B193" s="336"/>
      <c r="C193" s="101" t="s">
        <v>1623</v>
      </c>
      <c r="D193" s="101" t="s">
        <v>2639</v>
      </c>
      <c r="E193" s="101"/>
      <c r="F193" s="101"/>
      <c r="G193" s="157" t="s">
        <v>2793</v>
      </c>
      <c r="H193" s="101">
        <v>3</v>
      </c>
      <c r="I193" s="101">
        <v>1</v>
      </c>
      <c r="J193" s="101">
        <v>6</v>
      </c>
      <c r="K193" s="101">
        <v>4</v>
      </c>
      <c r="L193" s="136">
        <v>6</v>
      </c>
      <c r="M193" s="136">
        <v>4</v>
      </c>
      <c r="N193" s="136">
        <v>8</v>
      </c>
      <c r="O193" s="136">
        <v>7</v>
      </c>
      <c r="P193" s="218">
        <f t="shared" si="9"/>
        <v>39</v>
      </c>
    </row>
    <row r="194" spans="1:16" x14ac:dyDescent="0.35">
      <c r="A194" s="349"/>
      <c r="B194" s="336"/>
      <c r="C194" s="101" t="s">
        <v>1623</v>
      </c>
      <c r="D194" s="101" t="s">
        <v>2639</v>
      </c>
      <c r="E194" s="101"/>
      <c r="F194" s="101"/>
      <c r="G194" s="157" t="s">
        <v>2794</v>
      </c>
      <c r="H194" s="101">
        <v>4</v>
      </c>
      <c r="I194" s="101">
        <v>6</v>
      </c>
      <c r="J194" s="101">
        <v>20</v>
      </c>
      <c r="K194" s="101">
        <v>25</v>
      </c>
      <c r="L194" s="136">
        <v>8</v>
      </c>
      <c r="M194" s="136">
        <v>7</v>
      </c>
      <c r="N194" s="136">
        <v>11</v>
      </c>
      <c r="O194" s="136">
        <v>9</v>
      </c>
      <c r="P194" s="218">
        <f t="shared" si="9"/>
        <v>90</v>
      </c>
    </row>
    <row r="195" spans="1:16" x14ac:dyDescent="0.35">
      <c r="A195" s="349"/>
      <c r="B195" s="336"/>
      <c r="C195" s="101" t="s">
        <v>1623</v>
      </c>
      <c r="D195" s="101" t="s">
        <v>2639</v>
      </c>
      <c r="E195" s="101"/>
      <c r="F195" s="101"/>
      <c r="G195" s="157" t="s">
        <v>2795</v>
      </c>
      <c r="H195" s="101">
        <v>6</v>
      </c>
      <c r="I195" s="101">
        <v>4</v>
      </c>
      <c r="J195" s="101">
        <v>25</v>
      </c>
      <c r="K195" s="101">
        <v>24</v>
      </c>
      <c r="L195" s="136">
        <v>7</v>
      </c>
      <c r="M195" s="136">
        <v>10</v>
      </c>
      <c r="N195" s="136">
        <v>19</v>
      </c>
      <c r="O195" s="136">
        <v>15</v>
      </c>
      <c r="P195" s="218">
        <f t="shared" si="9"/>
        <v>110</v>
      </c>
    </row>
    <row r="196" spans="1:16" x14ac:dyDescent="0.35">
      <c r="A196" s="349"/>
      <c r="B196" s="336"/>
      <c r="C196" s="101" t="s">
        <v>1623</v>
      </c>
      <c r="D196" s="101" t="s">
        <v>2639</v>
      </c>
      <c r="E196" s="101"/>
      <c r="F196" s="101"/>
      <c r="G196" s="157" t="s">
        <v>2796</v>
      </c>
      <c r="H196" s="101">
        <v>3</v>
      </c>
      <c r="I196" s="101">
        <v>4</v>
      </c>
      <c r="J196" s="101">
        <v>4</v>
      </c>
      <c r="K196" s="101">
        <v>5</v>
      </c>
      <c r="L196" s="136">
        <v>3</v>
      </c>
      <c r="M196" s="136">
        <v>4</v>
      </c>
      <c r="N196" s="136">
        <v>20</v>
      </c>
      <c r="O196" s="136">
        <v>16</v>
      </c>
      <c r="P196" s="218">
        <f t="shared" si="9"/>
        <v>59</v>
      </c>
    </row>
    <row r="197" spans="1:16" x14ac:dyDescent="0.35">
      <c r="A197" s="349"/>
      <c r="B197" s="336"/>
      <c r="C197" s="101" t="s">
        <v>1623</v>
      </c>
      <c r="D197" s="101" t="s">
        <v>2639</v>
      </c>
      <c r="E197" s="101"/>
      <c r="F197" s="101"/>
      <c r="G197" s="157" t="s">
        <v>2797</v>
      </c>
      <c r="H197" s="101">
        <v>2</v>
      </c>
      <c r="I197" s="101">
        <v>4</v>
      </c>
      <c r="J197" s="101">
        <v>12</v>
      </c>
      <c r="K197" s="101">
        <v>14</v>
      </c>
      <c r="L197" s="136">
        <v>4</v>
      </c>
      <c r="M197" s="136">
        <v>2</v>
      </c>
      <c r="N197" s="136">
        <v>10</v>
      </c>
      <c r="O197" s="136">
        <v>8</v>
      </c>
      <c r="P197" s="218">
        <f t="shared" si="9"/>
        <v>56</v>
      </c>
    </row>
    <row r="198" spans="1:16" x14ac:dyDescent="0.35">
      <c r="A198" s="350"/>
      <c r="B198" s="337"/>
      <c r="C198" s="149"/>
      <c r="D198" s="149"/>
      <c r="E198" s="149"/>
      <c r="F198" s="149"/>
      <c r="G198" s="158" t="s">
        <v>2</v>
      </c>
      <c r="H198" s="159">
        <f>SUM(H184:H197)</f>
        <v>56</v>
      </c>
      <c r="I198" s="159">
        <f t="shared" ref="I198:O198" si="13">SUM(I184:I197)</f>
        <v>58</v>
      </c>
      <c r="J198" s="160">
        <f t="shared" si="13"/>
        <v>209</v>
      </c>
      <c r="K198" s="160">
        <f t="shared" si="13"/>
        <v>207</v>
      </c>
      <c r="L198" s="161">
        <f t="shared" si="13"/>
        <v>84</v>
      </c>
      <c r="M198" s="161">
        <f t="shared" si="13"/>
        <v>77</v>
      </c>
      <c r="N198" s="162">
        <f t="shared" si="13"/>
        <v>149</v>
      </c>
      <c r="O198" s="162">
        <f t="shared" si="13"/>
        <v>131</v>
      </c>
      <c r="P198" s="217">
        <f t="shared" ref="P198:P261" si="14">H198+I198+J198+K198+L198+M198+N198+O198</f>
        <v>971</v>
      </c>
    </row>
    <row r="199" spans="1:16" x14ac:dyDescent="0.35">
      <c r="A199" s="348">
        <v>12</v>
      </c>
      <c r="B199" s="335" t="s">
        <v>2798</v>
      </c>
      <c r="C199" s="101" t="s">
        <v>1623</v>
      </c>
      <c r="D199" s="101" t="s">
        <v>2639</v>
      </c>
      <c r="E199" s="101"/>
      <c r="F199" s="101"/>
      <c r="G199" s="157" t="s">
        <v>2799</v>
      </c>
      <c r="H199" s="101">
        <v>2</v>
      </c>
      <c r="I199" s="101">
        <v>4</v>
      </c>
      <c r="J199" s="101">
        <v>12</v>
      </c>
      <c r="K199" s="101">
        <v>14</v>
      </c>
      <c r="L199" s="136">
        <v>5</v>
      </c>
      <c r="M199" s="136">
        <v>7</v>
      </c>
      <c r="N199" s="136">
        <v>6</v>
      </c>
      <c r="O199" s="136">
        <v>7</v>
      </c>
      <c r="P199" s="218">
        <f t="shared" si="14"/>
        <v>57</v>
      </c>
    </row>
    <row r="200" spans="1:16" x14ac:dyDescent="0.35">
      <c r="A200" s="349"/>
      <c r="B200" s="336"/>
      <c r="C200" s="101" t="s">
        <v>1623</v>
      </c>
      <c r="D200" s="101" t="s">
        <v>2639</v>
      </c>
      <c r="E200" s="101"/>
      <c r="F200" s="101"/>
      <c r="G200" s="157" t="s">
        <v>2800</v>
      </c>
      <c r="H200" s="101">
        <v>3</v>
      </c>
      <c r="I200" s="101">
        <v>5</v>
      </c>
      <c r="J200" s="101">
        <v>20</v>
      </c>
      <c r="K200" s="101">
        <v>21</v>
      </c>
      <c r="L200" s="136">
        <v>25</v>
      </c>
      <c r="M200" s="136">
        <v>15</v>
      </c>
      <c r="N200" s="136">
        <v>9</v>
      </c>
      <c r="O200" s="136">
        <v>11</v>
      </c>
      <c r="P200" s="218">
        <f t="shared" si="14"/>
        <v>109</v>
      </c>
    </row>
    <row r="201" spans="1:16" x14ac:dyDescent="0.35">
      <c r="A201" s="349"/>
      <c r="B201" s="336"/>
      <c r="C201" s="101" t="s">
        <v>1623</v>
      </c>
      <c r="D201" s="101" t="s">
        <v>2639</v>
      </c>
      <c r="E201" s="101"/>
      <c r="F201" s="101"/>
      <c r="G201" s="157" t="s">
        <v>2801</v>
      </c>
      <c r="H201" s="101">
        <v>2</v>
      </c>
      <c r="I201" s="101">
        <v>3</v>
      </c>
      <c r="J201" s="101">
        <v>2</v>
      </c>
      <c r="K201" s="101">
        <v>3</v>
      </c>
      <c r="L201" s="136">
        <v>6</v>
      </c>
      <c r="M201" s="136">
        <v>4</v>
      </c>
      <c r="N201" s="136">
        <v>2</v>
      </c>
      <c r="O201" s="136">
        <v>4</v>
      </c>
      <c r="P201" s="218">
        <f t="shared" si="14"/>
        <v>26</v>
      </c>
    </row>
    <row r="202" spans="1:16" x14ac:dyDescent="0.35">
      <c r="A202" s="349"/>
      <c r="B202" s="336"/>
      <c r="C202" s="101" t="s">
        <v>1623</v>
      </c>
      <c r="D202" s="101" t="s">
        <v>2639</v>
      </c>
      <c r="E202" s="101"/>
      <c r="F202" s="101"/>
      <c r="G202" s="157" t="s">
        <v>2802</v>
      </c>
      <c r="H202" s="101">
        <v>1</v>
      </c>
      <c r="I202" s="101">
        <v>2</v>
      </c>
      <c r="J202" s="101">
        <v>16</v>
      </c>
      <c r="K202" s="101">
        <v>14</v>
      </c>
      <c r="L202" s="136">
        <v>7</v>
      </c>
      <c r="M202" s="136">
        <v>5</v>
      </c>
      <c r="N202" s="136">
        <v>7</v>
      </c>
      <c r="O202" s="136">
        <v>7</v>
      </c>
      <c r="P202" s="218">
        <f t="shared" si="14"/>
        <v>59</v>
      </c>
    </row>
    <row r="203" spans="1:16" x14ac:dyDescent="0.35">
      <c r="A203" s="349"/>
      <c r="B203" s="336"/>
      <c r="C203" s="101" t="s">
        <v>1623</v>
      </c>
      <c r="D203" s="101" t="s">
        <v>2639</v>
      </c>
      <c r="E203" s="101"/>
      <c r="F203" s="101"/>
      <c r="G203" s="157" t="s">
        <v>2020</v>
      </c>
      <c r="H203" s="101">
        <v>3</v>
      </c>
      <c r="I203" s="101">
        <v>1</v>
      </c>
      <c r="J203" s="101">
        <v>11</v>
      </c>
      <c r="K203" s="101">
        <v>9</v>
      </c>
      <c r="L203" s="136">
        <v>5</v>
      </c>
      <c r="M203" s="136">
        <v>7</v>
      </c>
      <c r="N203" s="136">
        <v>7</v>
      </c>
      <c r="O203" s="136">
        <v>5</v>
      </c>
      <c r="P203" s="218">
        <f t="shared" si="14"/>
        <v>48</v>
      </c>
    </row>
    <row r="204" spans="1:16" x14ac:dyDescent="0.35">
      <c r="A204" s="349"/>
      <c r="B204" s="336"/>
      <c r="C204" s="101" t="s">
        <v>1623</v>
      </c>
      <c r="D204" s="101" t="s">
        <v>2639</v>
      </c>
      <c r="E204" s="101"/>
      <c r="F204" s="101"/>
      <c r="G204" s="157" t="s">
        <v>2803</v>
      </c>
      <c r="H204" s="101">
        <v>3</v>
      </c>
      <c r="I204" s="101">
        <v>2</v>
      </c>
      <c r="J204" s="101">
        <v>12</v>
      </c>
      <c r="K204" s="101">
        <v>13</v>
      </c>
      <c r="L204" s="136">
        <v>10</v>
      </c>
      <c r="M204" s="136">
        <v>12</v>
      </c>
      <c r="N204" s="136">
        <v>10</v>
      </c>
      <c r="O204" s="136">
        <v>7</v>
      </c>
      <c r="P204" s="218">
        <f t="shared" si="14"/>
        <v>69</v>
      </c>
    </row>
    <row r="205" spans="1:16" x14ac:dyDescent="0.35">
      <c r="A205" s="349"/>
      <c r="B205" s="336"/>
      <c r="C205" s="101" t="s">
        <v>1623</v>
      </c>
      <c r="D205" s="101" t="s">
        <v>2639</v>
      </c>
      <c r="E205" s="101"/>
      <c r="F205" s="101"/>
      <c r="G205" s="157" t="s">
        <v>2804</v>
      </c>
      <c r="H205" s="101">
        <v>2</v>
      </c>
      <c r="I205" s="101">
        <v>0</v>
      </c>
      <c r="J205" s="101">
        <v>11</v>
      </c>
      <c r="K205" s="101">
        <v>15</v>
      </c>
      <c r="L205" s="136">
        <v>23</v>
      </c>
      <c r="M205" s="136">
        <v>21</v>
      </c>
      <c r="N205" s="136">
        <v>2</v>
      </c>
      <c r="O205" s="136">
        <v>5</v>
      </c>
      <c r="P205" s="218">
        <f t="shared" si="14"/>
        <v>79</v>
      </c>
    </row>
    <row r="206" spans="1:16" x14ac:dyDescent="0.35">
      <c r="A206" s="349"/>
      <c r="B206" s="336"/>
      <c r="C206" s="101" t="s">
        <v>1623</v>
      </c>
      <c r="D206" s="101" t="s">
        <v>2639</v>
      </c>
      <c r="E206" s="101"/>
      <c r="F206" s="101"/>
      <c r="G206" s="157" t="s">
        <v>2805</v>
      </c>
      <c r="H206" s="101">
        <v>2</v>
      </c>
      <c r="I206" s="101">
        <v>4</v>
      </c>
      <c r="J206" s="101">
        <v>10</v>
      </c>
      <c r="K206" s="101">
        <v>8</v>
      </c>
      <c r="L206" s="136">
        <v>4</v>
      </c>
      <c r="M206" s="136">
        <v>5</v>
      </c>
      <c r="N206" s="136">
        <v>6</v>
      </c>
      <c r="O206" s="136">
        <v>8</v>
      </c>
      <c r="P206" s="218">
        <f t="shared" si="14"/>
        <v>47</v>
      </c>
    </row>
    <row r="207" spans="1:16" x14ac:dyDescent="0.35">
      <c r="A207" s="349"/>
      <c r="B207" s="336"/>
      <c r="C207" s="101" t="s">
        <v>1623</v>
      </c>
      <c r="D207" s="101" t="s">
        <v>2639</v>
      </c>
      <c r="E207" s="101"/>
      <c r="F207" s="101"/>
      <c r="G207" s="157" t="s">
        <v>2806</v>
      </c>
      <c r="H207" s="101">
        <v>6</v>
      </c>
      <c r="I207" s="101">
        <v>4</v>
      </c>
      <c r="J207" s="101">
        <v>19</v>
      </c>
      <c r="K207" s="101">
        <v>23</v>
      </c>
      <c r="L207" s="136">
        <v>8</v>
      </c>
      <c r="M207" s="136">
        <v>10</v>
      </c>
      <c r="N207" s="136">
        <v>9</v>
      </c>
      <c r="O207" s="136">
        <v>11</v>
      </c>
      <c r="P207" s="218">
        <f t="shared" si="14"/>
        <v>90</v>
      </c>
    </row>
    <row r="208" spans="1:16" x14ac:dyDescent="0.35">
      <c r="A208" s="349"/>
      <c r="B208" s="336"/>
      <c r="C208" s="101" t="s">
        <v>1623</v>
      </c>
      <c r="D208" s="101" t="s">
        <v>2639</v>
      </c>
      <c r="E208" s="101"/>
      <c r="F208" s="101"/>
      <c r="G208" s="157" t="s">
        <v>2807</v>
      </c>
      <c r="H208" s="101">
        <v>7</v>
      </c>
      <c r="I208" s="101">
        <v>3</v>
      </c>
      <c r="J208" s="101">
        <v>6</v>
      </c>
      <c r="K208" s="101">
        <v>8</v>
      </c>
      <c r="L208" s="136">
        <v>4</v>
      </c>
      <c r="M208" s="136">
        <v>2</v>
      </c>
      <c r="N208" s="136">
        <v>4</v>
      </c>
      <c r="O208" s="136">
        <v>2</v>
      </c>
      <c r="P208" s="218">
        <f t="shared" si="14"/>
        <v>36</v>
      </c>
    </row>
    <row r="209" spans="1:16" x14ac:dyDescent="0.35">
      <c r="A209" s="349"/>
      <c r="B209" s="336"/>
      <c r="C209" s="101" t="s">
        <v>1623</v>
      </c>
      <c r="D209" s="101" t="s">
        <v>2639</v>
      </c>
      <c r="E209" s="101"/>
      <c r="F209" s="101"/>
      <c r="G209" s="157" t="s">
        <v>2808</v>
      </c>
      <c r="H209" s="101">
        <v>4</v>
      </c>
      <c r="I209" s="101">
        <v>6</v>
      </c>
      <c r="J209" s="101">
        <v>22</v>
      </c>
      <c r="K209" s="101">
        <v>21</v>
      </c>
      <c r="L209" s="136">
        <v>10</v>
      </c>
      <c r="M209" s="136">
        <v>14</v>
      </c>
      <c r="N209" s="136">
        <v>17</v>
      </c>
      <c r="O209" s="136">
        <v>10</v>
      </c>
      <c r="P209" s="218">
        <f t="shared" si="14"/>
        <v>104</v>
      </c>
    </row>
    <row r="210" spans="1:16" x14ac:dyDescent="0.35">
      <c r="A210" s="349"/>
      <c r="B210" s="336"/>
      <c r="C210" s="101" t="s">
        <v>1623</v>
      </c>
      <c r="D210" s="101" t="s">
        <v>2639</v>
      </c>
      <c r="E210" s="101"/>
      <c r="F210" s="101"/>
      <c r="G210" s="157" t="s">
        <v>2809</v>
      </c>
      <c r="H210" s="101">
        <v>6</v>
      </c>
      <c r="I210" s="101">
        <v>8</v>
      </c>
      <c r="J210" s="101">
        <v>22</v>
      </c>
      <c r="K210" s="101">
        <v>20</v>
      </c>
      <c r="L210" s="136">
        <v>7</v>
      </c>
      <c r="M210" s="136">
        <v>6</v>
      </c>
      <c r="N210" s="136">
        <v>3</v>
      </c>
      <c r="O210" s="136">
        <v>5</v>
      </c>
      <c r="P210" s="218">
        <f t="shared" si="14"/>
        <v>77</v>
      </c>
    </row>
    <row r="211" spans="1:16" x14ac:dyDescent="0.35">
      <c r="A211" s="349"/>
      <c r="B211" s="336"/>
      <c r="C211" s="101" t="s">
        <v>1623</v>
      </c>
      <c r="D211" s="101" t="s">
        <v>2639</v>
      </c>
      <c r="E211" s="101"/>
      <c r="F211" s="101"/>
      <c r="G211" s="157" t="s">
        <v>2810</v>
      </c>
      <c r="H211" s="101">
        <v>8</v>
      </c>
      <c r="I211" s="101">
        <v>6</v>
      </c>
      <c r="J211" s="101">
        <v>10</v>
      </c>
      <c r="K211" s="101">
        <v>8</v>
      </c>
      <c r="L211" s="136">
        <v>9</v>
      </c>
      <c r="M211" s="136">
        <v>5</v>
      </c>
      <c r="N211" s="136">
        <v>5</v>
      </c>
      <c r="O211" s="136">
        <v>3</v>
      </c>
      <c r="P211" s="218">
        <f t="shared" si="14"/>
        <v>54</v>
      </c>
    </row>
    <row r="212" spans="1:16" x14ac:dyDescent="0.35">
      <c r="A212" s="349"/>
      <c r="B212" s="336"/>
      <c r="C212" s="101" t="s">
        <v>1623</v>
      </c>
      <c r="D212" s="101" t="s">
        <v>2639</v>
      </c>
      <c r="E212" s="101"/>
      <c r="F212" s="101"/>
      <c r="G212" s="157" t="s">
        <v>2811</v>
      </c>
      <c r="H212" s="101">
        <v>1</v>
      </c>
      <c r="I212" s="101">
        <v>1</v>
      </c>
      <c r="J212" s="101">
        <v>9</v>
      </c>
      <c r="K212" s="101">
        <v>11</v>
      </c>
      <c r="L212" s="136">
        <v>11</v>
      </c>
      <c r="M212" s="136">
        <v>9</v>
      </c>
      <c r="N212" s="136">
        <v>10</v>
      </c>
      <c r="O212" s="136">
        <v>11</v>
      </c>
      <c r="P212" s="218">
        <f t="shared" si="14"/>
        <v>63</v>
      </c>
    </row>
    <row r="213" spans="1:16" x14ac:dyDescent="0.35">
      <c r="A213" s="350"/>
      <c r="B213" s="337"/>
      <c r="C213" s="149"/>
      <c r="D213" s="149"/>
      <c r="E213" s="149"/>
      <c r="F213" s="149"/>
      <c r="G213" s="158" t="s">
        <v>2</v>
      </c>
      <c r="H213" s="159">
        <f>SUM(H199:H212)</f>
        <v>50</v>
      </c>
      <c r="I213" s="159">
        <f t="shared" ref="I213:O213" si="15">SUM(I199:I212)</f>
        <v>49</v>
      </c>
      <c r="J213" s="160">
        <f t="shared" si="15"/>
        <v>182</v>
      </c>
      <c r="K213" s="160">
        <f t="shared" si="15"/>
        <v>188</v>
      </c>
      <c r="L213" s="161">
        <f t="shared" si="15"/>
        <v>134</v>
      </c>
      <c r="M213" s="161">
        <f t="shared" si="15"/>
        <v>122</v>
      </c>
      <c r="N213" s="162">
        <f t="shared" si="15"/>
        <v>97</v>
      </c>
      <c r="O213" s="162">
        <f t="shared" si="15"/>
        <v>96</v>
      </c>
      <c r="P213" s="217">
        <f t="shared" si="14"/>
        <v>918</v>
      </c>
    </row>
    <row r="214" spans="1:16" x14ac:dyDescent="0.35">
      <c r="A214" s="332">
        <v>13</v>
      </c>
      <c r="B214" s="345" t="s">
        <v>2812</v>
      </c>
      <c r="C214" s="101" t="s">
        <v>1623</v>
      </c>
      <c r="D214" s="101" t="s">
        <v>2639</v>
      </c>
      <c r="E214" s="101"/>
      <c r="F214" s="101"/>
      <c r="G214" s="157" t="s">
        <v>2813</v>
      </c>
      <c r="H214" s="101">
        <v>5</v>
      </c>
      <c r="I214" s="101">
        <v>7</v>
      </c>
      <c r="J214" s="101">
        <v>10</v>
      </c>
      <c r="K214" s="101">
        <v>7</v>
      </c>
      <c r="L214" s="136">
        <v>4</v>
      </c>
      <c r="M214" s="136">
        <v>5</v>
      </c>
      <c r="N214" s="136">
        <v>9</v>
      </c>
      <c r="O214" s="136">
        <v>7</v>
      </c>
      <c r="P214" s="218">
        <f t="shared" si="14"/>
        <v>54</v>
      </c>
    </row>
    <row r="215" spans="1:16" x14ac:dyDescent="0.35">
      <c r="A215" s="333"/>
      <c r="B215" s="346"/>
      <c r="C215" s="101" t="s">
        <v>1623</v>
      </c>
      <c r="D215" s="101" t="s">
        <v>2639</v>
      </c>
      <c r="E215" s="101"/>
      <c r="F215" s="101"/>
      <c r="G215" s="157" t="s">
        <v>2814</v>
      </c>
      <c r="H215" s="101">
        <v>2</v>
      </c>
      <c r="I215" s="101">
        <v>4</v>
      </c>
      <c r="J215" s="101">
        <v>7</v>
      </c>
      <c r="K215" s="101">
        <v>8</v>
      </c>
      <c r="L215" s="136">
        <v>5</v>
      </c>
      <c r="M215" s="136">
        <v>4</v>
      </c>
      <c r="N215" s="136">
        <v>3</v>
      </c>
      <c r="O215" s="136">
        <v>4</v>
      </c>
      <c r="P215" s="218">
        <f t="shared" si="14"/>
        <v>37</v>
      </c>
    </row>
    <row r="216" spans="1:16" x14ac:dyDescent="0.35">
      <c r="A216" s="333"/>
      <c r="B216" s="346"/>
      <c r="C216" s="101" t="s">
        <v>1623</v>
      </c>
      <c r="D216" s="101" t="s">
        <v>2639</v>
      </c>
      <c r="E216" s="101"/>
      <c r="F216" s="101"/>
      <c r="G216" s="157" t="s">
        <v>2815</v>
      </c>
      <c r="H216" s="101">
        <v>4</v>
      </c>
      <c r="I216" s="101">
        <v>2</v>
      </c>
      <c r="J216" s="101">
        <v>5</v>
      </c>
      <c r="K216" s="101">
        <v>7</v>
      </c>
      <c r="L216" s="136">
        <v>4</v>
      </c>
      <c r="M216" s="136">
        <v>5</v>
      </c>
      <c r="N216" s="136">
        <v>7</v>
      </c>
      <c r="O216" s="136">
        <v>7</v>
      </c>
      <c r="P216" s="218">
        <f t="shared" si="14"/>
        <v>41</v>
      </c>
    </row>
    <row r="217" spans="1:16" x14ac:dyDescent="0.35">
      <c r="A217" s="333"/>
      <c r="B217" s="346"/>
      <c r="C217" s="101" t="s">
        <v>1623</v>
      </c>
      <c r="D217" s="101" t="s">
        <v>2639</v>
      </c>
      <c r="E217" s="101"/>
      <c r="F217" s="101"/>
      <c r="G217" s="157" t="s">
        <v>341</v>
      </c>
      <c r="H217" s="101">
        <v>3</v>
      </c>
      <c r="I217" s="101">
        <v>5</v>
      </c>
      <c r="J217" s="101">
        <v>7</v>
      </c>
      <c r="K217" s="101">
        <v>9</v>
      </c>
      <c r="L217" s="136">
        <v>6</v>
      </c>
      <c r="M217" s="136">
        <v>3</v>
      </c>
      <c r="N217" s="136">
        <v>4</v>
      </c>
      <c r="O217" s="136">
        <v>5</v>
      </c>
      <c r="P217" s="218">
        <f t="shared" si="14"/>
        <v>42</v>
      </c>
    </row>
    <row r="218" spans="1:16" x14ac:dyDescent="0.35">
      <c r="A218" s="333"/>
      <c r="B218" s="346"/>
      <c r="C218" s="101" t="s">
        <v>1623</v>
      </c>
      <c r="D218" s="101" t="s">
        <v>2639</v>
      </c>
      <c r="E218" s="101"/>
      <c r="F218" s="101"/>
      <c r="G218" s="157" t="s">
        <v>2816</v>
      </c>
      <c r="H218" s="101">
        <v>4</v>
      </c>
      <c r="I218" s="101">
        <v>3</v>
      </c>
      <c r="J218" s="101">
        <v>6</v>
      </c>
      <c r="K218" s="101">
        <v>7</v>
      </c>
      <c r="L218" s="136">
        <v>5</v>
      </c>
      <c r="M218" s="136">
        <v>6</v>
      </c>
      <c r="N218" s="136">
        <v>4</v>
      </c>
      <c r="O218" s="136">
        <v>3</v>
      </c>
      <c r="P218" s="218">
        <f t="shared" si="14"/>
        <v>38</v>
      </c>
    </row>
    <row r="219" spans="1:16" x14ac:dyDescent="0.35">
      <c r="A219" s="333"/>
      <c r="B219" s="346"/>
      <c r="C219" s="101" t="s">
        <v>1623</v>
      </c>
      <c r="D219" s="101" t="s">
        <v>2639</v>
      </c>
      <c r="E219" s="101"/>
      <c r="F219" s="101"/>
      <c r="G219" s="157" t="s">
        <v>2817</v>
      </c>
      <c r="H219" s="101">
        <v>4</v>
      </c>
      <c r="I219" s="101">
        <v>6</v>
      </c>
      <c r="J219" s="101">
        <v>16</v>
      </c>
      <c r="K219" s="101">
        <v>15</v>
      </c>
      <c r="L219" s="136">
        <v>10</v>
      </c>
      <c r="M219" s="136">
        <v>8</v>
      </c>
      <c r="N219" s="136">
        <v>6</v>
      </c>
      <c r="O219" s="136">
        <v>5</v>
      </c>
      <c r="P219" s="218">
        <f t="shared" si="14"/>
        <v>70</v>
      </c>
    </row>
    <row r="220" spans="1:16" x14ac:dyDescent="0.35">
      <c r="A220" s="333"/>
      <c r="B220" s="346"/>
      <c r="C220" s="101" t="s">
        <v>1623</v>
      </c>
      <c r="D220" s="101" t="s">
        <v>2639</v>
      </c>
      <c r="E220" s="101"/>
      <c r="F220" s="101"/>
      <c r="G220" s="157" t="s">
        <v>2818</v>
      </c>
      <c r="H220" s="101">
        <v>5</v>
      </c>
      <c r="I220" s="101">
        <v>3</v>
      </c>
      <c r="J220" s="101">
        <v>10</v>
      </c>
      <c r="K220" s="101">
        <v>12</v>
      </c>
      <c r="L220" s="136">
        <v>5</v>
      </c>
      <c r="M220" s="136">
        <v>2</v>
      </c>
      <c r="N220" s="136">
        <v>3</v>
      </c>
      <c r="O220" s="136">
        <v>5</v>
      </c>
      <c r="P220" s="218">
        <f t="shared" si="14"/>
        <v>45</v>
      </c>
    </row>
    <row r="221" spans="1:16" x14ac:dyDescent="0.35">
      <c r="A221" s="333"/>
      <c r="B221" s="346"/>
      <c r="C221" s="101" t="s">
        <v>1623</v>
      </c>
      <c r="D221" s="101" t="s">
        <v>2639</v>
      </c>
      <c r="E221" s="101"/>
      <c r="F221" s="101"/>
      <c r="G221" s="157" t="s">
        <v>2819</v>
      </c>
      <c r="H221" s="101">
        <v>3</v>
      </c>
      <c r="I221" s="101">
        <v>2</v>
      </c>
      <c r="J221" s="101">
        <v>16</v>
      </c>
      <c r="K221" s="101">
        <v>14</v>
      </c>
      <c r="L221" s="136">
        <v>10</v>
      </c>
      <c r="M221" s="136">
        <v>11</v>
      </c>
      <c r="N221" s="136">
        <v>9</v>
      </c>
      <c r="O221" s="136">
        <v>12</v>
      </c>
      <c r="P221" s="218">
        <f t="shared" si="14"/>
        <v>77</v>
      </c>
    </row>
    <row r="222" spans="1:16" x14ac:dyDescent="0.35">
      <c r="A222" s="333"/>
      <c r="B222" s="346"/>
      <c r="C222" s="101" t="s">
        <v>1623</v>
      </c>
      <c r="D222" s="101" t="s">
        <v>2639</v>
      </c>
      <c r="E222" s="101"/>
      <c r="F222" s="101"/>
      <c r="G222" s="157" t="s">
        <v>2820</v>
      </c>
      <c r="H222" s="101">
        <v>3</v>
      </c>
      <c r="I222" s="101">
        <v>1</v>
      </c>
      <c r="J222" s="101">
        <v>2</v>
      </c>
      <c r="K222" s="101">
        <v>4</v>
      </c>
      <c r="L222" s="136">
        <v>2</v>
      </c>
      <c r="M222" s="136">
        <v>3</v>
      </c>
      <c r="N222" s="136">
        <v>3</v>
      </c>
      <c r="O222" s="136">
        <v>4</v>
      </c>
      <c r="P222" s="218">
        <f t="shared" si="14"/>
        <v>22</v>
      </c>
    </row>
    <row r="223" spans="1:16" x14ac:dyDescent="0.35">
      <c r="A223" s="333"/>
      <c r="B223" s="346"/>
      <c r="C223" s="101" t="s">
        <v>1623</v>
      </c>
      <c r="D223" s="101" t="s">
        <v>2639</v>
      </c>
      <c r="E223" s="101"/>
      <c r="F223" s="101"/>
      <c r="G223" s="157" t="s">
        <v>1944</v>
      </c>
      <c r="H223" s="101">
        <v>4</v>
      </c>
      <c r="I223" s="101">
        <v>3</v>
      </c>
      <c r="J223" s="101">
        <v>7</v>
      </c>
      <c r="K223" s="101">
        <v>5</v>
      </c>
      <c r="L223" s="136">
        <v>4</v>
      </c>
      <c r="M223" s="136">
        <v>6</v>
      </c>
      <c r="N223" s="136">
        <v>5</v>
      </c>
      <c r="O223" s="136">
        <v>3</v>
      </c>
      <c r="P223" s="218">
        <f t="shared" si="14"/>
        <v>37</v>
      </c>
    </row>
    <row r="224" spans="1:16" x14ac:dyDescent="0.35">
      <c r="A224" s="333"/>
      <c r="B224" s="346"/>
      <c r="C224" s="101" t="s">
        <v>1623</v>
      </c>
      <c r="D224" s="101" t="s">
        <v>2639</v>
      </c>
      <c r="E224" s="101"/>
      <c r="F224" s="101"/>
      <c r="G224" s="157" t="s">
        <v>2821</v>
      </c>
      <c r="H224" s="101">
        <v>14</v>
      </c>
      <c r="I224" s="101">
        <v>16</v>
      </c>
      <c r="J224" s="101">
        <v>16</v>
      </c>
      <c r="K224" s="101">
        <v>14</v>
      </c>
      <c r="L224" s="136">
        <v>10</v>
      </c>
      <c r="M224" s="136">
        <v>8</v>
      </c>
      <c r="N224" s="136">
        <v>10</v>
      </c>
      <c r="O224" s="136">
        <v>15</v>
      </c>
      <c r="P224" s="218">
        <f t="shared" si="14"/>
        <v>103</v>
      </c>
    </row>
    <row r="225" spans="1:16" x14ac:dyDescent="0.35">
      <c r="A225" s="333"/>
      <c r="B225" s="346"/>
      <c r="C225" s="101" t="s">
        <v>1623</v>
      </c>
      <c r="D225" s="101" t="s">
        <v>2639</v>
      </c>
      <c r="E225" s="101"/>
      <c r="F225" s="101"/>
      <c r="G225" s="157" t="s">
        <v>1649</v>
      </c>
      <c r="H225" s="101">
        <v>2</v>
      </c>
      <c r="I225" s="101">
        <v>4</v>
      </c>
      <c r="J225" s="101">
        <v>8</v>
      </c>
      <c r="K225" s="101">
        <v>7</v>
      </c>
      <c r="L225" s="136">
        <v>6</v>
      </c>
      <c r="M225" s="136">
        <v>4</v>
      </c>
      <c r="N225" s="136">
        <v>4</v>
      </c>
      <c r="O225" s="136">
        <v>6</v>
      </c>
      <c r="P225" s="218">
        <f t="shared" si="14"/>
        <v>41</v>
      </c>
    </row>
    <row r="226" spans="1:16" x14ac:dyDescent="0.35">
      <c r="A226" s="333"/>
      <c r="B226" s="346"/>
      <c r="C226" s="101" t="s">
        <v>1623</v>
      </c>
      <c r="D226" s="101" t="s">
        <v>2639</v>
      </c>
      <c r="E226" s="101"/>
      <c r="F226" s="101"/>
      <c r="G226" s="157" t="s">
        <v>2668</v>
      </c>
      <c r="H226" s="101">
        <v>2</v>
      </c>
      <c r="I226" s="101">
        <v>2</v>
      </c>
      <c r="J226" s="101">
        <v>5</v>
      </c>
      <c r="K226" s="101">
        <v>6</v>
      </c>
      <c r="L226" s="136">
        <v>7</v>
      </c>
      <c r="M226" s="136">
        <v>5</v>
      </c>
      <c r="N226" s="136">
        <v>5</v>
      </c>
      <c r="O226" s="136">
        <v>7</v>
      </c>
      <c r="P226" s="218">
        <f t="shared" si="14"/>
        <v>39</v>
      </c>
    </row>
    <row r="227" spans="1:16" x14ac:dyDescent="0.35">
      <c r="A227" s="334"/>
      <c r="B227" s="347"/>
      <c r="C227" s="149"/>
      <c r="D227" s="149"/>
      <c r="E227" s="149"/>
      <c r="F227" s="149"/>
      <c r="G227" s="158" t="s">
        <v>2</v>
      </c>
      <c r="H227" s="159">
        <f>SUM(H214:H226)</f>
        <v>55</v>
      </c>
      <c r="I227" s="159">
        <f t="shared" ref="I227:O227" si="16">SUM(I214:I226)</f>
        <v>58</v>
      </c>
      <c r="J227" s="160">
        <f t="shared" si="16"/>
        <v>115</v>
      </c>
      <c r="K227" s="160">
        <f t="shared" si="16"/>
        <v>115</v>
      </c>
      <c r="L227" s="161">
        <f t="shared" si="16"/>
        <v>78</v>
      </c>
      <c r="M227" s="161">
        <f t="shared" si="16"/>
        <v>70</v>
      </c>
      <c r="N227" s="162">
        <f t="shared" si="16"/>
        <v>72</v>
      </c>
      <c r="O227" s="162">
        <f t="shared" si="16"/>
        <v>83</v>
      </c>
      <c r="P227" s="217">
        <f t="shared" si="14"/>
        <v>646</v>
      </c>
    </row>
    <row r="228" spans="1:16" x14ac:dyDescent="0.35">
      <c r="A228" s="332">
        <v>14</v>
      </c>
      <c r="B228" s="335" t="s">
        <v>2822</v>
      </c>
      <c r="C228" s="101" t="s">
        <v>1623</v>
      </c>
      <c r="D228" s="101" t="s">
        <v>2639</v>
      </c>
      <c r="E228" s="101"/>
      <c r="F228" s="101"/>
      <c r="G228" s="157" t="s">
        <v>2823</v>
      </c>
      <c r="H228" s="101">
        <v>9</v>
      </c>
      <c r="I228" s="101">
        <v>11</v>
      </c>
      <c r="J228" s="101">
        <v>11</v>
      </c>
      <c r="K228" s="101">
        <v>9</v>
      </c>
      <c r="L228" s="136">
        <v>4</v>
      </c>
      <c r="M228" s="136">
        <v>3</v>
      </c>
      <c r="N228" s="136">
        <v>3</v>
      </c>
      <c r="O228" s="136">
        <v>5</v>
      </c>
      <c r="P228" s="218">
        <f t="shared" si="14"/>
        <v>55</v>
      </c>
    </row>
    <row r="229" spans="1:16" x14ac:dyDescent="0.35">
      <c r="A229" s="333"/>
      <c r="B229" s="336"/>
      <c r="C229" s="101" t="s">
        <v>1623</v>
      </c>
      <c r="D229" s="101" t="s">
        <v>2639</v>
      </c>
      <c r="E229" s="101"/>
      <c r="F229" s="101"/>
      <c r="G229" s="157" t="s">
        <v>2824</v>
      </c>
      <c r="H229" s="101">
        <v>17</v>
      </c>
      <c r="I229" s="101">
        <v>13</v>
      </c>
      <c r="J229" s="101">
        <v>19</v>
      </c>
      <c r="K229" s="101">
        <v>21</v>
      </c>
      <c r="L229" s="136">
        <v>5</v>
      </c>
      <c r="M229" s="136">
        <v>5</v>
      </c>
      <c r="N229" s="136">
        <v>4</v>
      </c>
      <c r="O229" s="136">
        <v>6</v>
      </c>
      <c r="P229" s="218">
        <f t="shared" si="14"/>
        <v>90</v>
      </c>
    </row>
    <row r="230" spans="1:16" x14ac:dyDescent="0.35">
      <c r="A230" s="333"/>
      <c r="B230" s="336"/>
      <c r="C230" s="101" t="s">
        <v>1623</v>
      </c>
      <c r="D230" s="101" t="s">
        <v>2639</v>
      </c>
      <c r="E230" s="101"/>
      <c r="F230" s="101"/>
      <c r="G230" s="157" t="s">
        <v>2825</v>
      </c>
      <c r="H230" s="101">
        <v>3</v>
      </c>
      <c r="I230" s="101">
        <v>4</v>
      </c>
      <c r="J230" s="101">
        <v>10</v>
      </c>
      <c r="K230" s="101">
        <v>12</v>
      </c>
      <c r="L230" s="136">
        <v>4</v>
      </c>
      <c r="M230" s="136">
        <v>6</v>
      </c>
      <c r="N230" s="136">
        <v>3</v>
      </c>
      <c r="O230" s="136">
        <v>2</v>
      </c>
      <c r="P230" s="218">
        <f t="shared" si="14"/>
        <v>44</v>
      </c>
    </row>
    <row r="231" spans="1:16" x14ac:dyDescent="0.35">
      <c r="A231" s="333"/>
      <c r="B231" s="336"/>
      <c r="C231" s="101" t="s">
        <v>1623</v>
      </c>
      <c r="D231" s="101" t="s">
        <v>2639</v>
      </c>
      <c r="E231" s="101"/>
      <c r="F231" s="101"/>
      <c r="G231" s="157" t="s">
        <v>2826</v>
      </c>
      <c r="H231" s="101">
        <v>5</v>
      </c>
      <c r="I231" s="101">
        <v>5</v>
      </c>
      <c r="J231" s="101">
        <v>6</v>
      </c>
      <c r="K231" s="101">
        <v>7</v>
      </c>
      <c r="L231" s="136">
        <v>2</v>
      </c>
      <c r="M231" s="136">
        <v>7</v>
      </c>
      <c r="N231" s="136">
        <v>3</v>
      </c>
      <c r="O231" s="136">
        <v>3</v>
      </c>
      <c r="P231" s="218">
        <f t="shared" si="14"/>
        <v>38</v>
      </c>
    </row>
    <row r="232" spans="1:16" x14ac:dyDescent="0.35">
      <c r="A232" s="333"/>
      <c r="B232" s="336"/>
      <c r="C232" s="101" t="s">
        <v>1623</v>
      </c>
      <c r="D232" s="101" t="s">
        <v>2639</v>
      </c>
      <c r="E232" s="101"/>
      <c r="F232" s="101"/>
      <c r="G232" s="157" t="s">
        <v>2827</v>
      </c>
      <c r="H232" s="101">
        <v>8</v>
      </c>
      <c r="I232" s="101">
        <v>6</v>
      </c>
      <c r="J232" s="101">
        <v>9</v>
      </c>
      <c r="K232" s="101">
        <v>8</v>
      </c>
      <c r="L232" s="136">
        <v>10</v>
      </c>
      <c r="M232" s="136">
        <v>7</v>
      </c>
      <c r="N232" s="136">
        <v>3</v>
      </c>
      <c r="O232" s="136">
        <v>2</v>
      </c>
      <c r="P232" s="218">
        <f t="shared" si="14"/>
        <v>53</v>
      </c>
    </row>
    <row r="233" spans="1:16" x14ac:dyDescent="0.35">
      <c r="A233" s="333"/>
      <c r="B233" s="336"/>
      <c r="C233" s="101" t="s">
        <v>1623</v>
      </c>
      <c r="D233" s="101" t="s">
        <v>2639</v>
      </c>
      <c r="E233" s="101"/>
      <c r="F233" s="101"/>
      <c r="G233" s="157" t="s">
        <v>2828</v>
      </c>
      <c r="H233" s="101">
        <v>10</v>
      </c>
      <c r="I233" s="101">
        <v>11</v>
      </c>
      <c r="J233" s="101">
        <v>9</v>
      </c>
      <c r="K233" s="101">
        <v>11</v>
      </c>
      <c r="L233" s="136">
        <v>9</v>
      </c>
      <c r="M233" s="136">
        <v>6</v>
      </c>
      <c r="N233" s="136">
        <v>8</v>
      </c>
      <c r="O233" s="136">
        <v>7</v>
      </c>
      <c r="P233" s="218">
        <f t="shared" si="14"/>
        <v>71</v>
      </c>
    </row>
    <row r="234" spans="1:16" x14ac:dyDescent="0.35">
      <c r="A234" s="333"/>
      <c r="B234" s="336"/>
      <c r="C234" s="101" t="s">
        <v>1623</v>
      </c>
      <c r="D234" s="101" t="s">
        <v>2639</v>
      </c>
      <c r="E234" s="101"/>
      <c r="F234" s="101"/>
      <c r="G234" s="157" t="s">
        <v>2829</v>
      </c>
      <c r="H234" s="101">
        <v>8</v>
      </c>
      <c r="I234" s="101">
        <v>7</v>
      </c>
      <c r="J234" s="101">
        <v>27</v>
      </c>
      <c r="K234" s="101">
        <v>23</v>
      </c>
      <c r="L234" s="136">
        <v>6</v>
      </c>
      <c r="M234" s="136">
        <v>4</v>
      </c>
      <c r="N234" s="136">
        <v>9</v>
      </c>
      <c r="O234" s="136">
        <v>6</v>
      </c>
      <c r="P234" s="218">
        <f t="shared" si="14"/>
        <v>90</v>
      </c>
    </row>
    <row r="235" spans="1:16" x14ac:dyDescent="0.35">
      <c r="A235" s="333"/>
      <c r="B235" s="336"/>
      <c r="C235" s="101" t="s">
        <v>1623</v>
      </c>
      <c r="D235" s="101" t="s">
        <v>2639</v>
      </c>
      <c r="E235" s="101"/>
      <c r="F235" s="101"/>
      <c r="G235" s="157" t="s">
        <v>2830</v>
      </c>
      <c r="H235" s="101">
        <v>27</v>
      </c>
      <c r="I235" s="101">
        <v>23</v>
      </c>
      <c r="J235" s="101">
        <v>1</v>
      </c>
      <c r="K235" s="101">
        <v>24</v>
      </c>
      <c r="L235" s="136">
        <v>6</v>
      </c>
      <c r="M235" s="136">
        <v>5</v>
      </c>
      <c r="N235" s="136">
        <v>4</v>
      </c>
      <c r="O235" s="136">
        <v>6</v>
      </c>
      <c r="P235" s="218">
        <f t="shared" si="14"/>
        <v>96</v>
      </c>
    </row>
    <row r="236" spans="1:16" x14ac:dyDescent="0.35">
      <c r="A236" s="333"/>
      <c r="B236" s="336"/>
      <c r="C236" s="101" t="s">
        <v>1623</v>
      </c>
      <c r="D236" s="101" t="s">
        <v>2639</v>
      </c>
      <c r="E236" s="101"/>
      <c r="F236" s="101"/>
      <c r="G236" s="157" t="s">
        <v>2831</v>
      </c>
      <c r="H236" s="101">
        <v>4</v>
      </c>
      <c r="I236" s="101">
        <v>6</v>
      </c>
      <c r="J236" s="101">
        <v>8</v>
      </c>
      <c r="K236" s="101">
        <v>7</v>
      </c>
      <c r="L236" s="136">
        <v>10</v>
      </c>
      <c r="M236" s="136">
        <v>15</v>
      </c>
      <c r="N236" s="136">
        <v>7</v>
      </c>
      <c r="O236" s="136">
        <v>3</v>
      </c>
      <c r="P236" s="218">
        <f t="shared" si="14"/>
        <v>60</v>
      </c>
    </row>
    <row r="237" spans="1:16" x14ac:dyDescent="0.35">
      <c r="A237" s="333"/>
      <c r="B237" s="336"/>
      <c r="C237" s="101" t="s">
        <v>1623</v>
      </c>
      <c r="D237" s="101" t="s">
        <v>2639</v>
      </c>
      <c r="E237" s="101"/>
      <c r="F237" s="101"/>
      <c r="G237" s="157" t="s">
        <v>2832</v>
      </c>
      <c r="H237" s="101">
        <v>6</v>
      </c>
      <c r="I237" s="101">
        <v>4</v>
      </c>
      <c r="J237" s="101">
        <v>19</v>
      </c>
      <c r="K237" s="101">
        <v>15</v>
      </c>
      <c r="L237" s="136">
        <v>3</v>
      </c>
      <c r="M237" s="136">
        <v>4</v>
      </c>
      <c r="N237" s="136">
        <v>9</v>
      </c>
      <c r="O237" s="136">
        <v>11</v>
      </c>
      <c r="P237" s="218">
        <f t="shared" si="14"/>
        <v>71</v>
      </c>
    </row>
    <row r="238" spans="1:16" x14ac:dyDescent="0.35">
      <c r="A238" s="334"/>
      <c r="B238" s="337"/>
      <c r="C238" s="149"/>
      <c r="D238" s="149"/>
      <c r="E238" s="149"/>
      <c r="F238" s="149"/>
      <c r="G238" s="158" t="s">
        <v>2</v>
      </c>
      <c r="H238" s="159">
        <f>SUM(H228:H237)</f>
        <v>97</v>
      </c>
      <c r="I238" s="159">
        <f t="shared" ref="I238:O238" si="17">SUM(I228:I237)</f>
        <v>90</v>
      </c>
      <c r="J238" s="160">
        <f t="shared" si="17"/>
        <v>119</v>
      </c>
      <c r="K238" s="160">
        <f t="shared" si="17"/>
        <v>137</v>
      </c>
      <c r="L238" s="161">
        <f t="shared" si="17"/>
        <v>59</v>
      </c>
      <c r="M238" s="161">
        <f t="shared" si="17"/>
        <v>62</v>
      </c>
      <c r="N238" s="162">
        <f t="shared" si="17"/>
        <v>53</v>
      </c>
      <c r="O238" s="162">
        <f t="shared" si="17"/>
        <v>51</v>
      </c>
      <c r="P238" s="217">
        <f t="shared" si="14"/>
        <v>668</v>
      </c>
    </row>
    <row r="239" spans="1:16" x14ac:dyDescent="0.35">
      <c r="A239" s="332">
        <v>15</v>
      </c>
      <c r="B239" s="335" t="s">
        <v>2833</v>
      </c>
      <c r="C239" s="101" t="s">
        <v>1623</v>
      </c>
      <c r="D239" s="101" t="s">
        <v>2639</v>
      </c>
      <c r="E239" s="101"/>
      <c r="F239" s="101"/>
      <c r="G239" s="157" t="s">
        <v>2834</v>
      </c>
      <c r="H239" s="101">
        <v>4</v>
      </c>
      <c r="I239" s="101">
        <v>3</v>
      </c>
      <c r="J239" s="101">
        <v>8</v>
      </c>
      <c r="K239" s="101">
        <v>7</v>
      </c>
      <c r="L239" s="136">
        <v>10</v>
      </c>
      <c r="M239" s="136">
        <v>11</v>
      </c>
      <c r="N239" s="136">
        <v>11</v>
      </c>
      <c r="O239" s="136">
        <v>15</v>
      </c>
      <c r="P239" s="218">
        <f t="shared" si="14"/>
        <v>69</v>
      </c>
    </row>
    <row r="240" spans="1:16" x14ac:dyDescent="0.35">
      <c r="A240" s="333"/>
      <c r="B240" s="336"/>
      <c r="C240" s="101" t="s">
        <v>1623</v>
      </c>
      <c r="D240" s="101" t="s">
        <v>2639</v>
      </c>
      <c r="E240" s="101"/>
      <c r="F240" s="101"/>
      <c r="G240" s="157" t="s">
        <v>2835</v>
      </c>
      <c r="H240" s="101">
        <v>9</v>
      </c>
      <c r="I240" s="101">
        <v>10</v>
      </c>
      <c r="J240" s="101">
        <v>38</v>
      </c>
      <c r="K240" s="101">
        <v>37</v>
      </c>
      <c r="L240" s="136">
        <v>7</v>
      </c>
      <c r="M240" s="136">
        <v>7</v>
      </c>
      <c r="N240" s="136">
        <v>3</v>
      </c>
      <c r="O240" s="136">
        <v>3</v>
      </c>
      <c r="P240" s="218">
        <f t="shared" si="14"/>
        <v>114</v>
      </c>
    </row>
    <row r="241" spans="1:16" x14ac:dyDescent="0.35">
      <c r="A241" s="333"/>
      <c r="B241" s="336"/>
      <c r="C241" s="101" t="s">
        <v>1623</v>
      </c>
      <c r="D241" s="101" t="s">
        <v>2639</v>
      </c>
      <c r="E241" s="101"/>
      <c r="F241" s="101"/>
      <c r="G241" s="164" t="s">
        <v>2836</v>
      </c>
      <c r="H241" s="101">
        <v>3</v>
      </c>
      <c r="I241" s="101">
        <v>5</v>
      </c>
      <c r="J241" s="101">
        <v>6</v>
      </c>
      <c r="K241" s="101">
        <v>4</v>
      </c>
      <c r="L241" s="136">
        <v>4</v>
      </c>
      <c r="M241" s="136">
        <v>6</v>
      </c>
      <c r="N241" s="136">
        <v>2</v>
      </c>
      <c r="O241" s="136">
        <v>3</v>
      </c>
      <c r="P241" s="218">
        <f t="shared" si="14"/>
        <v>33</v>
      </c>
    </row>
    <row r="242" spans="1:16" x14ac:dyDescent="0.35">
      <c r="A242" s="333"/>
      <c r="B242" s="336"/>
      <c r="C242" s="101" t="s">
        <v>1623</v>
      </c>
      <c r="D242" s="101" t="s">
        <v>2639</v>
      </c>
      <c r="E242" s="101"/>
      <c r="F242" s="101"/>
      <c r="G242" s="157" t="s">
        <v>2837</v>
      </c>
      <c r="H242" s="101">
        <v>3</v>
      </c>
      <c r="I242" s="101">
        <v>4</v>
      </c>
      <c r="J242" s="101">
        <v>12</v>
      </c>
      <c r="K242" s="101">
        <v>11</v>
      </c>
      <c r="L242" s="136">
        <v>2</v>
      </c>
      <c r="M242" s="136">
        <v>2</v>
      </c>
      <c r="N242" s="136">
        <v>5</v>
      </c>
      <c r="O242" s="136">
        <v>3</v>
      </c>
      <c r="P242" s="218">
        <f t="shared" si="14"/>
        <v>42</v>
      </c>
    </row>
    <row r="243" spans="1:16" x14ac:dyDescent="0.35">
      <c r="A243" s="333"/>
      <c r="B243" s="336"/>
      <c r="C243" s="101" t="s">
        <v>1623</v>
      </c>
      <c r="D243" s="101" t="s">
        <v>2639</v>
      </c>
      <c r="E243" s="101"/>
      <c r="F243" s="101"/>
      <c r="G243" s="157" t="s">
        <v>2838</v>
      </c>
      <c r="H243" s="101">
        <v>2</v>
      </c>
      <c r="I243" s="101">
        <v>3</v>
      </c>
      <c r="J243" s="101">
        <v>24</v>
      </c>
      <c r="K243" s="101">
        <v>25</v>
      </c>
      <c r="L243" s="136">
        <v>17</v>
      </c>
      <c r="M243" s="136">
        <v>18</v>
      </c>
      <c r="N243" s="136">
        <v>16</v>
      </c>
      <c r="O243" s="136">
        <v>20</v>
      </c>
      <c r="P243" s="218">
        <f t="shared" si="14"/>
        <v>125</v>
      </c>
    </row>
    <row r="244" spans="1:16" x14ac:dyDescent="0.35">
      <c r="A244" s="333"/>
      <c r="B244" s="336"/>
      <c r="C244" s="101" t="s">
        <v>1623</v>
      </c>
      <c r="D244" s="101" t="s">
        <v>2639</v>
      </c>
      <c r="E244" s="101"/>
      <c r="F244" s="101"/>
      <c r="G244" s="157" t="s">
        <v>2839</v>
      </c>
      <c r="H244" s="101">
        <v>1</v>
      </c>
      <c r="I244" s="101">
        <v>2</v>
      </c>
      <c r="J244" s="101">
        <v>8</v>
      </c>
      <c r="K244" s="101">
        <v>8</v>
      </c>
      <c r="L244" s="136">
        <v>8</v>
      </c>
      <c r="M244" s="136">
        <v>7</v>
      </c>
      <c r="N244" s="136">
        <v>11</v>
      </c>
      <c r="O244" s="136">
        <v>9</v>
      </c>
      <c r="P244" s="218">
        <f t="shared" si="14"/>
        <v>54</v>
      </c>
    </row>
    <row r="245" spans="1:16" x14ac:dyDescent="0.35">
      <c r="A245" s="333"/>
      <c r="B245" s="336"/>
      <c r="C245" s="101" t="s">
        <v>1623</v>
      </c>
      <c r="D245" s="101" t="s">
        <v>2639</v>
      </c>
      <c r="E245" s="101"/>
      <c r="F245" s="101"/>
      <c r="G245" s="157" t="s">
        <v>2840</v>
      </c>
      <c r="H245" s="101">
        <v>16</v>
      </c>
      <c r="I245" s="101">
        <v>14</v>
      </c>
      <c r="J245" s="101">
        <v>10</v>
      </c>
      <c r="K245" s="101">
        <v>12</v>
      </c>
      <c r="L245" s="136">
        <v>9</v>
      </c>
      <c r="M245" s="136">
        <v>10</v>
      </c>
      <c r="N245" s="136">
        <v>6</v>
      </c>
      <c r="O245" s="136">
        <v>3</v>
      </c>
      <c r="P245" s="218">
        <f t="shared" si="14"/>
        <v>80</v>
      </c>
    </row>
    <row r="246" spans="1:16" x14ac:dyDescent="0.35">
      <c r="A246" s="333"/>
      <c r="B246" s="336"/>
      <c r="C246" s="101" t="s">
        <v>1623</v>
      </c>
      <c r="D246" s="101" t="s">
        <v>2639</v>
      </c>
      <c r="E246" s="101"/>
      <c r="F246" s="101"/>
      <c r="G246" s="157" t="s">
        <v>2841</v>
      </c>
      <c r="H246" s="101">
        <v>3</v>
      </c>
      <c r="I246" s="101">
        <v>1</v>
      </c>
      <c r="J246" s="101">
        <v>23</v>
      </c>
      <c r="K246" s="101">
        <v>25</v>
      </c>
      <c r="L246" s="136">
        <v>10</v>
      </c>
      <c r="M246" s="136">
        <v>8</v>
      </c>
      <c r="N246" s="136">
        <v>10</v>
      </c>
      <c r="O246" s="136">
        <v>3</v>
      </c>
      <c r="P246" s="218">
        <f t="shared" si="14"/>
        <v>83</v>
      </c>
    </row>
    <row r="247" spans="1:16" x14ac:dyDescent="0.35">
      <c r="A247" s="333"/>
      <c r="B247" s="336"/>
      <c r="C247" s="101" t="s">
        <v>1623</v>
      </c>
      <c r="D247" s="101" t="s">
        <v>2639</v>
      </c>
      <c r="E247" s="101"/>
      <c r="F247" s="101"/>
      <c r="G247" s="157" t="s">
        <v>2842</v>
      </c>
      <c r="H247" s="101">
        <v>11</v>
      </c>
      <c r="I247" s="101">
        <v>9</v>
      </c>
      <c r="J247" s="101">
        <v>9</v>
      </c>
      <c r="K247" s="101">
        <v>13</v>
      </c>
      <c r="L247" s="136">
        <v>2</v>
      </c>
      <c r="M247" s="136">
        <v>3</v>
      </c>
      <c r="N247" s="136">
        <v>3</v>
      </c>
      <c r="O247" s="136">
        <v>5</v>
      </c>
      <c r="P247" s="218">
        <f t="shared" si="14"/>
        <v>55</v>
      </c>
    </row>
    <row r="248" spans="1:16" x14ac:dyDescent="0.35">
      <c r="A248" s="333"/>
      <c r="B248" s="336"/>
      <c r="C248" s="101" t="s">
        <v>1623</v>
      </c>
      <c r="D248" s="101" t="s">
        <v>2639</v>
      </c>
      <c r="E248" s="101"/>
      <c r="F248" s="101"/>
      <c r="G248" s="157" t="s">
        <v>2843</v>
      </c>
      <c r="H248" s="101">
        <v>3</v>
      </c>
      <c r="I248" s="101">
        <v>6</v>
      </c>
      <c r="J248" s="101">
        <v>21</v>
      </c>
      <c r="K248" s="101">
        <v>16</v>
      </c>
      <c r="L248" s="136">
        <v>11</v>
      </c>
      <c r="M248" s="136">
        <v>9</v>
      </c>
      <c r="N248" s="136">
        <v>6</v>
      </c>
      <c r="O248" s="136">
        <v>7</v>
      </c>
      <c r="P248" s="218">
        <f t="shared" si="14"/>
        <v>79</v>
      </c>
    </row>
    <row r="249" spans="1:16" x14ac:dyDescent="0.35">
      <c r="A249" s="333"/>
      <c r="B249" s="336"/>
      <c r="C249" s="101" t="s">
        <v>1623</v>
      </c>
      <c r="D249" s="101" t="s">
        <v>2639</v>
      </c>
      <c r="E249" s="101"/>
      <c r="F249" s="101"/>
      <c r="G249" s="157" t="s">
        <v>274</v>
      </c>
      <c r="H249" s="101">
        <v>1</v>
      </c>
      <c r="I249" s="101">
        <v>0</v>
      </c>
      <c r="J249" s="101">
        <v>19</v>
      </c>
      <c r="K249" s="101">
        <v>16</v>
      </c>
      <c r="L249" s="136">
        <v>4</v>
      </c>
      <c r="M249" s="136">
        <v>3</v>
      </c>
      <c r="N249" s="136">
        <v>5</v>
      </c>
      <c r="O249" s="136">
        <v>3</v>
      </c>
      <c r="P249" s="218">
        <f t="shared" si="14"/>
        <v>51</v>
      </c>
    </row>
    <row r="250" spans="1:16" x14ac:dyDescent="0.35">
      <c r="A250" s="334"/>
      <c r="B250" s="337"/>
      <c r="C250" s="149"/>
      <c r="D250" s="149"/>
      <c r="E250" s="149"/>
      <c r="F250" s="149"/>
      <c r="G250" s="158" t="s">
        <v>2</v>
      </c>
      <c r="H250" s="159">
        <f>SUM(H239:H249)</f>
        <v>56</v>
      </c>
      <c r="I250" s="159">
        <f t="shared" ref="I250:O250" si="18">SUM(I239:I249)</f>
        <v>57</v>
      </c>
      <c r="J250" s="160">
        <f t="shared" si="18"/>
        <v>178</v>
      </c>
      <c r="K250" s="160">
        <f t="shared" si="18"/>
        <v>174</v>
      </c>
      <c r="L250" s="161">
        <f t="shared" si="18"/>
        <v>84</v>
      </c>
      <c r="M250" s="161">
        <f t="shared" si="18"/>
        <v>84</v>
      </c>
      <c r="N250" s="162">
        <f t="shared" si="18"/>
        <v>78</v>
      </c>
      <c r="O250" s="162">
        <f t="shared" si="18"/>
        <v>74</v>
      </c>
      <c r="P250" s="217">
        <f t="shared" si="14"/>
        <v>785</v>
      </c>
    </row>
    <row r="251" spans="1:16" x14ac:dyDescent="0.35">
      <c r="A251" s="332">
        <v>16</v>
      </c>
      <c r="B251" s="335" t="s">
        <v>2844</v>
      </c>
      <c r="C251" s="101" t="s">
        <v>1623</v>
      </c>
      <c r="D251" s="101" t="s">
        <v>2639</v>
      </c>
      <c r="E251" s="101"/>
      <c r="F251" s="101"/>
      <c r="G251" s="157" t="s">
        <v>2845</v>
      </c>
      <c r="H251" s="101">
        <v>12</v>
      </c>
      <c r="I251" s="101">
        <v>13</v>
      </c>
      <c r="J251" s="101">
        <v>72</v>
      </c>
      <c r="K251" s="101">
        <v>78</v>
      </c>
      <c r="L251" s="136">
        <v>11</v>
      </c>
      <c r="M251" s="136">
        <v>9</v>
      </c>
      <c r="N251" s="136">
        <v>18</v>
      </c>
      <c r="O251" s="136">
        <v>17</v>
      </c>
      <c r="P251" s="218">
        <f t="shared" si="14"/>
        <v>230</v>
      </c>
    </row>
    <row r="252" spans="1:16" x14ac:dyDescent="0.35">
      <c r="A252" s="333"/>
      <c r="B252" s="336"/>
      <c r="C252" s="101" t="s">
        <v>1623</v>
      </c>
      <c r="D252" s="101" t="s">
        <v>2639</v>
      </c>
      <c r="E252" s="101"/>
      <c r="F252" s="101"/>
      <c r="G252" s="157" t="s">
        <v>2839</v>
      </c>
      <c r="H252" s="101">
        <v>14</v>
      </c>
      <c r="I252" s="101">
        <v>15</v>
      </c>
      <c r="J252" s="101">
        <v>22</v>
      </c>
      <c r="K252" s="101">
        <v>23</v>
      </c>
      <c r="L252" s="136">
        <v>30</v>
      </c>
      <c r="M252" s="136">
        <v>15</v>
      </c>
      <c r="N252" s="136">
        <v>17</v>
      </c>
      <c r="O252" s="136">
        <v>23</v>
      </c>
      <c r="P252" s="218">
        <f t="shared" si="14"/>
        <v>159</v>
      </c>
    </row>
    <row r="253" spans="1:16" x14ac:dyDescent="0.35">
      <c r="A253" s="333"/>
      <c r="B253" s="336"/>
      <c r="C253" s="101" t="s">
        <v>1623</v>
      </c>
      <c r="D253" s="101" t="s">
        <v>2639</v>
      </c>
      <c r="E253" s="101"/>
      <c r="F253" s="101"/>
      <c r="G253" s="157" t="s">
        <v>2846</v>
      </c>
      <c r="H253" s="101">
        <v>22</v>
      </c>
      <c r="I253" s="101">
        <v>23</v>
      </c>
      <c r="J253" s="101">
        <v>28</v>
      </c>
      <c r="K253" s="101">
        <v>29</v>
      </c>
      <c r="L253" s="136">
        <v>20</v>
      </c>
      <c r="M253" s="136">
        <v>17</v>
      </c>
      <c r="N253" s="136">
        <v>20</v>
      </c>
      <c r="O253" s="136">
        <v>18</v>
      </c>
      <c r="P253" s="218">
        <f t="shared" si="14"/>
        <v>177</v>
      </c>
    </row>
    <row r="254" spans="1:16" x14ac:dyDescent="0.35">
      <c r="A254" s="333"/>
      <c r="B254" s="336"/>
      <c r="C254" s="101" t="s">
        <v>1623</v>
      </c>
      <c r="D254" s="101" t="s">
        <v>2639</v>
      </c>
      <c r="E254" s="101"/>
      <c r="F254" s="101"/>
      <c r="G254" s="157" t="s">
        <v>2847</v>
      </c>
      <c r="H254" s="101">
        <v>28</v>
      </c>
      <c r="I254" s="101">
        <v>22</v>
      </c>
      <c r="J254" s="101">
        <v>34</v>
      </c>
      <c r="K254" s="101">
        <v>36</v>
      </c>
      <c r="L254" s="136">
        <v>23</v>
      </c>
      <c r="M254" s="136">
        <v>21</v>
      </c>
      <c r="N254" s="136">
        <v>22</v>
      </c>
      <c r="O254" s="136">
        <v>26</v>
      </c>
      <c r="P254" s="218">
        <f t="shared" si="14"/>
        <v>212</v>
      </c>
    </row>
    <row r="255" spans="1:16" x14ac:dyDescent="0.35">
      <c r="A255" s="333"/>
      <c r="B255" s="336"/>
      <c r="C255" s="101" t="s">
        <v>1623</v>
      </c>
      <c r="D255" s="101" t="s">
        <v>2639</v>
      </c>
      <c r="E255" s="101"/>
      <c r="F255" s="101"/>
      <c r="G255" s="157" t="s">
        <v>2848</v>
      </c>
      <c r="H255" s="101">
        <v>8</v>
      </c>
      <c r="I255" s="101">
        <v>7</v>
      </c>
      <c r="J255" s="101">
        <v>22</v>
      </c>
      <c r="K255" s="101">
        <v>25</v>
      </c>
      <c r="L255" s="136">
        <v>21</v>
      </c>
      <c r="M255" s="136">
        <v>24</v>
      </c>
      <c r="N255" s="136">
        <v>22</v>
      </c>
      <c r="O255" s="136">
        <v>23</v>
      </c>
      <c r="P255" s="218">
        <f t="shared" si="14"/>
        <v>152</v>
      </c>
    </row>
    <row r="256" spans="1:16" x14ac:dyDescent="0.35">
      <c r="A256" s="333"/>
      <c r="B256" s="336"/>
      <c r="C256" s="101" t="s">
        <v>1623</v>
      </c>
      <c r="D256" s="101" t="s">
        <v>2639</v>
      </c>
      <c r="E256" s="101"/>
      <c r="F256" s="101"/>
      <c r="G256" s="157" t="s">
        <v>2849</v>
      </c>
      <c r="H256" s="101">
        <v>7</v>
      </c>
      <c r="I256" s="101">
        <v>8</v>
      </c>
      <c r="J256" s="101">
        <v>18</v>
      </c>
      <c r="K256" s="101">
        <v>20</v>
      </c>
      <c r="L256" s="136">
        <v>9</v>
      </c>
      <c r="M256" s="136">
        <v>13</v>
      </c>
      <c r="N256" s="136">
        <v>13</v>
      </c>
      <c r="O256" s="136">
        <v>12</v>
      </c>
      <c r="P256" s="218">
        <f t="shared" si="14"/>
        <v>100</v>
      </c>
    </row>
    <row r="257" spans="1:16" x14ac:dyDescent="0.35">
      <c r="A257" s="333"/>
      <c r="B257" s="336"/>
      <c r="C257" s="101" t="s">
        <v>1623</v>
      </c>
      <c r="D257" s="101" t="s">
        <v>2639</v>
      </c>
      <c r="E257" s="101"/>
      <c r="F257" s="101"/>
      <c r="G257" s="157" t="s">
        <v>2850</v>
      </c>
      <c r="H257" s="101">
        <v>19</v>
      </c>
      <c r="I257" s="101">
        <v>21</v>
      </c>
      <c r="J257" s="101">
        <v>39</v>
      </c>
      <c r="K257" s="101">
        <v>41</v>
      </c>
      <c r="L257" s="136">
        <v>26</v>
      </c>
      <c r="M257" s="136">
        <v>24</v>
      </c>
      <c r="N257" s="136">
        <v>34</v>
      </c>
      <c r="O257" s="136">
        <v>35</v>
      </c>
      <c r="P257" s="218">
        <f t="shared" si="14"/>
        <v>239</v>
      </c>
    </row>
    <row r="258" spans="1:16" x14ac:dyDescent="0.35">
      <c r="A258" s="333"/>
      <c r="B258" s="336"/>
      <c r="C258" s="101" t="s">
        <v>1623</v>
      </c>
      <c r="D258" s="101" t="s">
        <v>2639</v>
      </c>
      <c r="E258" s="101"/>
      <c r="F258" s="101"/>
      <c r="G258" s="157" t="s">
        <v>2851</v>
      </c>
      <c r="H258" s="101">
        <v>17</v>
      </c>
      <c r="I258" s="101">
        <v>13</v>
      </c>
      <c r="J258" s="101">
        <v>24</v>
      </c>
      <c r="K258" s="101">
        <v>26</v>
      </c>
      <c r="L258" s="136">
        <v>17</v>
      </c>
      <c r="M258" s="136">
        <v>13</v>
      </c>
      <c r="N258" s="136">
        <v>34</v>
      </c>
      <c r="O258" s="136">
        <v>31</v>
      </c>
      <c r="P258" s="218">
        <f t="shared" si="14"/>
        <v>175</v>
      </c>
    </row>
    <row r="259" spans="1:16" x14ac:dyDescent="0.35">
      <c r="A259" s="333"/>
      <c r="B259" s="336"/>
      <c r="C259" s="101" t="s">
        <v>1623</v>
      </c>
      <c r="D259" s="101" t="s">
        <v>2639</v>
      </c>
      <c r="E259" s="101"/>
      <c r="F259" s="101"/>
      <c r="G259" s="157" t="s">
        <v>2852</v>
      </c>
      <c r="H259" s="101">
        <v>15</v>
      </c>
      <c r="I259" s="101">
        <v>13</v>
      </c>
      <c r="J259" s="101">
        <v>41</v>
      </c>
      <c r="K259" s="101">
        <v>39</v>
      </c>
      <c r="L259" s="136">
        <v>28</v>
      </c>
      <c r="M259" s="136">
        <v>32</v>
      </c>
      <c r="N259" s="136">
        <v>34</v>
      </c>
      <c r="O259" s="136">
        <v>26</v>
      </c>
      <c r="P259" s="218">
        <f t="shared" si="14"/>
        <v>228</v>
      </c>
    </row>
    <row r="260" spans="1:16" x14ac:dyDescent="0.35">
      <c r="A260" s="333"/>
      <c r="B260" s="336"/>
      <c r="C260" s="101" t="s">
        <v>1623</v>
      </c>
      <c r="D260" s="101" t="s">
        <v>2639</v>
      </c>
      <c r="E260" s="101"/>
      <c r="F260" s="101"/>
      <c r="G260" s="157" t="s">
        <v>2853</v>
      </c>
      <c r="H260" s="101">
        <v>16</v>
      </c>
      <c r="I260" s="101">
        <v>14</v>
      </c>
      <c r="J260" s="101">
        <v>32</v>
      </c>
      <c r="K260" s="101">
        <v>28</v>
      </c>
      <c r="L260" s="136">
        <v>18</v>
      </c>
      <c r="M260" s="136">
        <v>22</v>
      </c>
      <c r="N260" s="136">
        <v>25</v>
      </c>
      <c r="O260" s="136">
        <v>25</v>
      </c>
      <c r="P260" s="218">
        <f t="shared" si="14"/>
        <v>180</v>
      </c>
    </row>
    <row r="261" spans="1:16" x14ac:dyDescent="0.35">
      <c r="A261" s="333"/>
      <c r="B261" s="336"/>
      <c r="C261" s="101" t="s">
        <v>1623</v>
      </c>
      <c r="D261" s="101" t="s">
        <v>2639</v>
      </c>
      <c r="E261" s="101"/>
      <c r="F261" s="101"/>
      <c r="G261" s="157" t="s">
        <v>2854</v>
      </c>
      <c r="H261" s="101">
        <v>36</v>
      </c>
      <c r="I261" s="101">
        <v>34</v>
      </c>
      <c r="J261" s="101">
        <v>43</v>
      </c>
      <c r="K261" s="101">
        <v>57</v>
      </c>
      <c r="L261" s="136">
        <v>29</v>
      </c>
      <c r="M261" s="136">
        <v>31</v>
      </c>
      <c r="N261" s="136">
        <v>27</v>
      </c>
      <c r="O261" s="136">
        <v>23</v>
      </c>
      <c r="P261" s="218">
        <f t="shared" si="14"/>
        <v>280</v>
      </c>
    </row>
    <row r="262" spans="1:16" x14ac:dyDescent="0.35">
      <c r="A262" s="333"/>
      <c r="B262" s="336"/>
      <c r="C262" s="101" t="s">
        <v>1623</v>
      </c>
      <c r="D262" s="101" t="s">
        <v>2639</v>
      </c>
      <c r="E262" s="101"/>
      <c r="F262" s="101"/>
      <c r="G262" s="157" t="s">
        <v>2855</v>
      </c>
      <c r="H262" s="101">
        <v>16</v>
      </c>
      <c r="I262" s="101">
        <v>14</v>
      </c>
      <c r="J262" s="101">
        <v>33</v>
      </c>
      <c r="K262" s="101">
        <v>32</v>
      </c>
      <c r="L262" s="136">
        <v>12</v>
      </c>
      <c r="M262" s="136">
        <v>13</v>
      </c>
      <c r="N262" s="136">
        <v>27</v>
      </c>
      <c r="O262" s="136">
        <v>13</v>
      </c>
      <c r="P262" s="218">
        <f t="shared" ref="P262:P325" si="19">H262+I262+J262+K262+L262+M262+N262+O262</f>
        <v>160</v>
      </c>
    </row>
    <row r="263" spans="1:16" x14ac:dyDescent="0.35">
      <c r="A263" s="333"/>
      <c r="B263" s="336"/>
      <c r="C263" s="101" t="s">
        <v>1623</v>
      </c>
      <c r="D263" s="101" t="s">
        <v>2639</v>
      </c>
      <c r="E263" s="101"/>
      <c r="F263" s="101"/>
      <c r="G263" s="157" t="s">
        <v>1757</v>
      </c>
      <c r="H263" s="101">
        <v>14</v>
      </c>
      <c r="I263" s="101">
        <v>16</v>
      </c>
      <c r="J263" s="101">
        <v>19</v>
      </c>
      <c r="K263" s="101">
        <v>21</v>
      </c>
      <c r="L263" s="136">
        <v>24</v>
      </c>
      <c r="M263" s="136">
        <v>26</v>
      </c>
      <c r="N263" s="136">
        <v>16</v>
      </c>
      <c r="O263" s="136">
        <v>19</v>
      </c>
      <c r="P263" s="218">
        <f t="shared" si="19"/>
        <v>155</v>
      </c>
    </row>
    <row r="264" spans="1:16" x14ac:dyDescent="0.35">
      <c r="A264" s="333"/>
      <c r="B264" s="336"/>
      <c r="C264" s="101" t="s">
        <v>1623</v>
      </c>
      <c r="D264" s="101" t="s">
        <v>2639</v>
      </c>
      <c r="E264" s="101"/>
      <c r="F264" s="101"/>
      <c r="G264" s="157" t="s">
        <v>2856</v>
      </c>
      <c r="H264" s="101">
        <v>14</v>
      </c>
      <c r="I264" s="101">
        <v>16</v>
      </c>
      <c r="J264" s="101">
        <v>34</v>
      </c>
      <c r="K264" s="101">
        <v>36</v>
      </c>
      <c r="L264" s="136">
        <v>26</v>
      </c>
      <c r="M264" s="136">
        <v>34</v>
      </c>
      <c r="N264" s="136">
        <v>24</v>
      </c>
      <c r="O264" s="136">
        <v>21</v>
      </c>
      <c r="P264" s="218">
        <f t="shared" si="19"/>
        <v>205</v>
      </c>
    </row>
    <row r="265" spans="1:16" x14ac:dyDescent="0.35">
      <c r="A265" s="333"/>
      <c r="B265" s="336"/>
      <c r="C265" s="101" t="s">
        <v>1623</v>
      </c>
      <c r="D265" s="101" t="s">
        <v>2639</v>
      </c>
      <c r="E265" s="101"/>
      <c r="F265" s="101"/>
      <c r="G265" s="157" t="s">
        <v>2857</v>
      </c>
      <c r="H265" s="101">
        <v>17</v>
      </c>
      <c r="I265" s="101">
        <v>18</v>
      </c>
      <c r="J265" s="101">
        <v>44</v>
      </c>
      <c r="K265" s="101">
        <v>46</v>
      </c>
      <c r="L265" s="136">
        <v>31</v>
      </c>
      <c r="M265" s="136">
        <v>19</v>
      </c>
      <c r="N265" s="136">
        <v>21</v>
      </c>
      <c r="O265" s="136">
        <v>24</v>
      </c>
      <c r="P265" s="218">
        <f t="shared" si="19"/>
        <v>220</v>
      </c>
    </row>
    <row r="266" spans="1:16" x14ac:dyDescent="0.35">
      <c r="A266" s="333"/>
      <c r="B266" s="336"/>
      <c r="C266" s="101" t="s">
        <v>1623</v>
      </c>
      <c r="D266" s="101" t="s">
        <v>2639</v>
      </c>
      <c r="E266" s="101"/>
      <c r="F266" s="101"/>
      <c r="G266" s="157" t="s">
        <v>2858</v>
      </c>
      <c r="H266" s="101">
        <v>27</v>
      </c>
      <c r="I266" s="101">
        <v>23</v>
      </c>
      <c r="J266" s="101">
        <v>42</v>
      </c>
      <c r="K266" s="101">
        <v>48</v>
      </c>
      <c r="L266" s="136">
        <v>26</v>
      </c>
      <c r="M266" s="136">
        <v>24</v>
      </c>
      <c r="N266" s="136">
        <v>24</v>
      </c>
      <c r="O266" s="136">
        <v>26</v>
      </c>
      <c r="P266" s="218">
        <f t="shared" si="19"/>
        <v>240</v>
      </c>
    </row>
    <row r="267" spans="1:16" x14ac:dyDescent="0.35">
      <c r="A267" s="333"/>
      <c r="B267" s="336"/>
      <c r="C267" s="101" t="s">
        <v>1623</v>
      </c>
      <c r="D267" s="101" t="s">
        <v>2639</v>
      </c>
      <c r="E267" s="101"/>
      <c r="F267" s="101"/>
      <c r="G267" s="157" t="s">
        <v>2859</v>
      </c>
      <c r="H267" s="101">
        <v>19</v>
      </c>
      <c r="I267" s="101">
        <v>16</v>
      </c>
      <c r="J267" s="101">
        <v>29</v>
      </c>
      <c r="K267" s="101">
        <v>31</v>
      </c>
      <c r="L267" s="136">
        <v>26</v>
      </c>
      <c r="M267" s="136">
        <v>24</v>
      </c>
      <c r="N267" s="136">
        <v>24</v>
      </c>
      <c r="O267" s="136">
        <v>21</v>
      </c>
      <c r="P267" s="218">
        <f t="shared" si="19"/>
        <v>190</v>
      </c>
    </row>
    <row r="268" spans="1:16" x14ac:dyDescent="0.35">
      <c r="A268" s="333"/>
      <c r="B268" s="336"/>
      <c r="C268" s="101" t="s">
        <v>1623</v>
      </c>
      <c r="D268" s="101" t="s">
        <v>2639</v>
      </c>
      <c r="E268" s="101"/>
      <c r="F268" s="101"/>
      <c r="G268" s="157" t="s">
        <v>2860</v>
      </c>
      <c r="H268" s="101">
        <v>17</v>
      </c>
      <c r="I268" s="101">
        <v>13</v>
      </c>
      <c r="J268" s="101">
        <v>27</v>
      </c>
      <c r="K268" s="101">
        <v>33</v>
      </c>
      <c r="L268" s="136">
        <v>17</v>
      </c>
      <c r="M268" s="136">
        <v>23</v>
      </c>
      <c r="N268" s="136">
        <v>17</v>
      </c>
      <c r="O268" s="136">
        <v>18</v>
      </c>
      <c r="P268" s="218">
        <f t="shared" si="19"/>
        <v>165</v>
      </c>
    </row>
    <row r="269" spans="1:16" x14ac:dyDescent="0.35">
      <c r="A269" s="334"/>
      <c r="B269" s="337"/>
      <c r="C269" s="149"/>
      <c r="D269" s="149"/>
      <c r="E269" s="149"/>
      <c r="F269" s="149"/>
      <c r="G269" s="158" t="s">
        <v>2</v>
      </c>
      <c r="H269" s="159">
        <f>SUM(H251:H268)</f>
        <v>318</v>
      </c>
      <c r="I269" s="159">
        <f t="shared" ref="I269:O269" si="20">SUM(I251:I268)</f>
        <v>299</v>
      </c>
      <c r="J269" s="160">
        <f t="shared" si="20"/>
        <v>603</v>
      </c>
      <c r="K269" s="160">
        <f t="shared" si="20"/>
        <v>649</v>
      </c>
      <c r="L269" s="161">
        <f t="shared" si="20"/>
        <v>394</v>
      </c>
      <c r="M269" s="161">
        <f t="shared" si="20"/>
        <v>384</v>
      </c>
      <c r="N269" s="162">
        <f t="shared" si="20"/>
        <v>419</v>
      </c>
      <c r="O269" s="162">
        <f t="shared" si="20"/>
        <v>401</v>
      </c>
      <c r="P269" s="217">
        <f t="shared" si="19"/>
        <v>3467</v>
      </c>
    </row>
    <row r="270" spans="1:16" x14ac:dyDescent="0.35">
      <c r="A270" s="332">
        <v>17</v>
      </c>
      <c r="B270" s="335" t="s">
        <v>2861</v>
      </c>
      <c r="C270" s="101" t="s">
        <v>1623</v>
      </c>
      <c r="D270" s="101" t="s">
        <v>2639</v>
      </c>
      <c r="E270" s="101"/>
      <c r="F270" s="101"/>
      <c r="G270" s="157" t="s">
        <v>2862</v>
      </c>
      <c r="H270" s="101">
        <v>16</v>
      </c>
      <c r="I270" s="101">
        <v>12</v>
      </c>
      <c r="J270" s="101">
        <v>20</v>
      </c>
      <c r="K270" s="101">
        <v>21</v>
      </c>
      <c r="L270" s="136">
        <v>19</v>
      </c>
      <c r="M270" s="136">
        <v>22</v>
      </c>
      <c r="N270" s="136">
        <v>1</v>
      </c>
      <c r="O270" s="136">
        <v>10</v>
      </c>
      <c r="P270" s="218">
        <f t="shared" si="19"/>
        <v>121</v>
      </c>
    </row>
    <row r="271" spans="1:16" x14ac:dyDescent="0.35">
      <c r="A271" s="333"/>
      <c r="B271" s="336"/>
      <c r="C271" s="101" t="s">
        <v>1623</v>
      </c>
      <c r="D271" s="101" t="s">
        <v>2639</v>
      </c>
      <c r="E271" s="101"/>
      <c r="F271" s="101"/>
      <c r="G271" s="157" t="s">
        <v>2863</v>
      </c>
      <c r="H271" s="101">
        <v>2</v>
      </c>
      <c r="I271" s="101">
        <v>3</v>
      </c>
      <c r="J271" s="101">
        <v>7</v>
      </c>
      <c r="K271" s="101">
        <v>8</v>
      </c>
      <c r="L271" s="136">
        <v>11</v>
      </c>
      <c r="M271" s="136">
        <v>13</v>
      </c>
      <c r="N271" s="136">
        <v>3</v>
      </c>
      <c r="O271" s="136">
        <v>5</v>
      </c>
      <c r="P271" s="218">
        <f t="shared" si="19"/>
        <v>52</v>
      </c>
    </row>
    <row r="272" spans="1:16" x14ac:dyDescent="0.35">
      <c r="A272" s="333"/>
      <c r="B272" s="336"/>
      <c r="C272" s="101" t="s">
        <v>1623</v>
      </c>
      <c r="D272" s="101" t="s">
        <v>2639</v>
      </c>
      <c r="E272" s="101"/>
      <c r="F272" s="101"/>
      <c r="G272" s="157" t="s">
        <v>2110</v>
      </c>
      <c r="H272" s="101">
        <v>3</v>
      </c>
      <c r="I272" s="101">
        <v>4</v>
      </c>
      <c r="J272" s="101">
        <v>19</v>
      </c>
      <c r="K272" s="101">
        <v>21</v>
      </c>
      <c r="L272" s="136">
        <v>3</v>
      </c>
      <c r="M272" s="136">
        <v>4</v>
      </c>
      <c r="N272" s="136">
        <v>4</v>
      </c>
      <c r="O272" s="136">
        <v>11</v>
      </c>
      <c r="P272" s="218">
        <f t="shared" si="19"/>
        <v>69</v>
      </c>
    </row>
    <row r="273" spans="1:16" x14ac:dyDescent="0.35">
      <c r="A273" s="333"/>
      <c r="B273" s="336"/>
      <c r="C273" s="101" t="s">
        <v>1623</v>
      </c>
      <c r="D273" s="101" t="s">
        <v>2639</v>
      </c>
      <c r="E273" s="101"/>
      <c r="F273" s="101"/>
      <c r="G273" s="157" t="s">
        <v>2864</v>
      </c>
      <c r="H273" s="101">
        <v>4</v>
      </c>
      <c r="I273" s="101">
        <v>2</v>
      </c>
      <c r="J273" s="101">
        <v>5</v>
      </c>
      <c r="K273" s="101">
        <v>8</v>
      </c>
      <c r="L273" s="136">
        <v>3</v>
      </c>
      <c r="M273" s="136">
        <v>3</v>
      </c>
      <c r="N273" s="136">
        <v>10</v>
      </c>
      <c r="O273" s="136">
        <v>12</v>
      </c>
      <c r="P273" s="218">
        <f t="shared" si="19"/>
        <v>47</v>
      </c>
    </row>
    <row r="274" spans="1:16" x14ac:dyDescent="0.35">
      <c r="A274" s="333"/>
      <c r="B274" s="336"/>
      <c r="C274" s="101" t="s">
        <v>1623</v>
      </c>
      <c r="D274" s="101" t="s">
        <v>2639</v>
      </c>
      <c r="E274" s="101"/>
      <c r="F274" s="101"/>
      <c r="G274" s="157" t="s">
        <v>2817</v>
      </c>
      <c r="H274" s="101">
        <v>3</v>
      </c>
      <c r="I274" s="101">
        <v>2</v>
      </c>
      <c r="J274" s="101">
        <v>8</v>
      </c>
      <c r="K274" s="101">
        <v>7</v>
      </c>
      <c r="L274" s="136">
        <v>6</v>
      </c>
      <c r="M274" s="136">
        <v>2</v>
      </c>
      <c r="N274" s="136">
        <v>10</v>
      </c>
      <c r="O274" s="136">
        <v>6</v>
      </c>
      <c r="P274" s="218">
        <f t="shared" si="19"/>
        <v>44</v>
      </c>
    </row>
    <row r="275" spans="1:16" x14ac:dyDescent="0.35">
      <c r="A275" s="333"/>
      <c r="B275" s="336"/>
      <c r="C275" s="101" t="s">
        <v>1623</v>
      </c>
      <c r="D275" s="101" t="s">
        <v>2639</v>
      </c>
      <c r="E275" s="101"/>
      <c r="F275" s="101"/>
      <c r="G275" s="157" t="s">
        <v>2865</v>
      </c>
      <c r="H275" s="101">
        <v>11</v>
      </c>
      <c r="I275" s="101">
        <v>7</v>
      </c>
      <c r="J275" s="101">
        <v>6</v>
      </c>
      <c r="K275" s="101">
        <v>4</v>
      </c>
      <c r="L275" s="136">
        <v>5</v>
      </c>
      <c r="M275" s="136">
        <v>4</v>
      </c>
      <c r="N275" s="136">
        <v>6</v>
      </c>
      <c r="O275" s="136">
        <v>6</v>
      </c>
      <c r="P275" s="218">
        <f t="shared" si="19"/>
        <v>49</v>
      </c>
    </row>
    <row r="276" spans="1:16" x14ac:dyDescent="0.35">
      <c r="A276" s="333"/>
      <c r="B276" s="336"/>
      <c r="C276" s="101" t="s">
        <v>1623</v>
      </c>
      <c r="D276" s="101" t="s">
        <v>2639</v>
      </c>
      <c r="E276" s="101"/>
      <c r="F276" s="101"/>
      <c r="G276" s="157" t="s">
        <v>2668</v>
      </c>
      <c r="H276" s="101">
        <v>4</v>
      </c>
      <c r="I276" s="101">
        <v>6</v>
      </c>
      <c r="J276" s="101">
        <v>7</v>
      </c>
      <c r="K276" s="101">
        <v>5</v>
      </c>
      <c r="L276" s="136">
        <v>7</v>
      </c>
      <c r="M276" s="136">
        <v>5</v>
      </c>
      <c r="N276" s="136">
        <v>10</v>
      </c>
      <c r="O276" s="136">
        <v>12</v>
      </c>
      <c r="P276" s="218">
        <f t="shared" si="19"/>
        <v>56</v>
      </c>
    </row>
    <row r="277" spans="1:16" x14ac:dyDescent="0.35">
      <c r="A277" s="333"/>
      <c r="B277" s="336"/>
      <c r="C277" s="101" t="s">
        <v>1623</v>
      </c>
      <c r="D277" s="101" t="s">
        <v>2639</v>
      </c>
      <c r="E277" s="101"/>
      <c r="F277" s="101"/>
      <c r="G277" s="157" t="s">
        <v>2489</v>
      </c>
      <c r="H277" s="101">
        <v>2</v>
      </c>
      <c r="I277" s="101">
        <v>2</v>
      </c>
      <c r="J277" s="101">
        <v>10</v>
      </c>
      <c r="K277" s="101">
        <v>11</v>
      </c>
      <c r="L277" s="136">
        <v>11</v>
      </c>
      <c r="M277" s="136">
        <v>7</v>
      </c>
      <c r="N277" s="136">
        <v>7</v>
      </c>
      <c r="O277" s="136">
        <v>9</v>
      </c>
      <c r="P277" s="218">
        <f t="shared" si="19"/>
        <v>59</v>
      </c>
    </row>
    <row r="278" spans="1:16" x14ac:dyDescent="0.35">
      <c r="A278" s="333"/>
      <c r="B278" s="336"/>
      <c r="C278" s="101" t="s">
        <v>1623</v>
      </c>
      <c r="D278" s="101" t="s">
        <v>2639</v>
      </c>
      <c r="E278" s="101"/>
      <c r="F278" s="101"/>
      <c r="G278" s="157" t="s">
        <v>2010</v>
      </c>
      <c r="H278" s="101">
        <v>9</v>
      </c>
      <c r="I278" s="101">
        <v>11</v>
      </c>
      <c r="J278" s="101">
        <v>11</v>
      </c>
      <c r="K278" s="101">
        <v>13</v>
      </c>
      <c r="L278" s="136">
        <v>9</v>
      </c>
      <c r="M278" s="136">
        <v>11</v>
      </c>
      <c r="N278" s="136">
        <v>11</v>
      </c>
      <c r="O278" s="136">
        <v>14</v>
      </c>
      <c r="P278" s="218">
        <f t="shared" si="19"/>
        <v>89</v>
      </c>
    </row>
    <row r="279" spans="1:16" x14ac:dyDescent="0.35">
      <c r="A279" s="333"/>
      <c r="B279" s="336"/>
      <c r="C279" s="101" t="s">
        <v>1623</v>
      </c>
      <c r="D279" s="101" t="s">
        <v>2639</v>
      </c>
      <c r="E279" s="101"/>
      <c r="F279" s="101"/>
      <c r="G279" s="157" t="s">
        <v>2866</v>
      </c>
      <c r="H279" s="101">
        <v>7</v>
      </c>
      <c r="I279" s="101">
        <v>5</v>
      </c>
      <c r="J279" s="101">
        <v>12</v>
      </c>
      <c r="K279" s="101">
        <v>13</v>
      </c>
      <c r="L279" s="136">
        <v>23</v>
      </c>
      <c r="M279" s="136">
        <v>15</v>
      </c>
      <c r="N279" s="136">
        <v>10</v>
      </c>
      <c r="O279" s="136">
        <v>15</v>
      </c>
      <c r="P279" s="218">
        <f t="shared" si="19"/>
        <v>100</v>
      </c>
    </row>
    <row r="280" spans="1:16" x14ac:dyDescent="0.35">
      <c r="A280" s="333"/>
      <c r="B280" s="336"/>
      <c r="C280" s="101" t="s">
        <v>1623</v>
      </c>
      <c r="D280" s="101" t="s">
        <v>2639</v>
      </c>
      <c r="E280" s="101"/>
      <c r="F280" s="101"/>
      <c r="G280" s="157" t="s">
        <v>2867</v>
      </c>
      <c r="H280" s="101">
        <v>2</v>
      </c>
      <c r="I280" s="101">
        <v>3</v>
      </c>
      <c r="J280" s="101">
        <v>10</v>
      </c>
      <c r="K280" s="101">
        <v>17</v>
      </c>
      <c r="L280" s="136">
        <v>13</v>
      </c>
      <c r="M280" s="136">
        <v>12</v>
      </c>
      <c r="N280" s="136">
        <v>8</v>
      </c>
      <c r="O280" s="136">
        <v>6</v>
      </c>
      <c r="P280" s="218">
        <f t="shared" si="19"/>
        <v>71</v>
      </c>
    </row>
    <row r="281" spans="1:16" x14ac:dyDescent="0.35">
      <c r="A281" s="333"/>
      <c r="B281" s="336"/>
      <c r="C281" s="101" t="s">
        <v>1623</v>
      </c>
      <c r="D281" s="101" t="s">
        <v>2639</v>
      </c>
      <c r="E281" s="101"/>
      <c r="F281" s="101"/>
      <c r="G281" s="157" t="s">
        <v>2868</v>
      </c>
      <c r="H281" s="101">
        <v>4</v>
      </c>
      <c r="I281" s="101">
        <v>2</v>
      </c>
      <c r="J281" s="101">
        <v>8</v>
      </c>
      <c r="K281" s="101">
        <v>6</v>
      </c>
      <c r="L281" s="136">
        <v>13</v>
      </c>
      <c r="M281" s="136">
        <v>11</v>
      </c>
      <c r="N281" s="136">
        <v>14</v>
      </c>
      <c r="O281" s="136">
        <v>11</v>
      </c>
      <c r="P281" s="218">
        <f t="shared" si="19"/>
        <v>69</v>
      </c>
    </row>
    <row r="282" spans="1:16" x14ac:dyDescent="0.35">
      <c r="A282" s="333"/>
      <c r="B282" s="336"/>
      <c r="C282" s="101" t="s">
        <v>1623</v>
      </c>
      <c r="D282" s="101" t="s">
        <v>2639</v>
      </c>
      <c r="E282" s="101"/>
      <c r="F282" s="101"/>
      <c r="G282" s="157" t="s">
        <v>2869</v>
      </c>
      <c r="H282" s="101">
        <v>2</v>
      </c>
      <c r="I282" s="101">
        <v>4</v>
      </c>
      <c r="J282" s="101">
        <v>11</v>
      </c>
      <c r="K282" s="101">
        <v>12</v>
      </c>
      <c r="L282" s="136">
        <v>6</v>
      </c>
      <c r="M282" s="136">
        <v>4</v>
      </c>
      <c r="N282" s="136">
        <v>7</v>
      </c>
      <c r="O282" s="136">
        <v>5</v>
      </c>
      <c r="P282" s="218">
        <f t="shared" si="19"/>
        <v>51</v>
      </c>
    </row>
    <row r="283" spans="1:16" x14ac:dyDescent="0.35">
      <c r="A283" s="333"/>
      <c r="B283" s="336"/>
      <c r="C283" s="101" t="s">
        <v>1623</v>
      </c>
      <c r="D283" s="101" t="s">
        <v>2639</v>
      </c>
      <c r="E283" s="101"/>
      <c r="F283" s="101"/>
      <c r="G283" s="157" t="s">
        <v>2693</v>
      </c>
      <c r="H283" s="101">
        <v>1</v>
      </c>
      <c r="I283" s="101">
        <v>1</v>
      </c>
      <c r="J283" s="101">
        <v>9</v>
      </c>
      <c r="K283" s="101">
        <v>13</v>
      </c>
      <c r="L283" s="136">
        <v>8</v>
      </c>
      <c r="M283" s="136">
        <v>6</v>
      </c>
      <c r="N283" s="136">
        <v>8</v>
      </c>
      <c r="O283" s="136">
        <v>11</v>
      </c>
      <c r="P283" s="218">
        <f t="shared" si="19"/>
        <v>57</v>
      </c>
    </row>
    <row r="284" spans="1:16" x14ac:dyDescent="0.35">
      <c r="A284" s="333"/>
      <c r="B284" s="336"/>
      <c r="C284" s="101" t="s">
        <v>1623</v>
      </c>
      <c r="D284" s="101" t="s">
        <v>2639</v>
      </c>
      <c r="E284" s="101"/>
      <c r="F284" s="101"/>
      <c r="G284" s="157" t="s">
        <v>2870</v>
      </c>
      <c r="H284" s="101">
        <v>3</v>
      </c>
      <c r="I284" s="101">
        <v>5</v>
      </c>
      <c r="J284" s="101">
        <v>16</v>
      </c>
      <c r="K284" s="101">
        <v>12</v>
      </c>
      <c r="L284" s="136">
        <v>6</v>
      </c>
      <c r="M284" s="136">
        <v>8</v>
      </c>
      <c r="N284" s="136">
        <v>9</v>
      </c>
      <c r="O284" s="136">
        <v>7</v>
      </c>
      <c r="P284" s="218">
        <f t="shared" si="19"/>
        <v>66</v>
      </c>
    </row>
    <row r="285" spans="1:16" x14ac:dyDescent="0.35">
      <c r="A285" s="333"/>
      <c r="B285" s="336"/>
      <c r="C285" s="101" t="s">
        <v>1623</v>
      </c>
      <c r="D285" s="101" t="s">
        <v>2639</v>
      </c>
      <c r="E285" s="101"/>
      <c r="F285" s="101"/>
      <c r="G285" s="157" t="s">
        <v>2871</v>
      </c>
      <c r="H285" s="101">
        <v>8</v>
      </c>
      <c r="I285" s="101">
        <v>7</v>
      </c>
      <c r="J285" s="101">
        <v>17</v>
      </c>
      <c r="K285" s="101">
        <v>18</v>
      </c>
      <c r="L285" s="136">
        <v>9</v>
      </c>
      <c r="M285" s="136">
        <v>12</v>
      </c>
      <c r="N285" s="136">
        <v>16</v>
      </c>
      <c r="O285" s="136">
        <v>15</v>
      </c>
      <c r="P285" s="218">
        <f t="shared" si="19"/>
        <v>102</v>
      </c>
    </row>
    <row r="286" spans="1:16" x14ac:dyDescent="0.35">
      <c r="A286" s="333"/>
      <c r="B286" s="336"/>
      <c r="C286" s="101" t="s">
        <v>1623</v>
      </c>
      <c r="D286" s="101" t="s">
        <v>2639</v>
      </c>
      <c r="E286" s="101"/>
      <c r="F286" s="101"/>
      <c r="G286" s="157" t="s">
        <v>2748</v>
      </c>
      <c r="H286" s="101">
        <v>5</v>
      </c>
      <c r="I286" s="101">
        <v>3</v>
      </c>
      <c r="J286" s="101">
        <v>9</v>
      </c>
      <c r="K286" s="101">
        <v>13</v>
      </c>
      <c r="L286" s="136">
        <v>7</v>
      </c>
      <c r="M286" s="136">
        <v>8</v>
      </c>
      <c r="N286" s="136">
        <v>6</v>
      </c>
      <c r="O286" s="136">
        <v>12</v>
      </c>
      <c r="P286" s="218">
        <f t="shared" si="19"/>
        <v>63</v>
      </c>
    </row>
    <row r="287" spans="1:16" x14ac:dyDescent="0.35">
      <c r="A287" s="333"/>
      <c r="B287" s="336"/>
      <c r="C287" s="101" t="s">
        <v>1623</v>
      </c>
      <c r="D287" s="101" t="s">
        <v>2639</v>
      </c>
      <c r="E287" s="101"/>
      <c r="F287" s="101"/>
      <c r="G287" s="157" t="s">
        <v>2872</v>
      </c>
      <c r="H287" s="101">
        <v>8</v>
      </c>
      <c r="I287" s="101">
        <v>12</v>
      </c>
      <c r="J287" s="101">
        <v>13</v>
      </c>
      <c r="K287" s="101">
        <v>15</v>
      </c>
      <c r="L287" s="136">
        <v>8</v>
      </c>
      <c r="M287" s="136">
        <v>12</v>
      </c>
      <c r="N287" s="136">
        <v>8</v>
      </c>
      <c r="O287" s="136">
        <v>7</v>
      </c>
      <c r="P287" s="218">
        <f t="shared" si="19"/>
        <v>83</v>
      </c>
    </row>
    <row r="288" spans="1:16" x14ac:dyDescent="0.35">
      <c r="A288" s="333"/>
      <c r="B288" s="336"/>
      <c r="C288" s="101" t="s">
        <v>1623</v>
      </c>
      <c r="D288" s="101" t="s">
        <v>2639</v>
      </c>
      <c r="E288" s="101"/>
      <c r="F288" s="101"/>
      <c r="G288" s="157" t="s">
        <v>2873</v>
      </c>
      <c r="H288" s="101">
        <v>4</v>
      </c>
      <c r="I288" s="101">
        <v>2</v>
      </c>
      <c r="J288" s="101">
        <v>9</v>
      </c>
      <c r="K288" s="101">
        <v>11</v>
      </c>
      <c r="L288" s="136">
        <v>9</v>
      </c>
      <c r="M288" s="136">
        <v>11</v>
      </c>
      <c r="N288" s="136">
        <v>12</v>
      </c>
      <c r="O288" s="136">
        <v>8</v>
      </c>
      <c r="P288" s="218">
        <f t="shared" si="19"/>
        <v>66</v>
      </c>
    </row>
    <row r="289" spans="1:16" x14ac:dyDescent="0.35">
      <c r="A289" s="333"/>
      <c r="B289" s="336"/>
      <c r="C289" s="101" t="s">
        <v>1623</v>
      </c>
      <c r="D289" s="101" t="s">
        <v>2639</v>
      </c>
      <c r="E289" s="101"/>
      <c r="F289" s="101"/>
      <c r="G289" s="157" t="s">
        <v>241</v>
      </c>
      <c r="H289" s="101">
        <v>4</v>
      </c>
      <c r="I289" s="101">
        <v>6</v>
      </c>
      <c r="J289" s="101">
        <v>5</v>
      </c>
      <c r="K289" s="101">
        <v>7</v>
      </c>
      <c r="L289" s="136">
        <v>11</v>
      </c>
      <c r="M289" s="136">
        <v>11</v>
      </c>
      <c r="N289" s="136">
        <v>10</v>
      </c>
      <c r="O289" s="136">
        <v>11</v>
      </c>
      <c r="P289" s="218">
        <f t="shared" si="19"/>
        <v>65</v>
      </c>
    </row>
    <row r="290" spans="1:16" x14ac:dyDescent="0.35">
      <c r="A290" s="333"/>
      <c r="B290" s="336"/>
      <c r="C290" s="101" t="s">
        <v>1623</v>
      </c>
      <c r="D290" s="101" t="s">
        <v>2639</v>
      </c>
      <c r="E290" s="101"/>
      <c r="F290" s="101"/>
      <c r="G290" s="157" t="s">
        <v>2874</v>
      </c>
      <c r="H290" s="101">
        <v>3</v>
      </c>
      <c r="I290" s="101">
        <v>4</v>
      </c>
      <c r="J290" s="101">
        <v>3</v>
      </c>
      <c r="K290" s="101">
        <v>3</v>
      </c>
      <c r="L290" s="136">
        <v>6</v>
      </c>
      <c r="M290" s="136">
        <v>2</v>
      </c>
      <c r="N290" s="136">
        <v>6</v>
      </c>
      <c r="O290" s="136">
        <v>4</v>
      </c>
      <c r="P290" s="218">
        <f t="shared" si="19"/>
        <v>31</v>
      </c>
    </row>
    <row r="291" spans="1:16" x14ac:dyDescent="0.35">
      <c r="A291" s="333"/>
      <c r="B291" s="336"/>
      <c r="C291" s="101" t="s">
        <v>1623</v>
      </c>
      <c r="D291" s="101" t="s">
        <v>2639</v>
      </c>
      <c r="E291" s="101"/>
      <c r="F291" s="101"/>
      <c r="G291" s="157" t="s">
        <v>2875</v>
      </c>
      <c r="H291" s="101">
        <v>4</v>
      </c>
      <c r="I291" s="101">
        <v>2</v>
      </c>
      <c r="J291" s="101">
        <v>6</v>
      </c>
      <c r="K291" s="101">
        <v>5</v>
      </c>
      <c r="L291" s="136">
        <v>12</v>
      </c>
      <c r="M291" s="136">
        <v>8</v>
      </c>
      <c r="N291" s="136">
        <v>8</v>
      </c>
      <c r="O291" s="136">
        <v>12</v>
      </c>
      <c r="P291" s="218">
        <f t="shared" si="19"/>
        <v>57</v>
      </c>
    </row>
    <row r="292" spans="1:16" x14ac:dyDescent="0.35">
      <c r="A292" s="333"/>
      <c r="B292" s="336"/>
      <c r="C292" s="101" t="s">
        <v>1623</v>
      </c>
      <c r="D292" s="101" t="s">
        <v>2639</v>
      </c>
      <c r="E292" s="101"/>
      <c r="F292" s="101"/>
      <c r="G292" s="157" t="s">
        <v>2876</v>
      </c>
      <c r="H292" s="101">
        <v>5</v>
      </c>
      <c r="I292" s="101">
        <v>4</v>
      </c>
      <c r="J292" s="101">
        <v>8</v>
      </c>
      <c r="K292" s="101">
        <v>6</v>
      </c>
      <c r="L292" s="136">
        <v>10</v>
      </c>
      <c r="M292" s="136">
        <v>9</v>
      </c>
      <c r="N292" s="136">
        <v>9</v>
      </c>
      <c r="O292" s="136">
        <v>11</v>
      </c>
      <c r="P292" s="218">
        <f t="shared" si="19"/>
        <v>62</v>
      </c>
    </row>
    <row r="293" spans="1:16" x14ac:dyDescent="0.35">
      <c r="A293" s="333"/>
      <c r="B293" s="336"/>
      <c r="C293" s="101" t="s">
        <v>1623</v>
      </c>
      <c r="D293" s="101" t="s">
        <v>2639</v>
      </c>
      <c r="E293" s="101"/>
      <c r="F293" s="101"/>
      <c r="G293" s="157" t="s">
        <v>2877</v>
      </c>
      <c r="H293" s="101">
        <v>4</v>
      </c>
      <c r="I293" s="101">
        <v>6</v>
      </c>
      <c r="J293" s="101">
        <v>11</v>
      </c>
      <c r="K293" s="101">
        <v>9</v>
      </c>
      <c r="L293" s="136">
        <v>8</v>
      </c>
      <c r="M293" s="136">
        <v>7</v>
      </c>
      <c r="N293" s="136">
        <v>20</v>
      </c>
      <c r="O293" s="136">
        <v>4</v>
      </c>
      <c r="P293" s="218">
        <f t="shared" si="19"/>
        <v>69</v>
      </c>
    </row>
    <row r="294" spans="1:16" x14ac:dyDescent="0.35">
      <c r="A294" s="333"/>
      <c r="B294" s="336"/>
      <c r="C294" s="101" t="s">
        <v>1623</v>
      </c>
      <c r="D294" s="101" t="s">
        <v>2639</v>
      </c>
      <c r="E294" s="101"/>
      <c r="F294" s="101"/>
      <c r="G294" s="157" t="s">
        <v>2878</v>
      </c>
      <c r="H294" s="101">
        <v>9</v>
      </c>
      <c r="I294" s="101">
        <v>11</v>
      </c>
      <c r="J294" s="101">
        <v>9</v>
      </c>
      <c r="K294" s="101">
        <v>11</v>
      </c>
      <c r="L294" s="136">
        <v>6</v>
      </c>
      <c r="M294" s="136">
        <v>4</v>
      </c>
      <c r="N294" s="136">
        <v>18</v>
      </c>
      <c r="O294" s="136">
        <v>12</v>
      </c>
      <c r="P294" s="218">
        <f t="shared" si="19"/>
        <v>80</v>
      </c>
    </row>
    <row r="295" spans="1:16" x14ac:dyDescent="0.35">
      <c r="A295" s="333"/>
      <c r="B295" s="336"/>
      <c r="C295" s="101" t="s">
        <v>1623</v>
      </c>
      <c r="D295" s="101" t="s">
        <v>2639</v>
      </c>
      <c r="E295" s="101"/>
      <c r="F295" s="101"/>
      <c r="G295" s="157" t="s">
        <v>413</v>
      </c>
      <c r="H295" s="101">
        <v>3</v>
      </c>
      <c r="I295" s="101">
        <v>2</v>
      </c>
      <c r="J295" s="101">
        <v>4</v>
      </c>
      <c r="K295" s="101">
        <v>6</v>
      </c>
      <c r="L295" s="136">
        <v>8</v>
      </c>
      <c r="M295" s="136">
        <v>12</v>
      </c>
      <c r="N295" s="136">
        <v>10</v>
      </c>
      <c r="O295" s="136">
        <v>5</v>
      </c>
      <c r="P295" s="218">
        <f t="shared" si="19"/>
        <v>50</v>
      </c>
    </row>
    <row r="296" spans="1:16" x14ac:dyDescent="0.35">
      <c r="A296" s="333"/>
      <c r="B296" s="336"/>
      <c r="C296" s="101" t="s">
        <v>1623</v>
      </c>
      <c r="D296" s="101" t="s">
        <v>2639</v>
      </c>
      <c r="E296" s="101"/>
      <c r="F296" s="101"/>
      <c r="G296" s="157" t="s">
        <v>2879</v>
      </c>
      <c r="H296" s="101">
        <v>4</v>
      </c>
      <c r="I296" s="101">
        <v>3</v>
      </c>
      <c r="J296" s="101">
        <v>7</v>
      </c>
      <c r="K296" s="101">
        <v>13</v>
      </c>
      <c r="L296" s="136">
        <v>9</v>
      </c>
      <c r="M296" s="136">
        <v>11</v>
      </c>
      <c r="N296" s="136">
        <v>13</v>
      </c>
      <c r="O296" s="136">
        <v>11</v>
      </c>
      <c r="P296" s="218">
        <f t="shared" si="19"/>
        <v>71</v>
      </c>
    </row>
    <row r="297" spans="1:16" x14ac:dyDescent="0.35">
      <c r="A297" s="333"/>
      <c r="B297" s="336"/>
      <c r="C297" s="101" t="s">
        <v>1623</v>
      </c>
      <c r="D297" s="101" t="s">
        <v>2639</v>
      </c>
      <c r="E297" s="101"/>
      <c r="F297" s="101"/>
      <c r="G297" s="157" t="s">
        <v>215</v>
      </c>
      <c r="H297" s="101">
        <v>3</v>
      </c>
      <c r="I297" s="101">
        <v>1</v>
      </c>
      <c r="J297" s="101">
        <v>8</v>
      </c>
      <c r="K297" s="101">
        <v>4</v>
      </c>
      <c r="L297" s="136">
        <v>13</v>
      </c>
      <c r="M297" s="136">
        <v>14</v>
      </c>
      <c r="N297" s="136">
        <v>9</v>
      </c>
      <c r="O297" s="136">
        <v>6</v>
      </c>
      <c r="P297" s="218">
        <f t="shared" si="19"/>
        <v>58</v>
      </c>
    </row>
    <row r="298" spans="1:16" x14ac:dyDescent="0.35">
      <c r="A298" s="333"/>
      <c r="B298" s="336"/>
      <c r="C298" s="101" t="s">
        <v>1623</v>
      </c>
      <c r="D298" s="101" t="s">
        <v>2639</v>
      </c>
      <c r="E298" s="101"/>
      <c r="F298" s="101"/>
      <c r="G298" s="157" t="s">
        <v>2020</v>
      </c>
      <c r="H298" s="101">
        <v>1</v>
      </c>
      <c r="I298" s="101">
        <v>2</v>
      </c>
      <c r="J298" s="101">
        <v>12</v>
      </c>
      <c r="K298" s="101">
        <v>9</v>
      </c>
      <c r="L298" s="136">
        <v>8</v>
      </c>
      <c r="M298" s="136">
        <v>7</v>
      </c>
      <c r="N298" s="136">
        <v>9</v>
      </c>
      <c r="O298" s="136">
        <v>7</v>
      </c>
      <c r="P298" s="218">
        <f t="shared" si="19"/>
        <v>55</v>
      </c>
    </row>
    <row r="299" spans="1:16" x14ac:dyDescent="0.35">
      <c r="A299" s="333"/>
      <c r="B299" s="336"/>
      <c r="C299" s="101" t="s">
        <v>1623</v>
      </c>
      <c r="D299" s="101" t="s">
        <v>2639</v>
      </c>
      <c r="E299" s="101"/>
      <c r="F299" s="101"/>
      <c r="G299" s="157" t="s">
        <v>2880</v>
      </c>
      <c r="H299" s="101">
        <v>5</v>
      </c>
      <c r="I299" s="101">
        <v>4</v>
      </c>
      <c r="J299" s="101">
        <v>11</v>
      </c>
      <c r="K299" s="101">
        <v>6</v>
      </c>
      <c r="L299" s="136">
        <v>9</v>
      </c>
      <c r="M299" s="136">
        <v>6</v>
      </c>
      <c r="N299" s="136">
        <v>10</v>
      </c>
      <c r="O299" s="136">
        <v>9</v>
      </c>
      <c r="P299" s="218">
        <f t="shared" si="19"/>
        <v>60</v>
      </c>
    </row>
    <row r="300" spans="1:16" x14ac:dyDescent="0.35">
      <c r="A300" s="333"/>
      <c r="B300" s="336"/>
      <c r="C300" s="101" t="s">
        <v>1623</v>
      </c>
      <c r="D300" s="101" t="s">
        <v>2639</v>
      </c>
      <c r="E300" s="101"/>
      <c r="F300" s="101"/>
      <c r="G300" s="157" t="s">
        <v>2881</v>
      </c>
      <c r="H300" s="101">
        <v>3</v>
      </c>
      <c r="I300" s="101">
        <v>1</v>
      </c>
      <c r="J300" s="101">
        <v>15</v>
      </c>
      <c r="K300" s="101">
        <v>11</v>
      </c>
      <c r="L300" s="136">
        <v>4</v>
      </c>
      <c r="M300" s="136">
        <v>3</v>
      </c>
      <c r="N300" s="136">
        <v>8</v>
      </c>
      <c r="O300" s="136">
        <v>10</v>
      </c>
      <c r="P300" s="218">
        <f t="shared" si="19"/>
        <v>55</v>
      </c>
    </row>
    <row r="301" spans="1:16" x14ac:dyDescent="0.35">
      <c r="A301" s="333"/>
      <c r="B301" s="336"/>
      <c r="C301" s="101" t="s">
        <v>1623</v>
      </c>
      <c r="D301" s="101" t="s">
        <v>2639</v>
      </c>
      <c r="E301" s="101"/>
      <c r="F301" s="101"/>
      <c r="G301" s="157" t="s">
        <v>2648</v>
      </c>
      <c r="H301" s="101">
        <v>4</v>
      </c>
      <c r="I301" s="101">
        <v>2</v>
      </c>
      <c r="J301" s="101">
        <v>6</v>
      </c>
      <c r="K301" s="101">
        <v>5</v>
      </c>
      <c r="L301" s="136">
        <v>7</v>
      </c>
      <c r="M301" s="136">
        <v>3</v>
      </c>
      <c r="N301" s="136">
        <v>6</v>
      </c>
      <c r="O301" s="136">
        <v>4</v>
      </c>
      <c r="P301" s="218">
        <f t="shared" si="19"/>
        <v>37</v>
      </c>
    </row>
    <row r="302" spans="1:16" x14ac:dyDescent="0.35">
      <c r="A302" s="334"/>
      <c r="B302" s="337"/>
      <c r="C302" s="149"/>
      <c r="D302" s="149"/>
      <c r="E302" s="149"/>
      <c r="F302" s="149"/>
      <c r="G302" s="158" t="s">
        <v>2</v>
      </c>
      <c r="H302" s="159">
        <f>SUM(H270:H301)</f>
        <v>150</v>
      </c>
      <c r="I302" s="159">
        <f t="shared" ref="I302:O302" si="21">SUM(I270:I301)</f>
        <v>141</v>
      </c>
      <c r="J302" s="160">
        <f t="shared" si="21"/>
        <v>312</v>
      </c>
      <c r="K302" s="160">
        <f t="shared" si="21"/>
        <v>323</v>
      </c>
      <c r="L302" s="161">
        <f t="shared" si="21"/>
        <v>287</v>
      </c>
      <c r="M302" s="161">
        <f t="shared" si="21"/>
        <v>267</v>
      </c>
      <c r="N302" s="162">
        <f t="shared" si="21"/>
        <v>296</v>
      </c>
      <c r="O302" s="162">
        <f t="shared" si="21"/>
        <v>288</v>
      </c>
      <c r="P302" s="217">
        <f t="shared" si="19"/>
        <v>2064</v>
      </c>
    </row>
    <row r="303" spans="1:16" x14ac:dyDescent="0.35">
      <c r="A303" s="342">
        <v>18</v>
      </c>
      <c r="B303" s="335" t="s">
        <v>2882</v>
      </c>
      <c r="C303" s="101" t="s">
        <v>1623</v>
      </c>
      <c r="D303" s="101" t="s">
        <v>2639</v>
      </c>
      <c r="E303" s="101"/>
      <c r="F303" s="101"/>
      <c r="G303" s="157" t="s">
        <v>2095</v>
      </c>
      <c r="H303" s="101">
        <v>3</v>
      </c>
      <c r="I303" s="101">
        <v>5</v>
      </c>
      <c r="J303" s="101">
        <v>23</v>
      </c>
      <c r="K303" s="101">
        <v>25</v>
      </c>
      <c r="L303" s="136">
        <v>7</v>
      </c>
      <c r="M303" s="136">
        <v>9</v>
      </c>
      <c r="N303" s="136">
        <v>9</v>
      </c>
      <c r="O303" s="136">
        <v>7</v>
      </c>
      <c r="P303" s="218">
        <f t="shared" si="19"/>
        <v>88</v>
      </c>
    </row>
    <row r="304" spans="1:16" x14ac:dyDescent="0.35">
      <c r="A304" s="343"/>
      <c r="B304" s="336"/>
      <c r="C304" s="101" t="s">
        <v>1623</v>
      </c>
      <c r="D304" s="101" t="s">
        <v>2639</v>
      </c>
      <c r="E304" s="101"/>
      <c r="F304" s="101"/>
      <c r="G304" s="157" t="s">
        <v>1963</v>
      </c>
      <c r="H304" s="101">
        <v>3</v>
      </c>
      <c r="I304" s="101">
        <v>4</v>
      </c>
      <c r="J304" s="101">
        <v>12</v>
      </c>
      <c r="K304" s="101">
        <v>15</v>
      </c>
      <c r="L304" s="136">
        <v>6</v>
      </c>
      <c r="M304" s="136">
        <v>4</v>
      </c>
      <c r="N304" s="136">
        <v>5</v>
      </c>
      <c r="O304" s="136">
        <v>7</v>
      </c>
      <c r="P304" s="218">
        <f t="shared" si="19"/>
        <v>56</v>
      </c>
    </row>
    <row r="305" spans="1:16" x14ac:dyDescent="0.35">
      <c r="A305" s="343"/>
      <c r="B305" s="336"/>
      <c r="C305" s="101" t="s">
        <v>1623</v>
      </c>
      <c r="D305" s="101" t="s">
        <v>2639</v>
      </c>
      <c r="E305" s="101"/>
      <c r="F305" s="101"/>
      <c r="G305" s="157" t="s">
        <v>2883</v>
      </c>
      <c r="H305" s="101">
        <v>4</v>
      </c>
      <c r="I305" s="101">
        <v>2</v>
      </c>
      <c r="J305" s="101">
        <v>17</v>
      </c>
      <c r="K305" s="101">
        <v>13</v>
      </c>
      <c r="L305" s="136">
        <v>6</v>
      </c>
      <c r="M305" s="136">
        <v>5</v>
      </c>
      <c r="N305" s="136">
        <v>3</v>
      </c>
      <c r="O305" s="136">
        <v>4</v>
      </c>
      <c r="P305" s="218">
        <f t="shared" si="19"/>
        <v>54</v>
      </c>
    </row>
    <row r="306" spans="1:16" x14ac:dyDescent="0.35">
      <c r="A306" s="343"/>
      <c r="B306" s="336"/>
      <c r="C306" s="101" t="s">
        <v>1623</v>
      </c>
      <c r="D306" s="101" t="s">
        <v>2639</v>
      </c>
      <c r="E306" s="101"/>
      <c r="F306" s="101"/>
      <c r="G306" s="157" t="s">
        <v>2884</v>
      </c>
      <c r="H306" s="101">
        <v>5</v>
      </c>
      <c r="I306" s="101">
        <v>4</v>
      </c>
      <c r="J306" s="101">
        <v>22</v>
      </c>
      <c r="K306" s="101">
        <v>15</v>
      </c>
      <c r="L306" s="136">
        <v>2</v>
      </c>
      <c r="M306" s="136">
        <v>4</v>
      </c>
      <c r="N306" s="136">
        <v>2</v>
      </c>
      <c r="O306" s="136">
        <v>6</v>
      </c>
      <c r="P306" s="218">
        <f t="shared" si="19"/>
        <v>60</v>
      </c>
    </row>
    <row r="307" spans="1:16" x14ac:dyDescent="0.35">
      <c r="A307" s="343"/>
      <c r="B307" s="336"/>
      <c r="C307" s="101" t="s">
        <v>1623</v>
      </c>
      <c r="D307" s="101" t="s">
        <v>2639</v>
      </c>
      <c r="E307" s="101"/>
      <c r="F307" s="101"/>
      <c r="G307" s="157" t="s">
        <v>2885</v>
      </c>
      <c r="H307" s="101">
        <v>10</v>
      </c>
      <c r="I307" s="101">
        <v>11</v>
      </c>
      <c r="J307" s="101">
        <v>17</v>
      </c>
      <c r="K307" s="101">
        <v>17</v>
      </c>
      <c r="L307" s="136">
        <v>19</v>
      </c>
      <c r="M307" s="136">
        <v>21</v>
      </c>
      <c r="N307" s="136">
        <v>18</v>
      </c>
      <c r="O307" s="136">
        <v>15</v>
      </c>
      <c r="P307" s="218">
        <f t="shared" si="19"/>
        <v>128</v>
      </c>
    </row>
    <row r="308" spans="1:16" x14ac:dyDescent="0.35">
      <c r="A308" s="343"/>
      <c r="B308" s="336"/>
      <c r="C308" s="101" t="s">
        <v>1623</v>
      </c>
      <c r="D308" s="101" t="s">
        <v>2639</v>
      </c>
      <c r="E308" s="101"/>
      <c r="F308" s="101"/>
      <c r="G308" s="157" t="s">
        <v>2886</v>
      </c>
      <c r="H308" s="101">
        <v>4</v>
      </c>
      <c r="I308" s="101">
        <v>2</v>
      </c>
      <c r="J308" s="101">
        <v>28</v>
      </c>
      <c r="K308" s="101">
        <v>22</v>
      </c>
      <c r="L308" s="136">
        <v>3</v>
      </c>
      <c r="M308" s="136">
        <v>4</v>
      </c>
      <c r="N308" s="136">
        <v>9</v>
      </c>
      <c r="O308" s="136">
        <v>8</v>
      </c>
      <c r="P308" s="218">
        <f t="shared" si="19"/>
        <v>80</v>
      </c>
    </row>
    <row r="309" spans="1:16" x14ac:dyDescent="0.35">
      <c r="A309" s="343"/>
      <c r="B309" s="336"/>
      <c r="C309" s="101" t="s">
        <v>1623</v>
      </c>
      <c r="D309" s="101" t="s">
        <v>2639</v>
      </c>
      <c r="E309" s="101"/>
      <c r="F309" s="101"/>
      <c r="G309" s="157" t="s">
        <v>2887</v>
      </c>
      <c r="H309" s="101">
        <v>7</v>
      </c>
      <c r="I309" s="101">
        <v>5</v>
      </c>
      <c r="J309" s="101">
        <v>7</v>
      </c>
      <c r="K309" s="101">
        <v>6</v>
      </c>
      <c r="L309" s="136">
        <v>4</v>
      </c>
      <c r="M309" s="136">
        <v>6</v>
      </c>
      <c r="N309" s="136">
        <v>5</v>
      </c>
      <c r="O309" s="136">
        <v>6</v>
      </c>
      <c r="P309" s="218">
        <f t="shared" si="19"/>
        <v>46</v>
      </c>
    </row>
    <row r="310" spans="1:16" x14ac:dyDescent="0.35">
      <c r="A310" s="343"/>
      <c r="B310" s="336"/>
      <c r="C310" s="101" t="s">
        <v>1623</v>
      </c>
      <c r="D310" s="101" t="s">
        <v>2639</v>
      </c>
      <c r="E310" s="101"/>
      <c r="F310" s="101"/>
      <c r="G310" s="157" t="s">
        <v>2888</v>
      </c>
      <c r="H310" s="101">
        <v>1</v>
      </c>
      <c r="I310" s="101">
        <v>3</v>
      </c>
      <c r="J310" s="101">
        <v>5</v>
      </c>
      <c r="K310" s="101">
        <v>4</v>
      </c>
      <c r="L310" s="136">
        <v>4</v>
      </c>
      <c r="M310" s="136">
        <v>2</v>
      </c>
      <c r="N310" s="136">
        <v>6</v>
      </c>
      <c r="O310" s="136">
        <v>7</v>
      </c>
      <c r="P310" s="218">
        <f t="shared" si="19"/>
        <v>32</v>
      </c>
    </row>
    <row r="311" spans="1:16" x14ac:dyDescent="0.35">
      <c r="A311" s="343"/>
      <c r="B311" s="336"/>
      <c r="C311" s="101" t="s">
        <v>1623</v>
      </c>
      <c r="D311" s="101" t="s">
        <v>2639</v>
      </c>
      <c r="E311" s="101"/>
      <c r="F311" s="101"/>
      <c r="G311" s="157" t="s">
        <v>2889</v>
      </c>
      <c r="H311" s="101">
        <v>2</v>
      </c>
      <c r="I311" s="101">
        <v>0</v>
      </c>
      <c r="J311" s="101">
        <v>9</v>
      </c>
      <c r="K311" s="101">
        <v>11</v>
      </c>
      <c r="L311" s="136">
        <v>2</v>
      </c>
      <c r="M311" s="136">
        <v>3</v>
      </c>
      <c r="N311" s="136">
        <v>5</v>
      </c>
      <c r="O311" s="136">
        <v>4</v>
      </c>
      <c r="P311" s="218">
        <f t="shared" si="19"/>
        <v>36</v>
      </c>
    </row>
    <row r="312" spans="1:16" x14ac:dyDescent="0.35">
      <c r="A312" s="343"/>
      <c r="B312" s="336"/>
      <c r="C312" s="101" t="s">
        <v>1623</v>
      </c>
      <c r="D312" s="101" t="s">
        <v>2639</v>
      </c>
      <c r="E312" s="101"/>
      <c r="F312" s="101"/>
      <c r="G312" s="157" t="s">
        <v>1998</v>
      </c>
      <c r="H312" s="101">
        <v>3</v>
      </c>
      <c r="I312" s="101">
        <v>1</v>
      </c>
      <c r="J312" s="101">
        <v>7</v>
      </c>
      <c r="K312" s="101">
        <v>5</v>
      </c>
      <c r="L312" s="136">
        <v>5</v>
      </c>
      <c r="M312" s="136">
        <v>3</v>
      </c>
      <c r="N312" s="136">
        <v>4</v>
      </c>
      <c r="O312" s="136">
        <v>6</v>
      </c>
      <c r="P312" s="218">
        <f t="shared" si="19"/>
        <v>34</v>
      </c>
    </row>
    <row r="313" spans="1:16" x14ac:dyDescent="0.35">
      <c r="A313" s="343"/>
      <c r="B313" s="336"/>
      <c r="C313" s="101" t="s">
        <v>1623</v>
      </c>
      <c r="D313" s="101" t="s">
        <v>2639</v>
      </c>
      <c r="E313" s="101"/>
      <c r="F313" s="101"/>
      <c r="G313" s="157" t="s">
        <v>2890</v>
      </c>
      <c r="H313" s="101">
        <v>5</v>
      </c>
      <c r="I313" s="101">
        <v>3</v>
      </c>
      <c r="J313" s="101">
        <v>9</v>
      </c>
      <c r="K313" s="101">
        <v>9</v>
      </c>
      <c r="L313" s="136">
        <v>2</v>
      </c>
      <c r="M313" s="136">
        <v>2</v>
      </c>
      <c r="N313" s="136">
        <v>6</v>
      </c>
      <c r="O313" s="136">
        <v>7</v>
      </c>
      <c r="P313" s="218">
        <f t="shared" si="19"/>
        <v>43</v>
      </c>
    </row>
    <row r="314" spans="1:16" x14ac:dyDescent="0.35">
      <c r="A314" s="343"/>
      <c r="B314" s="336"/>
      <c r="C314" s="101" t="s">
        <v>1623</v>
      </c>
      <c r="D314" s="101" t="s">
        <v>2639</v>
      </c>
      <c r="E314" s="101"/>
      <c r="F314" s="101"/>
      <c r="G314" s="157" t="s">
        <v>2891</v>
      </c>
      <c r="H314" s="101">
        <v>3</v>
      </c>
      <c r="I314" s="101">
        <v>5</v>
      </c>
      <c r="J314" s="101">
        <v>8</v>
      </c>
      <c r="K314" s="101">
        <v>7</v>
      </c>
      <c r="L314" s="136">
        <v>2</v>
      </c>
      <c r="M314" s="136">
        <v>3</v>
      </c>
      <c r="N314" s="136">
        <v>2</v>
      </c>
      <c r="O314" s="136">
        <v>1</v>
      </c>
      <c r="P314" s="218">
        <f t="shared" si="19"/>
        <v>31</v>
      </c>
    </row>
    <row r="315" spans="1:16" x14ac:dyDescent="0.35">
      <c r="A315" s="343"/>
      <c r="B315" s="336"/>
      <c r="C315" s="101" t="s">
        <v>1623</v>
      </c>
      <c r="D315" s="101" t="s">
        <v>2639</v>
      </c>
      <c r="E315" s="101"/>
      <c r="F315" s="101"/>
      <c r="G315" s="157" t="s">
        <v>2778</v>
      </c>
      <c r="H315" s="101">
        <v>3</v>
      </c>
      <c r="I315" s="101">
        <v>2</v>
      </c>
      <c r="J315" s="101">
        <v>13</v>
      </c>
      <c r="K315" s="101">
        <v>12</v>
      </c>
      <c r="L315" s="136">
        <v>1</v>
      </c>
      <c r="M315" s="136">
        <v>4</v>
      </c>
      <c r="N315" s="136">
        <v>3</v>
      </c>
      <c r="O315" s="136">
        <v>2</v>
      </c>
      <c r="P315" s="218">
        <f t="shared" si="19"/>
        <v>40</v>
      </c>
    </row>
    <row r="316" spans="1:16" x14ac:dyDescent="0.35">
      <c r="A316" s="343"/>
      <c r="B316" s="336"/>
      <c r="C316" s="101" t="s">
        <v>1623</v>
      </c>
      <c r="D316" s="101" t="s">
        <v>2639</v>
      </c>
      <c r="E316" s="101"/>
      <c r="F316" s="101"/>
      <c r="G316" s="157" t="s">
        <v>2892</v>
      </c>
      <c r="H316" s="101">
        <v>12</v>
      </c>
      <c r="I316" s="101">
        <v>7</v>
      </c>
      <c r="J316" s="101">
        <v>20</v>
      </c>
      <c r="K316" s="101">
        <v>15</v>
      </c>
      <c r="L316" s="136">
        <v>6</v>
      </c>
      <c r="M316" s="136">
        <v>8</v>
      </c>
      <c r="N316" s="136">
        <v>7</v>
      </c>
      <c r="O316" s="136">
        <v>6</v>
      </c>
      <c r="P316" s="218">
        <f t="shared" si="19"/>
        <v>81</v>
      </c>
    </row>
    <row r="317" spans="1:16" x14ac:dyDescent="0.35">
      <c r="A317" s="343"/>
      <c r="B317" s="336"/>
      <c r="C317" s="101" t="s">
        <v>1623</v>
      </c>
      <c r="D317" s="101" t="s">
        <v>2639</v>
      </c>
      <c r="E317" s="101"/>
      <c r="F317" s="101"/>
      <c r="G317" s="157" t="s">
        <v>1953</v>
      </c>
      <c r="H317" s="101">
        <v>8</v>
      </c>
      <c r="I317" s="101">
        <v>4</v>
      </c>
      <c r="J317" s="101">
        <v>13</v>
      </c>
      <c r="K317" s="101">
        <v>15</v>
      </c>
      <c r="L317" s="136">
        <v>9</v>
      </c>
      <c r="M317" s="136">
        <v>13</v>
      </c>
      <c r="N317" s="136">
        <v>15</v>
      </c>
      <c r="O317" s="136">
        <v>14</v>
      </c>
      <c r="P317" s="218">
        <f t="shared" si="19"/>
        <v>91</v>
      </c>
    </row>
    <row r="318" spans="1:16" x14ac:dyDescent="0.35">
      <c r="A318" s="343"/>
      <c r="B318" s="336"/>
      <c r="C318" s="101" t="s">
        <v>1623</v>
      </c>
      <c r="D318" s="101" t="s">
        <v>2639</v>
      </c>
      <c r="E318" s="101"/>
      <c r="F318" s="101"/>
      <c r="G318" s="157" t="s">
        <v>2893</v>
      </c>
      <c r="H318" s="101">
        <v>2</v>
      </c>
      <c r="I318" s="101">
        <v>3</v>
      </c>
      <c r="J318" s="101">
        <v>12</v>
      </c>
      <c r="K318" s="101">
        <v>16</v>
      </c>
      <c r="L318" s="136">
        <v>6</v>
      </c>
      <c r="M318" s="136">
        <v>8</v>
      </c>
      <c r="N318" s="136">
        <v>5</v>
      </c>
      <c r="O318" s="136">
        <v>3</v>
      </c>
      <c r="P318" s="218">
        <f t="shared" si="19"/>
        <v>55</v>
      </c>
    </row>
    <row r="319" spans="1:16" x14ac:dyDescent="0.35">
      <c r="A319" s="343"/>
      <c r="B319" s="336"/>
      <c r="C319" s="101" t="s">
        <v>1623</v>
      </c>
      <c r="D319" s="101" t="s">
        <v>2639</v>
      </c>
      <c r="E319" s="101"/>
      <c r="F319" s="101"/>
      <c r="G319" s="157" t="s">
        <v>2894</v>
      </c>
      <c r="H319" s="101">
        <v>3</v>
      </c>
      <c r="I319" s="101">
        <v>4</v>
      </c>
      <c r="J319" s="101">
        <v>16</v>
      </c>
      <c r="K319" s="101">
        <v>19</v>
      </c>
      <c r="L319" s="136">
        <v>4</v>
      </c>
      <c r="M319" s="136">
        <v>4</v>
      </c>
      <c r="N319" s="136">
        <v>5</v>
      </c>
      <c r="O319" s="136">
        <v>7</v>
      </c>
      <c r="P319" s="218">
        <f t="shared" si="19"/>
        <v>62</v>
      </c>
    </row>
    <row r="320" spans="1:16" x14ac:dyDescent="0.35">
      <c r="A320" s="343"/>
      <c r="B320" s="336"/>
      <c r="C320" s="101" t="s">
        <v>1623</v>
      </c>
      <c r="D320" s="101" t="s">
        <v>2639</v>
      </c>
      <c r="E320" s="101"/>
      <c r="F320" s="101"/>
      <c r="G320" s="157" t="s">
        <v>2895</v>
      </c>
      <c r="H320" s="101">
        <v>4</v>
      </c>
      <c r="I320" s="101">
        <v>6</v>
      </c>
      <c r="J320" s="101">
        <v>9</v>
      </c>
      <c r="K320" s="101">
        <v>11</v>
      </c>
      <c r="L320" s="136">
        <v>18</v>
      </c>
      <c r="M320" s="136">
        <v>12</v>
      </c>
      <c r="N320" s="136">
        <v>6</v>
      </c>
      <c r="O320" s="136">
        <v>4</v>
      </c>
      <c r="P320" s="218">
        <f t="shared" si="19"/>
        <v>70</v>
      </c>
    </row>
    <row r="321" spans="1:16" x14ac:dyDescent="0.35">
      <c r="A321" s="343"/>
      <c r="B321" s="336"/>
      <c r="C321" s="101" t="s">
        <v>1623</v>
      </c>
      <c r="D321" s="101" t="s">
        <v>2639</v>
      </c>
      <c r="E321" s="101"/>
      <c r="F321" s="101"/>
      <c r="G321" s="157" t="s">
        <v>2652</v>
      </c>
      <c r="H321" s="101">
        <v>1</v>
      </c>
      <c r="I321" s="101">
        <v>2</v>
      </c>
      <c r="J321" s="101">
        <v>10</v>
      </c>
      <c r="K321" s="101">
        <v>12</v>
      </c>
      <c r="L321" s="136">
        <v>10</v>
      </c>
      <c r="M321" s="136">
        <v>8</v>
      </c>
      <c r="N321" s="136">
        <v>3</v>
      </c>
      <c r="O321" s="136">
        <v>7</v>
      </c>
      <c r="P321" s="218">
        <f t="shared" si="19"/>
        <v>53</v>
      </c>
    </row>
    <row r="322" spans="1:16" x14ac:dyDescent="0.35">
      <c r="A322" s="344"/>
      <c r="B322" s="337"/>
      <c r="C322" s="149"/>
      <c r="D322" s="149"/>
      <c r="E322" s="149"/>
      <c r="F322" s="149"/>
      <c r="G322" s="158" t="s">
        <v>2</v>
      </c>
      <c r="H322" s="159">
        <f>SUM(H303:H321)</f>
        <v>83</v>
      </c>
      <c r="I322" s="159">
        <f t="shared" ref="I322:O322" si="22">SUM(I303:I321)</f>
        <v>73</v>
      </c>
      <c r="J322" s="160">
        <f t="shared" si="22"/>
        <v>257</v>
      </c>
      <c r="K322" s="160">
        <f t="shared" si="22"/>
        <v>249</v>
      </c>
      <c r="L322" s="161">
        <f t="shared" si="22"/>
        <v>116</v>
      </c>
      <c r="M322" s="161">
        <f t="shared" si="22"/>
        <v>123</v>
      </c>
      <c r="N322" s="162">
        <f t="shared" si="22"/>
        <v>118</v>
      </c>
      <c r="O322" s="162">
        <f t="shared" si="22"/>
        <v>121</v>
      </c>
      <c r="P322" s="217">
        <f t="shared" si="19"/>
        <v>1140</v>
      </c>
    </row>
    <row r="323" spans="1:16" x14ac:dyDescent="0.35">
      <c r="A323" s="332">
        <v>19</v>
      </c>
      <c r="B323" s="335" t="s">
        <v>2896</v>
      </c>
      <c r="C323" s="101" t="s">
        <v>1623</v>
      </c>
      <c r="D323" s="101" t="s">
        <v>2639</v>
      </c>
      <c r="E323" s="101"/>
      <c r="F323" s="101"/>
      <c r="G323" s="157" t="s">
        <v>2897</v>
      </c>
      <c r="H323" s="101">
        <v>5</v>
      </c>
      <c r="I323" s="101">
        <v>7</v>
      </c>
      <c r="J323" s="101">
        <v>3</v>
      </c>
      <c r="K323" s="101">
        <v>5</v>
      </c>
      <c r="L323" s="136">
        <v>2</v>
      </c>
      <c r="M323" s="136">
        <v>4</v>
      </c>
      <c r="N323" s="136">
        <v>11</v>
      </c>
      <c r="O323" s="136">
        <v>12</v>
      </c>
      <c r="P323" s="218">
        <f t="shared" si="19"/>
        <v>49</v>
      </c>
    </row>
    <row r="324" spans="1:16" x14ac:dyDescent="0.35">
      <c r="A324" s="333"/>
      <c r="B324" s="336"/>
      <c r="C324" s="101" t="s">
        <v>1623</v>
      </c>
      <c r="D324" s="101" t="s">
        <v>2639</v>
      </c>
      <c r="E324" s="101"/>
      <c r="F324" s="101"/>
      <c r="G324" s="157" t="s">
        <v>2898</v>
      </c>
      <c r="H324" s="101">
        <v>11</v>
      </c>
      <c r="I324" s="101">
        <v>14</v>
      </c>
      <c r="J324" s="101">
        <v>10</v>
      </c>
      <c r="K324" s="101">
        <v>11</v>
      </c>
      <c r="L324" s="136">
        <v>6</v>
      </c>
      <c r="M324" s="136">
        <v>7</v>
      </c>
      <c r="N324" s="136">
        <v>6</v>
      </c>
      <c r="O324" s="136">
        <v>7</v>
      </c>
      <c r="P324" s="218">
        <f t="shared" si="19"/>
        <v>72</v>
      </c>
    </row>
    <row r="325" spans="1:16" x14ac:dyDescent="0.35">
      <c r="A325" s="333"/>
      <c r="B325" s="336"/>
      <c r="C325" s="101" t="s">
        <v>1623</v>
      </c>
      <c r="D325" s="101" t="s">
        <v>2639</v>
      </c>
      <c r="E325" s="101"/>
      <c r="F325" s="101"/>
      <c r="G325" s="157" t="s">
        <v>2899</v>
      </c>
      <c r="H325" s="101">
        <v>9</v>
      </c>
      <c r="I325" s="101">
        <v>11</v>
      </c>
      <c r="J325" s="101">
        <v>7</v>
      </c>
      <c r="K325" s="101">
        <v>5</v>
      </c>
      <c r="L325" s="136">
        <v>10</v>
      </c>
      <c r="M325" s="136">
        <v>11</v>
      </c>
      <c r="N325" s="136">
        <v>8</v>
      </c>
      <c r="O325" s="136">
        <v>8</v>
      </c>
      <c r="P325" s="218">
        <f t="shared" si="19"/>
        <v>69</v>
      </c>
    </row>
    <row r="326" spans="1:16" x14ac:dyDescent="0.35">
      <c r="A326" s="333"/>
      <c r="B326" s="336"/>
      <c r="C326" s="101" t="s">
        <v>1623</v>
      </c>
      <c r="D326" s="101" t="s">
        <v>2639</v>
      </c>
      <c r="E326" s="101"/>
      <c r="F326" s="101"/>
      <c r="G326" s="157" t="s">
        <v>2900</v>
      </c>
      <c r="H326" s="101">
        <v>2</v>
      </c>
      <c r="I326" s="101">
        <v>8</v>
      </c>
      <c r="J326" s="101">
        <v>14</v>
      </c>
      <c r="K326" s="101">
        <v>18</v>
      </c>
      <c r="L326" s="136">
        <v>7</v>
      </c>
      <c r="M326" s="136">
        <v>6</v>
      </c>
      <c r="N326" s="136">
        <v>6</v>
      </c>
      <c r="O326" s="136">
        <v>9</v>
      </c>
      <c r="P326" s="218">
        <f t="shared" ref="P326:P389" si="23">H326+I326+J326+K326+L326+M326+N326+O326</f>
        <v>70</v>
      </c>
    </row>
    <row r="327" spans="1:16" x14ac:dyDescent="0.35">
      <c r="A327" s="333"/>
      <c r="B327" s="336"/>
      <c r="C327" s="101" t="s">
        <v>1623</v>
      </c>
      <c r="D327" s="101" t="s">
        <v>2639</v>
      </c>
      <c r="E327" s="101"/>
      <c r="F327" s="101"/>
      <c r="G327" s="157" t="s">
        <v>2901</v>
      </c>
      <c r="H327" s="101">
        <v>2</v>
      </c>
      <c r="I327" s="101">
        <v>9</v>
      </c>
      <c r="J327" s="101">
        <v>11</v>
      </c>
      <c r="K327" s="101">
        <v>17</v>
      </c>
      <c r="L327" s="136">
        <v>2</v>
      </c>
      <c r="M327" s="136">
        <v>3</v>
      </c>
      <c r="N327" s="136">
        <v>4</v>
      </c>
      <c r="O327" s="136">
        <v>5</v>
      </c>
      <c r="P327" s="218">
        <f t="shared" si="23"/>
        <v>53</v>
      </c>
    </row>
    <row r="328" spans="1:16" x14ac:dyDescent="0.35">
      <c r="A328" s="333"/>
      <c r="B328" s="336"/>
      <c r="C328" s="101" t="s">
        <v>1623</v>
      </c>
      <c r="D328" s="101" t="s">
        <v>2639</v>
      </c>
      <c r="E328" s="101"/>
      <c r="F328" s="101"/>
      <c r="G328" s="157" t="s">
        <v>2902</v>
      </c>
      <c r="H328" s="101">
        <v>20</v>
      </c>
      <c r="I328" s="101">
        <v>21</v>
      </c>
      <c r="J328" s="101">
        <v>19</v>
      </c>
      <c r="K328" s="101">
        <v>20</v>
      </c>
      <c r="L328" s="136">
        <v>16</v>
      </c>
      <c r="M328" s="136">
        <v>14</v>
      </c>
      <c r="N328" s="136">
        <v>11</v>
      </c>
      <c r="O328" s="136">
        <v>13</v>
      </c>
      <c r="P328" s="218">
        <f t="shared" si="23"/>
        <v>134</v>
      </c>
    </row>
    <row r="329" spans="1:16" x14ac:dyDescent="0.35">
      <c r="A329" s="333"/>
      <c r="B329" s="336"/>
      <c r="C329" s="101" t="s">
        <v>1623</v>
      </c>
      <c r="D329" s="101" t="s">
        <v>2639</v>
      </c>
      <c r="E329" s="101"/>
      <c r="F329" s="101"/>
      <c r="G329" s="157" t="s">
        <v>1649</v>
      </c>
      <c r="H329" s="101">
        <v>16</v>
      </c>
      <c r="I329" s="101">
        <v>15</v>
      </c>
      <c r="J329" s="101">
        <v>9</v>
      </c>
      <c r="K329" s="101">
        <v>7</v>
      </c>
      <c r="L329" s="136">
        <v>6</v>
      </c>
      <c r="M329" s="136">
        <v>7</v>
      </c>
      <c r="N329" s="136">
        <v>2</v>
      </c>
      <c r="O329" s="136">
        <v>5</v>
      </c>
      <c r="P329" s="218">
        <f t="shared" si="23"/>
        <v>67</v>
      </c>
    </row>
    <row r="330" spans="1:16" x14ac:dyDescent="0.35">
      <c r="A330" s="333"/>
      <c r="B330" s="336"/>
      <c r="C330" s="101" t="s">
        <v>1623</v>
      </c>
      <c r="D330" s="101" t="s">
        <v>2639</v>
      </c>
      <c r="E330" s="101"/>
      <c r="F330" s="101"/>
      <c r="G330" s="157" t="s">
        <v>2903</v>
      </c>
      <c r="H330" s="101">
        <v>9</v>
      </c>
      <c r="I330" s="101">
        <v>11</v>
      </c>
      <c r="J330" s="101">
        <v>13</v>
      </c>
      <c r="K330" s="101">
        <v>14</v>
      </c>
      <c r="L330" s="136">
        <v>10</v>
      </c>
      <c r="M330" s="136">
        <v>11</v>
      </c>
      <c r="N330" s="136">
        <v>9</v>
      </c>
      <c r="O330" s="136">
        <v>7</v>
      </c>
      <c r="P330" s="218">
        <f t="shared" si="23"/>
        <v>84</v>
      </c>
    </row>
    <row r="331" spans="1:16" x14ac:dyDescent="0.35">
      <c r="A331" s="333"/>
      <c r="B331" s="336"/>
      <c r="C331" s="101" t="s">
        <v>1623</v>
      </c>
      <c r="D331" s="101" t="s">
        <v>2639</v>
      </c>
      <c r="E331" s="101"/>
      <c r="F331" s="101"/>
      <c r="G331" s="157" t="s">
        <v>2904</v>
      </c>
      <c r="H331" s="101">
        <v>8</v>
      </c>
      <c r="I331" s="101">
        <v>7</v>
      </c>
      <c r="J331" s="101">
        <v>8</v>
      </c>
      <c r="K331" s="101">
        <v>7</v>
      </c>
      <c r="L331" s="136">
        <v>5</v>
      </c>
      <c r="M331" s="136">
        <v>3</v>
      </c>
      <c r="N331" s="136">
        <v>7</v>
      </c>
      <c r="O331" s="136">
        <v>5</v>
      </c>
      <c r="P331" s="218">
        <f t="shared" si="23"/>
        <v>50</v>
      </c>
    </row>
    <row r="332" spans="1:16" x14ac:dyDescent="0.35">
      <c r="A332" s="333"/>
      <c r="B332" s="336"/>
      <c r="C332" s="101" t="s">
        <v>1623</v>
      </c>
      <c r="D332" s="101" t="s">
        <v>2639</v>
      </c>
      <c r="E332" s="101"/>
      <c r="F332" s="101"/>
      <c r="G332" s="157" t="s">
        <v>2905</v>
      </c>
      <c r="H332" s="101">
        <v>16</v>
      </c>
      <c r="I332" s="101">
        <v>19</v>
      </c>
      <c r="J332" s="101">
        <v>10</v>
      </c>
      <c r="K332" s="101">
        <v>8</v>
      </c>
      <c r="L332" s="136">
        <v>11</v>
      </c>
      <c r="M332" s="136">
        <v>9</v>
      </c>
      <c r="N332" s="136">
        <v>10</v>
      </c>
      <c r="O332" s="136">
        <v>11</v>
      </c>
      <c r="P332" s="218">
        <f t="shared" si="23"/>
        <v>94</v>
      </c>
    </row>
    <row r="333" spans="1:16" x14ac:dyDescent="0.35">
      <c r="A333" s="333"/>
      <c r="B333" s="336"/>
      <c r="C333" s="101" t="s">
        <v>1623</v>
      </c>
      <c r="D333" s="101" t="s">
        <v>2639</v>
      </c>
      <c r="E333" s="101"/>
      <c r="F333" s="101"/>
      <c r="G333" s="157" t="s">
        <v>2906</v>
      </c>
      <c r="H333" s="101">
        <v>9</v>
      </c>
      <c r="I333" s="101">
        <v>7</v>
      </c>
      <c r="J333" s="101">
        <v>10</v>
      </c>
      <c r="K333" s="101">
        <v>13</v>
      </c>
      <c r="L333" s="136">
        <v>8</v>
      </c>
      <c r="M333" s="136">
        <v>7</v>
      </c>
      <c r="N333" s="136">
        <v>9</v>
      </c>
      <c r="O333" s="136">
        <v>7</v>
      </c>
      <c r="P333" s="218">
        <f t="shared" si="23"/>
        <v>70</v>
      </c>
    </row>
    <row r="334" spans="1:16" x14ac:dyDescent="0.35">
      <c r="A334" s="333"/>
      <c r="B334" s="336"/>
      <c r="C334" s="101" t="s">
        <v>1623</v>
      </c>
      <c r="D334" s="101" t="s">
        <v>2639</v>
      </c>
      <c r="E334" s="101"/>
      <c r="F334" s="101"/>
      <c r="G334" s="157" t="s">
        <v>2907</v>
      </c>
      <c r="H334" s="101">
        <v>6</v>
      </c>
      <c r="I334" s="101">
        <v>8</v>
      </c>
      <c r="J334" s="101">
        <v>10</v>
      </c>
      <c r="K334" s="101">
        <v>9</v>
      </c>
      <c r="L334" s="136">
        <v>7</v>
      </c>
      <c r="M334" s="136">
        <v>8</v>
      </c>
      <c r="N334" s="136">
        <v>4</v>
      </c>
      <c r="O334" s="136">
        <v>4</v>
      </c>
      <c r="P334" s="218">
        <f t="shared" si="23"/>
        <v>56</v>
      </c>
    </row>
    <row r="335" spans="1:16" x14ac:dyDescent="0.35">
      <c r="A335" s="333"/>
      <c r="B335" s="336"/>
      <c r="C335" s="101" t="s">
        <v>1623</v>
      </c>
      <c r="D335" s="101" t="s">
        <v>2639</v>
      </c>
      <c r="E335" s="101"/>
      <c r="F335" s="101"/>
      <c r="G335" s="157" t="s">
        <v>2908</v>
      </c>
      <c r="H335" s="101">
        <v>6</v>
      </c>
      <c r="I335" s="101">
        <v>4</v>
      </c>
      <c r="J335" s="101">
        <v>18</v>
      </c>
      <c r="K335" s="101">
        <v>11</v>
      </c>
      <c r="L335" s="136">
        <v>9</v>
      </c>
      <c r="M335" s="136">
        <v>13</v>
      </c>
      <c r="N335" s="136">
        <v>6</v>
      </c>
      <c r="O335" s="136">
        <v>7</v>
      </c>
      <c r="P335" s="218">
        <f t="shared" si="23"/>
        <v>74</v>
      </c>
    </row>
    <row r="336" spans="1:16" x14ac:dyDescent="0.35">
      <c r="A336" s="333"/>
      <c r="B336" s="336"/>
      <c r="C336" s="101" t="s">
        <v>1623</v>
      </c>
      <c r="D336" s="101" t="s">
        <v>2639</v>
      </c>
      <c r="E336" s="101"/>
      <c r="F336" s="101"/>
      <c r="G336" s="157" t="s">
        <v>2909</v>
      </c>
      <c r="H336" s="101">
        <v>2</v>
      </c>
      <c r="I336" s="101">
        <v>6</v>
      </c>
      <c r="J336" s="101">
        <v>29</v>
      </c>
      <c r="K336" s="101">
        <v>33</v>
      </c>
      <c r="L336" s="136">
        <v>12</v>
      </c>
      <c r="M336" s="136">
        <v>11</v>
      </c>
      <c r="N336" s="136">
        <v>8</v>
      </c>
      <c r="O336" s="136">
        <v>13</v>
      </c>
      <c r="P336" s="218">
        <f t="shared" si="23"/>
        <v>114</v>
      </c>
    </row>
    <row r="337" spans="1:16" x14ac:dyDescent="0.35">
      <c r="A337" s="333"/>
      <c r="B337" s="336"/>
      <c r="C337" s="101" t="s">
        <v>1623</v>
      </c>
      <c r="D337" s="101" t="s">
        <v>2639</v>
      </c>
      <c r="E337" s="101"/>
      <c r="F337" s="101"/>
      <c r="G337" s="157" t="s">
        <v>2910</v>
      </c>
      <c r="H337" s="101">
        <v>8</v>
      </c>
      <c r="I337" s="101">
        <v>7</v>
      </c>
      <c r="J337" s="101">
        <v>11</v>
      </c>
      <c r="K337" s="101">
        <v>11</v>
      </c>
      <c r="L337" s="136">
        <v>10</v>
      </c>
      <c r="M337" s="136">
        <v>8</v>
      </c>
      <c r="N337" s="136">
        <v>8</v>
      </c>
      <c r="O337" s="136">
        <v>9</v>
      </c>
      <c r="P337" s="218">
        <f t="shared" si="23"/>
        <v>72</v>
      </c>
    </row>
    <row r="338" spans="1:16" x14ac:dyDescent="0.35">
      <c r="A338" s="333"/>
      <c r="B338" s="336"/>
      <c r="C338" s="101" t="s">
        <v>1623</v>
      </c>
      <c r="D338" s="101" t="s">
        <v>2639</v>
      </c>
      <c r="E338" s="101"/>
      <c r="F338" s="101"/>
      <c r="G338" s="157" t="s">
        <v>2911</v>
      </c>
      <c r="H338" s="101">
        <v>9</v>
      </c>
      <c r="I338" s="101">
        <v>8</v>
      </c>
      <c r="J338" s="101">
        <v>11</v>
      </c>
      <c r="K338" s="101">
        <v>6</v>
      </c>
      <c r="L338" s="136">
        <v>9</v>
      </c>
      <c r="M338" s="136">
        <v>7</v>
      </c>
      <c r="N338" s="136">
        <v>9</v>
      </c>
      <c r="O338" s="136">
        <v>7</v>
      </c>
      <c r="P338" s="218">
        <f t="shared" si="23"/>
        <v>66</v>
      </c>
    </row>
    <row r="339" spans="1:16" x14ac:dyDescent="0.35">
      <c r="A339" s="333"/>
      <c r="B339" s="336"/>
      <c r="C339" s="101" t="s">
        <v>1623</v>
      </c>
      <c r="D339" s="101" t="s">
        <v>2639</v>
      </c>
      <c r="E339" s="101"/>
      <c r="F339" s="101"/>
      <c r="G339" s="157" t="s">
        <v>1953</v>
      </c>
      <c r="H339" s="101">
        <v>14</v>
      </c>
      <c r="I339" s="101">
        <v>15</v>
      </c>
      <c r="J339" s="101">
        <v>22</v>
      </c>
      <c r="K339" s="101">
        <v>21</v>
      </c>
      <c r="L339" s="136">
        <v>14</v>
      </c>
      <c r="M339" s="136">
        <v>13</v>
      </c>
      <c r="N339" s="136">
        <v>4</v>
      </c>
      <c r="O339" s="136">
        <v>8</v>
      </c>
      <c r="P339" s="218">
        <f t="shared" si="23"/>
        <v>111</v>
      </c>
    </row>
    <row r="340" spans="1:16" x14ac:dyDescent="0.35">
      <c r="A340" s="333"/>
      <c r="B340" s="336"/>
      <c r="C340" s="101" t="s">
        <v>1623</v>
      </c>
      <c r="D340" s="101" t="s">
        <v>2639</v>
      </c>
      <c r="E340" s="101"/>
      <c r="F340" s="101"/>
      <c r="G340" s="157" t="s">
        <v>2912</v>
      </c>
      <c r="H340" s="101">
        <v>2</v>
      </c>
      <c r="I340" s="101">
        <v>9</v>
      </c>
      <c r="J340" s="101">
        <v>5</v>
      </c>
      <c r="K340" s="101">
        <v>6</v>
      </c>
      <c r="L340" s="136">
        <v>5</v>
      </c>
      <c r="M340" s="136">
        <v>3</v>
      </c>
      <c r="N340" s="136">
        <v>9</v>
      </c>
      <c r="O340" s="136">
        <v>10</v>
      </c>
      <c r="P340" s="218">
        <f t="shared" si="23"/>
        <v>49</v>
      </c>
    </row>
    <row r="341" spans="1:16" x14ac:dyDescent="0.35">
      <c r="A341" s="333"/>
      <c r="B341" s="336"/>
      <c r="C341" s="101" t="s">
        <v>1623</v>
      </c>
      <c r="D341" s="101" t="s">
        <v>2639</v>
      </c>
      <c r="E341" s="101"/>
      <c r="F341" s="101"/>
      <c r="G341" s="157" t="s">
        <v>2648</v>
      </c>
      <c r="H341" s="101">
        <v>4</v>
      </c>
      <c r="I341" s="101">
        <v>6</v>
      </c>
      <c r="J341" s="101">
        <v>12</v>
      </c>
      <c r="K341" s="101">
        <v>10</v>
      </c>
      <c r="L341" s="136">
        <v>5</v>
      </c>
      <c r="M341" s="136">
        <v>6</v>
      </c>
      <c r="N341" s="136">
        <v>10</v>
      </c>
      <c r="O341" s="136">
        <v>11</v>
      </c>
      <c r="P341" s="218">
        <f t="shared" si="23"/>
        <v>64</v>
      </c>
    </row>
    <row r="342" spans="1:16" x14ac:dyDescent="0.35">
      <c r="A342" s="333"/>
      <c r="B342" s="336"/>
      <c r="C342" s="101" t="s">
        <v>1623</v>
      </c>
      <c r="D342" s="101" t="s">
        <v>2639</v>
      </c>
      <c r="E342" s="101"/>
      <c r="F342" s="101"/>
      <c r="G342" s="157" t="s">
        <v>2164</v>
      </c>
      <c r="H342" s="101">
        <v>5</v>
      </c>
      <c r="I342" s="101">
        <v>4</v>
      </c>
      <c r="J342" s="101">
        <v>12</v>
      </c>
      <c r="K342" s="101">
        <v>11</v>
      </c>
      <c r="L342" s="136">
        <v>11</v>
      </c>
      <c r="M342" s="136">
        <v>15</v>
      </c>
      <c r="N342" s="136">
        <v>9</v>
      </c>
      <c r="O342" s="136">
        <v>13</v>
      </c>
      <c r="P342" s="218">
        <f t="shared" si="23"/>
        <v>80</v>
      </c>
    </row>
    <row r="343" spans="1:16" x14ac:dyDescent="0.35">
      <c r="A343" s="333"/>
      <c r="B343" s="336"/>
      <c r="C343" s="101" t="s">
        <v>1623</v>
      </c>
      <c r="D343" s="101" t="s">
        <v>2639</v>
      </c>
      <c r="E343" s="101"/>
      <c r="F343" s="101"/>
      <c r="G343" s="157" t="s">
        <v>2913</v>
      </c>
      <c r="H343" s="101">
        <v>6</v>
      </c>
      <c r="I343" s="101">
        <v>7</v>
      </c>
      <c r="J343" s="101">
        <v>23</v>
      </c>
      <c r="K343" s="101">
        <v>21</v>
      </c>
      <c r="L343" s="136">
        <v>6</v>
      </c>
      <c r="M343" s="136">
        <v>8</v>
      </c>
      <c r="N343" s="136">
        <v>2</v>
      </c>
      <c r="O343" s="136">
        <v>4</v>
      </c>
      <c r="P343" s="218">
        <f t="shared" si="23"/>
        <v>77</v>
      </c>
    </row>
    <row r="344" spans="1:16" x14ac:dyDescent="0.35">
      <c r="A344" s="333"/>
      <c r="B344" s="336"/>
      <c r="C344" s="101" t="s">
        <v>1623</v>
      </c>
      <c r="D344" s="101" t="s">
        <v>2639</v>
      </c>
      <c r="E344" s="101"/>
      <c r="F344" s="101"/>
      <c r="G344" s="157" t="s">
        <v>2885</v>
      </c>
      <c r="H344" s="101">
        <v>5</v>
      </c>
      <c r="I344" s="101">
        <v>4</v>
      </c>
      <c r="J344" s="101">
        <v>11</v>
      </c>
      <c r="K344" s="101">
        <v>9</v>
      </c>
      <c r="L344" s="136">
        <v>10</v>
      </c>
      <c r="M344" s="136">
        <v>12</v>
      </c>
      <c r="N344" s="136">
        <v>10</v>
      </c>
      <c r="O344" s="136">
        <v>8</v>
      </c>
      <c r="P344" s="218">
        <f t="shared" si="23"/>
        <v>69</v>
      </c>
    </row>
    <row r="345" spans="1:16" x14ac:dyDescent="0.35">
      <c r="A345" s="333"/>
      <c r="B345" s="336"/>
      <c r="C345" s="101" t="s">
        <v>1623</v>
      </c>
      <c r="D345" s="101" t="s">
        <v>2639</v>
      </c>
      <c r="E345" s="101"/>
      <c r="F345" s="101"/>
      <c r="G345" s="157" t="s">
        <v>1963</v>
      </c>
      <c r="H345" s="101">
        <v>4</v>
      </c>
      <c r="I345" s="101">
        <v>5</v>
      </c>
      <c r="J345" s="101">
        <v>18</v>
      </c>
      <c r="K345" s="101">
        <v>15</v>
      </c>
      <c r="L345" s="136">
        <v>11</v>
      </c>
      <c r="M345" s="136">
        <v>7</v>
      </c>
      <c r="N345" s="136">
        <v>5</v>
      </c>
      <c r="O345" s="136">
        <v>4</v>
      </c>
      <c r="P345" s="218">
        <f t="shared" si="23"/>
        <v>69</v>
      </c>
    </row>
    <row r="346" spans="1:16" x14ac:dyDescent="0.35">
      <c r="A346" s="333"/>
      <c r="B346" s="336"/>
      <c r="C346" s="101" t="s">
        <v>1623</v>
      </c>
      <c r="D346" s="101" t="s">
        <v>2639</v>
      </c>
      <c r="E346" s="101"/>
      <c r="F346" s="101"/>
      <c r="G346" s="157" t="s">
        <v>2914</v>
      </c>
      <c r="H346" s="101">
        <v>4</v>
      </c>
      <c r="I346" s="101">
        <v>6</v>
      </c>
      <c r="J346" s="101">
        <v>6</v>
      </c>
      <c r="K346" s="101">
        <v>5</v>
      </c>
      <c r="L346" s="136">
        <v>6</v>
      </c>
      <c r="M346" s="136">
        <v>3</v>
      </c>
      <c r="N346" s="136">
        <v>8</v>
      </c>
      <c r="O346" s="136">
        <v>7</v>
      </c>
      <c r="P346" s="218">
        <f t="shared" si="23"/>
        <v>45</v>
      </c>
    </row>
    <row r="347" spans="1:16" x14ac:dyDescent="0.35">
      <c r="A347" s="333"/>
      <c r="B347" s="336"/>
      <c r="C347" s="101" t="s">
        <v>1623</v>
      </c>
      <c r="D347" s="101" t="s">
        <v>2639</v>
      </c>
      <c r="E347" s="101"/>
      <c r="F347" s="101"/>
      <c r="G347" s="157" t="s">
        <v>2915</v>
      </c>
      <c r="H347" s="101">
        <v>11</v>
      </c>
      <c r="I347" s="101">
        <v>14</v>
      </c>
      <c r="J347" s="101">
        <v>10</v>
      </c>
      <c r="K347" s="101">
        <v>16</v>
      </c>
      <c r="L347" s="136">
        <v>11</v>
      </c>
      <c r="M347" s="136">
        <v>9</v>
      </c>
      <c r="N347" s="136">
        <v>9</v>
      </c>
      <c r="O347" s="136">
        <v>8</v>
      </c>
      <c r="P347" s="218">
        <f t="shared" si="23"/>
        <v>88</v>
      </c>
    </row>
    <row r="348" spans="1:16" x14ac:dyDescent="0.35">
      <c r="A348" s="333"/>
      <c r="B348" s="336"/>
      <c r="C348" s="101" t="s">
        <v>1623</v>
      </c>
      <c r="D348" s="101" t="s">
        <v>2639</v>
      </c>
      <c r="E348" s="101"/>
      <c r="F348" s="101"/>
      <c r="G348" s="157" t="s">
        <v>2916</v>
      </c>
      <c r="H348" s="101">
        <v>7</v>
      </c>
      <c r="I348" s="101">
        <v>8</v>
      </c>
      <c r="J348" s="101">
        <v>14</v>
      </c>
      <c r="K348" s="101">
        <v>9</v>
      </c>
      <c r="L348" s="136">
        <v>11</v>
      </c>
      <c r="M348" s="136">
        <v>8</v>
      </c>
      <c r="N348" s="136">
        <v>9</v>
      </c>
      <c r="O348" s="136">
        <v>11</v>
      </c>
      <c r="P348" s="218">
        <f t="shared" si="23"/>
        <v>77</v>
      </c>
    </row>
    <row r="349" spans="1:16" x14ac:dyDescent="0.35">
      <c r="A349" s="333"/>
      <c r="B349" s="336"/>
      <c r="C349" s="101" t="s">
        <v>1623</v>
      </c>
      <c r="D349" s="101" t="s">
        <v>2639</v>
      </c>
      <c r="E349" s="101"/>
      <c r="F349" s="101"/>
      <c r="G349" s="157" t="s">
        <v>2917</v>
      </c>
      <c r="H349" s="101">
        <v>3</v>
      </c>
      <c r="I349" s="101">
        <v>4</v>
      </c>
      <c r="J349" s="101">
        <v>5</v>
      </c>
      <c r="K349" s="101">
        <v>5</v>
      </c>
      <c r="L349" s="136">
        <v>3</v>
      </c>
      <c r="M349" s="136">
        <v>1</v>
      </c>
      <c r="N349" s="136">
        <v>1</v>
      </c>
      <c r="O349" s="136">
        <v>9</v>
      </c>
      <c r="P349" s="218">
        <f t="shared" si="23"/>
        <v>31</v>
      </c>
    </row>
    <row r="350" spans="1:16" x14ac:dyDescent="0.35">
      <c r="A350" s="333"/>
      <c r="B350" s="336"/>
      <c r="C350" s="101" t="s">
        <v>1623</v>
      </c>
      <c r="D350" s="101" t="s">
        <v>2639</v>
      </c>
      <c r="E350" s="101"/>
      <c r="F350" s="101"/>
      <c r="G350" s="157" t="s">
        <v>2918</v>
      </c>
      <c r="H350" s="101">
        <v>3</v>
      </c>
      <c r="I350" s="101">
        <v>2</v>
      </c>
      <c r="J350" s="101">
        <v>5</v>
      </c>
      <c r="K350" s="101">
        <v>4</v>
      </c>
      <c r="L350" s="136">
        <v>2</v>
      </c>
      <c r="M350" s="136">
        <v>1</v>
      </c>
      <c r="N350" s="136">
        <v>5</v>
      </c>
      <c r="O350" s="136">
        <v>2</v>
      </c>
      <c r="P350" s="218">
        <f t="shared" si="23"/>
        <v>24</v>
      </c>
    </row>
    <row r="351" spans="1:16" x14ac:dyDescent="0.35">
      <c r="A351" s="333"/>
      <c r="B351" s="336"/>
      <c r="C351" s="101" t="s">
        <v>1623</v>
      </c>
      <c r="D351" s="101" t="s">
        <v>2639</v>
      </c>
      <c r="E351" s="101"/>
      <c r="F351" s="101"/>
      <c r="G351" s="157" t="s">
        <v>2919</v>
      </c>
      <c r="H351" s="101">
        <v>3</v>
      </c>
      <c r="I351" s="101">
        <v>4</v>
      </c>
      <c r="J351" s="101">
        <v>13</v>
      </c>
      <c r="K351" s="101">
        <v>13</v>
      </c>
      <c r="L351" s="136">
        <v>5</v>
      </c>
      <c r="M351" s="136">
        <v>4</v>
      </c>
      <c r="N351" s="136">
        <v>9</v>
      </c>
      <c r="O351" s="136">
        <v>11</v>
      </c>
      <c r="P351" s="218">
        <f t="shared" si="23"/>
        <v>62</v>
      </c>
    </row>
    <row r="352" spans="1:16" x14ac:dyDescent="0.35">
      <c r="A352" s="333"/>
      <c r="B352" s="336"/>
      <c r="C352" s="101" t="s">
        <v>1623</v>
      </c>
      <c r="D352" s="101" t="s">
        <v>2639</v>
      </c>
      <c r="E352" s="101"/>
      <c r="F352" s="101"/>
      <c r="G352" s="157" t="s">
        <v>2920</v>
      </c>
      <c r="H352" s="101">
        <v>3</v>
      </c>
      <c r="I352" s="101">
        <v>5</v>
      </c>
      <c r="J352" s="101">
        <v>9</v>
      </c>
      <c r="K352" s="101">
        <v>7</v>
      </c>
      <c r="L352" s="136">
        <v>7</v>
      </c>
      <c r="M352" s="136">
        <v>5</v>
      </c>
      <c r="N352" s="136">
        <v>6</v>
      </c>
      <c r="O352" s="136">
        <v>5</v>
      </c>
      <c r="P352" s="218">
        <f t="shared" si="23"/>
        <v>47</v>
      </c>
    </row>
    <row r="353" spans="1:16" x14ac:dyDescent="0.35">
      <c r="A353" s="333"/>
      <c r="B353" s="336"/>
      <c r="C353" s="101" t="s">
        <v>1623</v>
      </c>
      <c r="D353" s="101" t="s">
        <v>2639</v>
      </c>
      <c r="E353" s="101"/>
      <c r="F353" s="101"/>
      <c r="G353" s="157" t="s">
        <v>2921</v>
      </c>
      <c r="H353" s="101">
        <v>9</v>
      </c>
      <c r="I353" s="101">
        <v>7</v>
      </c>
      <c r="J353" s="101">
        <v>9</v>
      </c>
      <c r="K353" s="101">
        <v>10</v>
      </c>
      <c r="L353" s="136">
        <v>6</v>
      </c>
      <c r="M353" s="136">
        <v>7</v>
      </c>
      <c r="N353" s="136">
        <v>9</v>
      </c>
      <c r="O353" s="136">
        <v>11</v>
      </c>
      <c r="P353" s="218">
        <f t="shared" si="23"/>
        <v>68</v>
      </c>
    </row>
    <row r="354" spans="1:16" x14ac:dyDescent="0.35">
      <c r="A354" s="333"/>
      <c r="B354" s="336"/>
      <c r="C354" s="101" t="s">
        <v>1623</v>
      </c>
      <c r="D354" s="101" t="s">
        <v>2639</v>
      </c>
      <c r="E354" s="101"/>
      <c r="F354" s="101"/>
      <c r="G354" s="157" t="s">
        <v>2922</v>
      </c>
      <c r="H354" s="101">
        <v>6</v>
      </c>
      <c r="I354" s="101">
        <v>4</v>
      </c>
      <c r="J354" s="101">
        <v>9</v>
      </c>
      <c r="K354" s="101">
        <v>11</v>
      </c>
      <c r="L354" s="136">
        <v>11</v>
      </c>
      <c r="M354" s="136">
        <v>5</v>
      </c>
      <c r="N354" s="136">
        <v>8</v>
      </c>
      <c r="O354" s="136">
        <v>7</v>
      </c>
      <c r="P354" s="218">
        <f t="shared" si="23"/>
        <v>61</v>
      </c>
    </row>
    <row r="355" spans="1:16" x14ac:dyDescent="0.35">
      <c r="A355" s="333"/>
      <c r="B355" s="336"/>
      <c r="C355" s="101" t="s">
        <v>1623</v>
      </c>
      <c r="D355" s="101" t="s">
        <v>2639</v>
      </c>
      <c r="E355" s="101"/>
      <c r="F355" s="101"/>
      <c r="G355" s="157" t="s">
        <v>2923</v>
      </c>
      <c r="H355" s="101">
        <v>8</v>
      </c>
      <c r="I355" s="101">
        <v>6</v>
      </c>
      <c r="J355" s="101">
        <v>14</v>
      </c>
      <c r="K355" s="101">
        <v>15</v>
      </c>
      <c r="L355" s="136">
        <v>6</v>
      </c>
      <c r="M355" s="136">
        <v>6</v>
      </c>
      <c r="N355" s="136">
        <v>10</v>
      </c>
      <c r="O355" s="136">
        <v>11</v>
      </c>
      <c r="P355" s="218">
        <f t="shared" si="23"/>
        <v>76</v>
      </c>
    </row>
    <row r="356" spans="1:16" x14ac:dyDescent="0.35">
      <c r="A356" s="333"/>
      <c r="B356" s="336"/>
      <c r="C356" s="101" t="s">
        <v>1623</v>
      </c>
      <c r="D356" s="101" t="s">
        <v>2639</v>
      </c>
      <c r="E356" s="101"/>
      <c r="F356" s="101"/>
      <c r="G356" s="157" t="s">
        <v>2924</v>
      </c>
      <c r="H356" s="101">
        <v>1</v>
      </c>
      <c r="I356" s="101">
        <v>2</v>
      </c>
      <c r="J356" s="101">
        <v>5</v>
      </c>
      <c r="K356" s="101">
        <v>3</v>
      </c>
      <c r="L356" s="136">
        <v>8</v>
      </c>
      <c r="M356" s="136">
        <v>9</v>
      </c>
      <c r="N356" s="136">
        <v>9</v>
      </c>
      <c r="O356" s="136">
        <v>6</v>
      </c>
      <c r="P356" s="218">
        <f t="shared" si="23"/>
        <v>43</v>
      </c>
    </row>
    <row r="357" spans="1:16" x14ac:dyDescent="0.35">
      <c r="A357" s="334"/>
      <c r="B357" s="337"/>
      <c r="C357" s="149"/>
      <c r="D357" s="149"/>
      <c r="E357" s="149"/>
      <c r="F357" s="149"/>
      <c r="G357" s="158" t="s">
        <v>2</v>
      </c>
      <c r="H357" s="159">
        <f>SUM(H323:H356)</f>
        <v>236</v>
      </c>
      <c r="I357" s="159">
        <f t="shared" ref="I357:O357" si="24">SUM(I323:I356)</f>
        <v>274</v>
      </c>
      <c r="J357" s="160">
        <f t="shared" si="24"/>
        <v>395</v>
      </c>
      <c r="K357" s="160">
        <f t="shared" si="24"/>
        <v>386</v>
      </c>
      <c r="L357" s="161">
        <f t="shared" si="24"/>
        <v>268</v>
      </c>
      <c r="M357" s="161">
        <f t="shared" si="24"/>
        <v>251</v>
      </c>
      <c r="N357" s="162">
        <f t="shared" si="24"/>
        <v>250</v>
      </c>
      <c r="O357" s="162">
        <f t="shared" si="24"/>
        <v>275</v>
      </c>
      <c r="P357" s="217">
        <f t="shared" si="23"/>
        <v>2335</v>
      </c>
    </row>
    <row r="358" spans="1:16" x14ac:dyDescent="0.35">
      <c r="A358" s="338">
        <v>20</v>
      </c>
      <c r="B358" s="340" t="s">
        <v>2925</v>
      </c>
      <c r="C358" s="101" t="s">
        <v>1623</v>
      </c>
      <c r="D358" s="101" t="s">
        <v>2639</v>
      </c>
      <c r="E358" s="101"/>
      <c r="F358" s="101"/>
      <c r="G358" s="155" t="s">
        <v>2926</v>
      </c>
      <c r="H358" s="101">
        <v>1</v>
      </c>
      <c r="I358" s="101">
        <v>3</v>
      </c>
      <c r="J358" s="101">
        <v>13</v>
      </c>
      <c r="K358" s="101">
        <v>15</v>
      </c>
      <c r="L358" s="136">
        <v>1</v>
      </c>
      <c r="M358" s="136">
        <v>1</v>
      </c>
      <c r="N358" s="136">
        <v>3</v>
      </c>
      <c r="O358" s="136">
        <v>4</v>
      </c>
      <c r="P358" s="218">
        <f t="shared" si="23"/>
        <v>41</v>
      </c>
    </row>
    <row r="359" spans="1:16" x14ac:dyDescent="0.35">
      <c r="A359" s="339"/>
      <c r="B359" s="341"/>
      <c r="C359" s="101" t="s">
        <v>1623</v>
      </c>
      <c r="D359" s="101" t="s">
        <v>2639</v>
      </c>
      <c r="E359" s="101"/>
      <c r="F359" s="101"/>
      <c r="G359" s="155" t="s">
        <v>2927</v>
      </c>
      <c r="H359" s="101">
        <v>4</v>
      </c>
      <c r="I359" s="101">
        <v>6</v>
      </c>
      <c r="J359" s="101">
        <v>14</v>
      </c>
      <c r="K359" s="101">
        <v>16</v>
      </c>
      <c r="L359" s="136">
        <v>6</v>
      </c>
      <c r="M359" s="136">
        <v>7</v>
      </c>
      <c r="N359" s="136">
        <v>8</v>
      </c>
      <c r="O359" s="136">
        <v>7</v>
      </c>
      <c r="P359" s="218">
        <f t="shared" si="23"/>
        <v>68</v>
      </c>
    </row>
    <row r="360" spans="1:16" x14ac:dyDescent="0.35">
      <c r="A360" s="339"/>
      <c r="B360" s="341"/>
      <c r="C360" s="101" t="s">
        <v>1623</v>
      </c>
      <c r="D360" s="101" t="s">
        <v>2639</v>
      </c>
      <c r="E360" s="101"/>
      <c r="F360" s="101"/>
      <c r="G360" s="155" t="s">
        <v>2928</v>
      </c>
      <c r="H360" s="101">
        <v>3</v>
      </c>
      <c r="I360" s="101">
        <v>5</v>
      </c>
      <c r="J360" s="101">
        <v>8</v>
      </c>
      <c r="K360" s="101">
        <v>7</v>
      </c>
      <c r="L360" s="136">
        <v>2</v>
      </c>
      <c r="M360" s="136">
        <v>3</v>
      </c>
      <c r="N360" s="136">
        <v>6</v>
      </c>
      <c r="O360" s="136">
        <v>8</v>
      </c>
      <c r="P360" s="218">
        <f t="shared" si="23"/>
        <v>42</v>
      </c>
    </row>
    <row r="361" spans="1:16" x14ac:dyDescent="0.35">
      <c r="A361" s="339"/>
      <c r="B361" s="341"/>
      <c r="C361" s="101" t="s">
        <v>1623</v>
      </c>
      <c r="D361" s="101" t="s">
        <v>2639</v>
      </c>
      <c r="E361" s="101"/>
      <c r="F361" s="101"/>
      <c r="G361" s="155" t="s">
        <v>2929</v>
      </c>
      <c r="H361" s="101">
        <v>1</v>
      </c>
      <c r="I361" s="101">
        <v>0</v>
      </c>
      <c r="J361" s="101">
        <v>7</v>
      </c>
      <c r="K361" s="101">
        <v>9</v>
      </c>
      <c r="L361" s="136">
        <v>2</v>
      </c>
      <c r="M361" s="136">
        <v>4</v>
      </c>
      <c r="N361" s="136">
        <v>2</v>
      </c>
      <c r="O361" s="136">
        <v>4</v>
      </c>
      <c r="P361" s="218">
        <f t="shared" si="23"/>
        <v>29</v>
      </c>
    </row>
    <row r="362" spans="1:16" x14ac:dyDescent="0.35">
      <c r="A362" s="339"/>
      <c r="B362" s="341"/>
      <c r="C362" s="101" t="s">
        <v>1623</v>
      </c>
      <c r="D362" s="101" t="s">
        <v>2639</v>
      </c>
      <c r="E362" s="101"/>
      <c r="F362" s="101"/>
      <c r="G362" s="155" t="s">
        <v>2930</v>
      </c>
      <c r="H362" s="101">
        <v>1</v>
      </c>
      <c r="I362" s="101">
        <v>2</v>
      </c>
      <c r="J362" s="101">
        <v>9</v>
      </c>
      <c r="K362" s="101">
        <v>7</v>
      </c>
      <c r="L362" s="136">
        <v>6</v>
      </c>
      <c r="M362" s="136">
        <v>5</v>
      </c>
      <c r="N362" s="136">
        <v>4</v>
      </c>
      <c r="O362" s="136">
        <v>6</v>
      </c>
      <c r="P362" s="218">
        <f t="shared" si="23"/>
        <v>40</v>
      </c>
    </row>
    <row r="363" spans="1:16" x14ac:dyDescent="0.35">
      <c r="A363" s="339"/>
      <c r="B363" s="341"/>
      <c r="C363" s="149"/>
      <c r="D363" s="149"/>
      <c r="E363" s="149"/>
      <c r="F363" s="149"/>
      <c r="G363" s="158" t="s">
        <v>2</v>
      </c>
      <c r="H363" s="159">
        <f>SUM(H358:H362)</f>
        <v>10</v>
      </c>
      <c r="I363" s="159">
        <f t="shared" ref="I363:O363" si="25">SUM(I358:I362)</f>
        <v>16</v>
      </c>
      <c r="J363" s="160">
        <f t="shared" si="25"/>
        <v>51</v>
      </c>
      <c r="K363" s="160">
        <f t="shared" si="25"/>
        <v>54</v>
      </c>
      <c r="L363" s="161">
        <f t="shared" si="25"/>
        <v>17</v>
      </c>
      <c r="M363" s="161">
        <f t="shared" si="25"/>
        <v>20</v>
      </c>
      <c r="N363" s="162">
        <f t="shared" si="25"/>
        <v>23</v>
      </c>
      <c r="O363" s="162">
        <f t="shared" si="25"/>
        <v>29</v>
      </c>
      <c r="P363" s="217">
        <f t="shared" si="23"/>
        <v>220</v>
      </c>
    </row>
    <row r="364" spans="1:16" x14ac:dyDescent="0.35">
      <c r="A364" s="326">
        <v>21</v>
      </c>
      <c r="B364" s="329" t="s">
        <v>2931</v>
      </c>
      <c r="C364" s="101" t="s">
        <v>1623</v>
      </c>
      <c r="D364" s="101" t="s">
        <v>2639</v>
      </c>
      <c r="E364" s="101"/>
      <c r="F364" s="101"/>
      <c r="G364" s="155" t="s">
        <v>2932</v>
      </c>
      <c r="H364" s="101">
        <v>9</v>
      </c>
      <c r="I364" s="101">
        <v>11</v>
      </c>
      <c r="J364" s="101">
        <v>19</v>
      </c>
      <c r="K364" s="101">
        <v>23</v>
      </c>
      <c r="L364" s="136">
        <v>6</v>
      </c>
      <c r="M364" s="136">
        <v>7</v>
      </c>
      <c r="N364" s="136">
        <v>8</v>
      </c>
      <c r="O364" s="136">
        <v>14</v>
      </c>
      <c r="P364" s="218">
        <f t="shared" si="23"/>
        <v>97</v>
      </c>
    </row>
    <row r="365" spans="1:16" x14ac:dyDescent="0.35">
      <c r="A365" s="327"/>
      <c r="B365" s="330"/>
      <c r="C365" s="101" t="s">
        <v>1623</v>
      </c>
      <c r="D365" s="101" t="s">
        <v>2639</v>
      </c>
      <c r="E365" s="101"/>
      <c r="F365" s="101"/>
      <c r="G365" s="148" t="s">
        <v>2933</v>
      </c>
      <c r="H365" s="101">
        <v>5</v>
      </c>
      <c r="I365" s="101">
        <v>7</v>
      </c>
      <c r="J365" s="101">
        <v>12</v>
      </c>
      <c r="K365" s="101">
        <v>15</v>
      </c>
      <c r="L365" s="136">
        <v>12</v>
      </c>
      <c r="M365" s="136">
        <v>11</v>
      </c>
      <c r="N365" s="136">
        <v>14</v>
      </c>
      <c r="O365" s="136">
        <v>11</v>
      </c>
      <c r="P365" s="218">
        <f t="shared" si="23"/>
        <v>87</v>
      </c>
    </row>
    <row r="366" spans="1:16" x14ac:dyDescent="0.35">
      <c r="A366" s="327"/>
      <c r="B366" s="330"/>
      <c r="C366" s="101" t="s">
        <v>1623</v>
      </c>
      <c r="D366" s="101" t="s">
        <v>2639</v>
      </c>
      <c r="E366" s="101"/>
      <c r="F366" s="101"/>
      <c r="G366" s="148" t="s">
        <v>2483</v>
      </c>
      <c r="H366" s="101">
        <v>4</v>
      </c>
      <c r="I366" s="101">
        <v>5</v>
      </c>
      <c r="J366" s="101">
        <v>10</v>
      </c>
      <c r="K366" s="101">
        <v>11</v>
      </c>
      <c r="L366" s="136">
        <v>9</v>
      </c>
      <c r="M366" s="136">
        <v>7</v>
      </c>
      <c r="N366" s="136">
        <v>6</v>
      </c>
      <c r="O366" s="136">
        <v>5</v>
      </c>
      <c r="P366" s="218">
        <f t="shared" si="23"/>
        <v>57</v>
      </c>
    </row>
    <row r="367" spans="1:16" x14ac:dyDescent="0.35">
      <c r="A367" s="327"/>
      <c r="B367" s="330"/>
      <c r="C367" s="101" t="s">
        <v>1623</v>
      </c>
      <c r="D367" s="101" t="s">
        <v>2639</v>
      </c>
      <c r="E367" s="101"/>
      <c r="F367" s="101"/>
      <c r="G367" s="155" t="s">
        <v>2397</v>
      </c>
      <c r="H367" s="101">
        <v>8</v>
      </c>
      <c r="I367" s="101">
        <v>12</v>
      </c>
      <c r="J367" s="101">
        <v>6</v>
      </c>
      <c r="K367" s="101">
        <v>8</v>
      </c>
      <c r="L367" s="136">
        <v>5</v>
      </c>
      <c r="M367" s="136">
        <v>8</v>
      </c>
      <c r="N367" s="136">
        <v>13</v>
      </c>
      <c r="O367" s="136">
        <v>12</v>
      </c>
      <c r="P367" s="218">
        <f t="shared" si="23"/>
        <v>72</v>
      </c>
    </row>
    <row r="368" spans="1:16" x14ac:dyDescent="0.35">
      <c r="A368" s="327"/>
      <c r="B368" s="330"/>
      <c r="C368" s="101" t="s">
        <v>1623</v>
      </c>
      <c r="D368" s="101" t="s">
        <v>2639</v>
      </c>
      <c r="E368" s="101"/>
      <c r="F368" s="101"/>
      <c r="G368" s="148" t="s">
        <v>2872</v>
      </c>
      <c r="H368" s="101">
        <v>6</v>
      </c>
      <c r="I368" s="101">
        <v>8</v>
      </c>
      <c r="J368" s="101">
        <v>7</v>
      </c>
      <c r="K368" s="101">
        <v>5</v>
      </c>
      <c r="L368" s="136">
        <v>10</v>
      </c>
      <c r="M368" s="136">
        <v>9</v>
      </c>
      <c r="N368" s="136">
        <v>9</v>
      </c>
      <c r="O368" s="136">
        <v>8</v>
      </c>
      <c r="P368" s="218">
        <f t="shared" si="23"/>
        <v>62</v>
      </c>
    </row>
    <row r="369" spans="1:16" x14ac:dyDescent="0.35">
      <c r="A369" s="327"/>
      <c r="B369" s="330"/>
      <c r="C369" s="101" t="s">
        <v>1623</v>
      </c>
      <c r="D369" s="101" t="s">
        <v>2639</v>
      </c>
      <c r="E369" s="101"/>
      <c r="F369" s="101"/>
      <c r="G369" s="155" t="s">
        <v>2934</v>
      </c>
      <c r="H369" s="101">
        <v>11</v>
      </c>
      <c r="I369" s="101">
        <v>9</v>
      </c>
      <c r="J369" s="101">
        <v>25</v>
      </c>
      <c r="K369" s="101">
        <v>24</v>
      </c>
      <c r="L369" s="136">
        <v>8</v>
      </c>
      <c r="M369" s="136">
        <v>7</v>
      </c>
      <c r="N369" s="136">
        <v>7</v>
      </c>
      <c r="O369" s="136">
        <v>6</v>
      </c>
      <c r="P369" s="218">
        <f t="shared" si="23"/>
        <v>97</v>
      </c>
    </row>
    <row r="370" spans="1:16" x14ac:dyDescent="0.35">
      <c r="A370" s="327"/>
      <c r="B370" s="330"/>
      <c r="C370" s="101" t="s">
        <v>1623</v>
      </c>
      <c r="D370" s="101" t="s">
        <v>2639</v>
      </c>
      <c r="E370" s="101"/>
      <c r="F370" s="101"/>
      <c r="G370" s="148" t="s">
        <v>2826</v>
      </c>
      <c r="H370" s="101">
        <v>3</v>
      </c>
      <c r="I370" s="101">
        <v>1</v>
      </c>
      <c r="J370" s="101">
        <v>6</v>
      </c>
      <c r="K370" s="101">
        <v>8</v>
      </c>
      <c r="L370" s="136">
        <v>4</v>
      </c>
      <c r="M370" s="136">
        <v>6</v>
      </c>
      <c r="N370" s="136">
        <v>5</v>
      </c>
      <c r="O370" s="136">
        <v>4</v>
      </c>
      <c r="P370" s="218">
        <f t="shared" si="23"/>
        <v>37</v>
      </c>
    </row>
    <row r="371" spans="1:16" ht="14.25" customHeight="1" x14ac:dyDescent="0.35">
      <c r="A371" s="327"/>
      <c r="B371" s="330"/>
      <c r="C371" s="101" t="s">
        <v>1623</v>
      </c>
      <c r="D371" s="101" t="s">
        <v>2639</v>
      </c>
      <c r="E371" s="101"/>
      <c r="F371" s="101"/>
      <c r="G371" s="148" t="s">
        <v>2935</v>
      </c>
      <c r="H371" s="101">
        <v>11</v>
      </c>
      <c r="I371" s="101">
        <v>9</v>
      </c>
      <c r="J371" s="101">
        <v>5</v>
      </c>
      <c r="K371" s="101">
        <v>4</v>
      </c>
      <c r="L371" s="136">
        <v>8</v>
      </c>
      <c r="M371" s="136">
        <v>8</v>
      </c>
      <c r="N371" s="136">
        <v>4</v>
      </c>
      <c r="O371" s="136">
        <v>6</v>
      </c>
      <c r="P371" s="218">
        <f t="shared" si="23"/>
        <v>55</v>
      </c>
    </row>
    <row r="372" spans="1:16" ht="17.25" customHeight="1" x14ac:dyDescent="0.35">
      <c r="A372" s="327"/>
      <c r="B372" s="330"/>
      <c r="C372" s="101" t="s">
        <v>1623</v>
      </c>
      <c r="D372" s="101" t="s">
        <v>2639</v>
      </c>
      <c r="E372" s="101"/>
      <c r="F372" s="101"/>
      <c r="G372" s="148" t="s">
        <v>2936</v>
      </c>
      <c r="H372" s="101">
        <v>6</v>
      </c>
      <c r="I372" s="101">
        <v>4</v>
      </c>
      <c r="J372" s="101">
        <v>10</v>
      </c>
      <c r="K372" s="101">
        <v>9</v>
      </c>
      <c r="L372" s="136">
        <v>2</v>
      </c>
      <c r="M372" s="136">
        <v>4</v>
      </c>
      <c r="N372" s="136">
        <v>7</v>
      </c>
      <c r="O372" s="136">
        <v>4</v>
      </c>
      <c r="P372" s="218">
        <f t="shared" si="23"/>
        <v>46</v>
      </c>
    </row>
    <row r="373" spans="1:16" x14ac:dyDescent="0.35">
      <c r="A373" s="327"/>
      <c r="B373" s="330"/>
      <c r="C373" s="101" t="s">
        <v>1623</v>
      </c>
      <c r="D373" s="101" t="s">
        <v>2639</v>
      </c>
      <c r="E373" s="101"/>
      <c r="F373" s="101"/>
      <c r="G373" s="155" t="s">
        <v>2937</v>
      </c>
      <c r="H373" s="101">
        <v>7</v>
      </c>
      <c r="I373" s="101">
        <v>3</v>
      </c>
      <c r="J373" s="101">
        <v>14</v>
      </c>
      <c r="K373" s="101">
        <v>11</v>
      </c>
      <c r="L373" s="136">
        <v>4</v>
      </c>
      <c r="M373" s="136">
        <v>6</v>
      </c>
      <c r="N373" s="136">
        <v>5</v>
      </c>
      <c r="O373" s="136">
        <v>4</v>
      </c>
      <c r="P373" s="218">
        <f t="shared" si="23"/>
        <v>54</v>
      </c>
    </row>
    <row r="374" spans="1:16" x14ac:dyDescent="0.35">
      <c r="A374" s="327"/>
      <c r="B374" s="330"/>
      <c r="C374" s="101" t="s">
        <v>1623</v>
      </c>
      <c r="D374" s="101" t="s">
        <v>2639</v>
      </c>
      <c r="E374" s="101"/>
      <c r="F374" s="101"/>
      <c r="G374" s="148" t="s">
        <v>2938</v>
      </c>
      <c r="H374" s="101">
        <v>4</v>
      </c>
      <c r="I374" s="101">
        <v>6</v>
      </c>
      <c r="J374" s="101">
        <v>17</v>
      </c>
      <c r="K374" s="101">
        <v>15</v>
      </c>
      <c r="L374" s="136">
        <v>11</v>
      </c>
      <c r="M374" s="136">
        <v>9</v>
      </c>
      <c r="N374" s="136">
        <v>2</v>
      </c>
      <c r="O374" s="136">
        <v>2</v>
      </c>
      <c r="P374" s="218">
        <f t="shared" si="23"/>
        <v>66</v>
      </c>
    </row>
    <row r="375" spans="1:16" x14ac:dyDescent="0.35">
      <c r="A375" s="327"/>
      <c r="B375" s="330"/>
      <c r="C375" s="101" t="s">
        <v>1623</v>
      </c>
      <c r="D375" s="101" t="s">
        <v>2639</v>
      </c>
      <c r="E375" s="101"/>
      <c r="F375" s="101"/>
      <c r="G375" s="148" t="s">
        <v>2939</v>
      </c>
      <c r="H375" s="101">
        <v>13</v>
      </c>
      <c r="I375" s="101">
        <v>15</v>
      </c>
      <c r="J375" s="101">
        <v>23</v>
      </c>
      <c r="K375" s="101">
        <v>20</v>
      </c>
      <c r="L375" s="136">
        <v>16</v>
      </c>
      <c r="M375" s="136">
        <v>14</v>
      </c>
      <c r="N375" s="136">
        <v>8</v>
      </c>
      <c r="O375" s="136">
        <v>7</v>
      </c>
      <c r="P375" s="218">
        <f t="shared" si="23"/>
        <v>116</v>
      </c>
    </row>
    <row r="376" spans="1:16" x14ac:dyDescent="0.35">
      <c r="A376" s="327"/>
      <c r="B376" s="330"/>
      <c r="C376" s="101" t="s">
        <v>1623</v>
      </c>
      <c r="D376" s="101" t="s">
        <v>2639</v>
      </c>
      <c r="E376" s="101"/>
      <c r="F376" s="101"/>
      <c r="G376" s="155" t="s">
        <v>2940</v>
      </c>
      <c r="H376" s="101">
        <v>4</v>
      </c>
      <c r="I376" s="101">
        <v>6</v>
      </c>
      <c r="J376" s="101">
        <v>19</v>
      </c>
      <c r="K376" s="101">
        <v>17</v>
      </c>
      <c r="L376" s="136">
        <v>24</v>
      </c>
      <c r="M376" s="136">
        <v>25</v>
      </c>
      <c r="N376" s="136">
        <v>11</v>
      </c>
      <c r="O376" s="136">
        <v>14</v>
      </c>
      <c r="P376" s="218">
        <f t="shared" si="23"/>
        <v>120</v>
      </c>
    </row>
    <row r="377" spans="1:16" x14ac:dyDescent="0.35">
      <c r="A377" s="327"/>
      <c r="B377" s="330"/>
      <c r="C377" s="101" t="s">
        <v>1623</v>
      </c>
      <c r="D377" s="101" t="s">
        <v>2639</v>
      </c>
      <c r="E377" s="101"/>
      <c r="F377" s="101"/>
      <c r="G377" s="148" t="s">
        <v>2941</v>
      </c>
      <c r="H377" s="101">
        <v>9</v>
      </c>
      <c r="I377" s="101">
        <v>11</v>
      </c>
      <c r="J377" s="101">
        <v>22</v>
      </c>
      <c r="K377" s="101">
        <v>20</v>
      </c>
      <c r="L377" s="136">
        <v>19</v>
      </c>
      <c r="M377" s="136">
        <v>17</v>
      </c>
      <c r="N377" s="136">
        <v>8</v>
      </c>
      <c r="O377" s="136">
        <v>25</v>
      </c>
      <c r="P377" s="218">
        <f t="shared" si="23"/>
        <v>131</v>
      </c>
    </row>
    <row r="378" spans="1:16" x14ac:dyDescent="0.35">
      <c r="A378" s="327"/>
      <c r="B378" s="330"/>
      <c r="C378" s="101" t="s">
        <v>1623</v>
      </c>
      <c r="D378" s="101" t="s">
        <v>2639</v>
      </c>
      <c r="E378" s="101"/>
      <c r="F378" s="101"/>
      <c r="G378" s="155" t="s">
        <v>2942</v>
      </c>
      <c r="H378" s="101">
        <v>17</v>
      </c>
      <c r="I378" s="101">
        <v>13</v>
      </c>
      <c r="J378" s="101">
        <v>28</v>
      </c>
      <c r="K378" s="101">
        <v>25</v>
      </c>
      <c r="L378" s="136">
        <v>22</v>
      </c>
      <c r="M378" s="136">
        <v>25</v>
      </c>
      <c r="N378" s="136">
        <v>14</v>
      </c>
      <c r="O378" s="136">
        <v>14</v>
      </c>
      <c r="P378" s="218">
        <f t="shared" si="23"/>
        <v>158</v>
      </c>
    </row>
    <row r="379" spans="1:16" x14ac:dyDescent="0.35">
      <c r="A379" s="327"/>
      <c r="B379" s="330"/>
      <c r="C379" s="101" t="s">
        <v>1623</v>
      </c>
      <c r="D379" s="101" t="s">
        <v>2639</v>
      </c>
      <c r="E379" s="101"/>
      <c r="F379" s="101"/>
      <c r="G379" s="148" t="s">
        <v>2943</v>
      </c>
      <c r="H379" s="101">
        <v>18</v>
      </c>
      <c r="I379" s="101">
        <v>12</v>
      </c>
      <c r="J379" s="101">
        <v>43</v>
      </c>
      <c r="K379" s="101">
        <v>42</v>
      </c>
      <c r="L379" s="136">
        <v>18</v>
      </c>
      <c r="M379" s="136">
        <v>17</v>
      </c>
      <c r="N379" s="136">
        <v>10</v>
      </c>
      <c r="O379" s="136">
        <v>9</v>
      </c>
      <c r="P379" s="218">
        <f t="shared" si="23"/>
        <v>169</v>
      </c>
    </row>
    <row r="380" spans="1:16" x14ac:dyDescent="0.35">
      <c r="A380" s="327"/>
      <c r="B380" s="330"/>
      <c r="C380" s="101" t="s">
        <v>1623</v>
      </c>
      <c r="D380" s="101" t="s">
        <v>2639</v>
      </c>
      <c r="E380" s="101"/>
      <c r="F380" s="101"/>
      <c r="G380" s="148" t="s">
        <v>2730</v>
      </c>
      <c r="H380" s="101">
        <v>6</v>
      </c>
      <c r="I380" s="101">
        <v>4</v>
      </c>
      <c r="J380" s="101">
        <v>19</v>
      </c>
      <c r="K380" s="101">
        <v>15</v>
      </c>
      <c r="L380" s="136">
        <v>21</v>
      </c>
      <c r="M380" s="136">
        <v>11</v>
      </c>
      <c r="N380" s="136">
        <v>12</v>
      </c>
      <c r="O380" s="136">
        <v>15</v>
      </c>
      <c r="P380" s="218">
        <f t="shared" si="23"/>
        <v>103</v>
      </c>
    </row>
    <row r="381" spans="1:16" x14ac:dyDescent="0.35">
      <c r="A381" s="327"/>
      <c r="B381" s="330"/>
      <c r="C381" s="101" t="s">
        <v>1623</v>
      </c>
      <c r="D381" s="101" t="s">
        <v>2639</v>
      </c>
      <c r="E381" s="101"/>
      <c r="F381" s="101"/>
      <c r="G381" s="148" t="s">
        <v>2944</v>
      </c>
      <c r="H381" s="101">
        <v>5</v>
      </c>
      <c r="I381" s="101">
        <v>4</v>
      </c>
      <c r="J381" s="101">
        <v>6</v>
      </c>
      <c r="K381" s="101">
        <v>5</v>
      </c>
      <c r="L381" s="136">
        <v>6</v>
      </c>
      <c r="M381" s="136">
        <v>5</v>
      </c>
      <c r="N381" s="136">
        <v>5</v>
      </c>
      <c r="O381" s="136">
        <v>4</v>
      </c>
      <c r="P381" s="218">
        <f t="shared" si="23"/>
        <v>40</v>
      </c>
    </row>
    <row r="382" spans="1:16" x14ac:dyDescent="0.35">
      <c r="A382" s="327"/>
      <c r="B382" s="330"/>
      <c r="C382" s="149"/>
      <c r="D382" s="149"/>
      <c r="E382" s="149"/>
      <c r="F382" s="149"/>
      <c r="G382" s="158" t="s">
        <v>2</v>
      </c>
      <c r="H382" s="159">
        <f>SUM(H364:H381)</f>
        <v>146</v>
      </c>
      <c r="I382" s="159">
        <f t="shared" ref="I382:O382" si="26">SUM(I364:I381)</f>
        <v>140</v>
      </c>
      <c r="J382" s="160">
        <f t="shared" si="26"/>
        <v>291</v>
      </c>
      <c r="K382" s="160">
        <f t="shared" si="26"/>
        <v>277</v>
      </c>
      <c r="L382" s="161">
        <f t="shared" si="26"/>
        <v>205</v>
      </c>
      <c r="M382" s="161">
        <f t="shared" si="26"/>
        <v>196</v>
      </c>
      <c r="N382" s="162">
        <f t="shared" si="26"/>
        <v>148</v>
      </c>
      <c r="O382" s="162">
        <f t="shared" si="26"/>
        <v>164</v>
      </c>
      <c r="P382" s="217">
        <f t="shared" si="23"/>
        <v>1567</v>
      </c>
    </row>
    <row r="383" spans="1:16" x14ac:dyDescent="0.35">
      <c r="A383" s="326">
        <v>22</v>
      </c>
      <c r="B383" s="329" t="s">
        <v>2945</v>
      </c>
      <c r="C383" s="101" t="s">
        <v>1623</v>
      </c>
      <c r="D383" s="101" t="s">
        <v>2639</v>
      </c>
      <c r="E383" s="101"/>
      <c r="F383" s="101"/>
      <c r="G383" s="148" t="s">
        <v>2946</v>
      </c>
      <c r="H383" s="101">
        <v>2</v>
      </c>
      <c r="I383" s="101">
        <v>4</v>
      </c>
      <c r="J383" s="101">
        <v>19</v>
      </c>
      <c r="K383" s="101">
        <v>22</v>
      </c>
      <c r="L383" s="136">
        <v>22</v>
      </c>
      <c r="M383" s="136">
        <v>14</v>
      </c>
      <c r="N383" s="136">
        <v>7</v>
      </c>
      <c r="O383" s="136">
        <v>8</v>
      </c>
      <c r="P383" s="218">
        <f t="shared" si="23"/>
        <v>98</v>
      </c>
    </row>
    <row r="384" spans="1:16" x14ac:dyDescent="0.35">
      <c r="A384" s="327"/>
      <c r="B384" s="330"/>
      <c r="C384" s="101" t="s">
        <v>1623</v>
      </c>
      <c r="D384" s="101" t="s">
        <v>2639</v>
      </c>
      <c r="E384" s="101"/>
      <c r="F384" s="101"/>
      <c r="G384" s="155" t="s">
        <v>2947</v>
      </c>
      <c r="H384" s="101">
        <v>4</v>
      </c>
      <c r="I384" s="101">
        <v>2</v>
      </c>
      <c r="J384" s="101">
        <v>12</v>
      </c>
      <c r="K384" s="101">
        <v>15</v>
      </c>
      <c r="L384" s="136">
        <v>16</v>
      </c>
      <c r="M384" s="136">
        <v>19</v>
      </c>
      <c r="N384" s="136">
        <v>3</v>
      </c>
      <c r="O384" s="136">
        <v>8</v>
      </c>
      <c r="P384" s="218">
        <f t="shared" si="23"/>
        <v>79</v>
      </c>
    </row>
    <row r="385" spans="1:16" x14ac:dyDescent="0.35">
      <c r="A385" s="327"/>
      <c r="B385" s="330"/>
      <c r="C385" s="101" t="s">
        <v>1623</v>
      </c>
      <c r="D385" s="101" t="s">
        <v>2639</v>
      </c>
      <c r="E385" s="101"/>
      <c r="F385" s="101"/>
      <c r="G385" s="148" t="s">
        <v>544</v>
      </c>
      <c r="H385" s="101">
        <v>6</v>
      </c>
      <c r="I385" s="101">
        <v>4</v>
      </c>
      <c r="J385" s="101">
        <v>22</v>
      </c>
      <c r="K385" s="101">
        <v>25</v>
      </c>
      <c r="L385" s="136">
        <v>9</v>
      </c>
      <c r="M385" s="136">
        <v>10</v>
      </c>
      <c r="N385" s="136">
        <v>13</v>
      </c>
      <c r="O385" s="136">
        <v>9</v>
      </c>
      <c r="P385" s="218">
        <f t="shared" si="23"/>
        <v>98</v>
      </c>
    </row>
    <row r="386" spans="1:16" x14ac:dyDescent="0.35">
      <c r="A386" s="327"/>
      <c r="B386" s="330"/>
      <c r="C386" s="101" t="s">
        <v>1623</v>
      </c>
      <c r="D386" s="101" t="s">
        <v>2639</v>
      </c>
      <c r="E386" s="101"/>
      <c r="F386" s="101"/>
      <c r="G386" s="148" t="s">
        <v>2948</v>
      </c>
      <c r="H386" s="101">
        <v>3</v>
      </c>
      <c r="I386" s="101">
        <v>3</v>
      </c>
      <c r="J386" s="101">
        <v>14</v>
      </c>
      <c r="K386" s="101">
        <v>21</v>
      </c>
      <c r="L386" s="136">
        <v>11</v>
      </c>
      <c r="M386" s="136">
        <v>15</v>
      </c>
      <c r="N386" s="136">
        <v>13</v>
      </c>
      <c r="O386" s="136">
        <v>14</v>
      </c>
      <c r="P386" s="218">
        <f t="shared" si="23"/>
        <v>94</v>
      </c>
    </row>
    <row r="387" spans="1:16" x14ac:dyDescent="0.35">
      <c r="A387" s="327"/>
      <c r="B387" s="330"/>
      <c r="C387" s="101" t="s">
        <v>1623</v>
      </c>
      <c r="D387" s="101" t="s">
        <v>2639</v>
      </c>
      <c r="E387" s="101"/>
      <c r="F387" s="101"/>
      <c r="G387" s="155" t="s">
        <v>2949</v>
      </c>
      <c r="H387" s="101">
        <v>3</v>
      </c>
      <c r="I387" s="101">
        <v>1</v>
      </c>
      <c r="J387" s="101">
        <v>16</v>
      </c>
      <c r="K387" s="101">
        <v>15</v>
      </c>
      <c r="L387" s="136">
        <v>8</v>
      </c>
      <c r="M387" s="136">
        <v>9</v>
      </c>
      <c r="N387" s="136">
        <v>3</v>
      </c>
      <c r="O387" s="136">
        <v>2</v>
      </c>
      <c r="P387" s="218">
        <f t="shared" si="23"/>
        <v>57</v>
      </c>
    </row>
    <row r="388" spans="1:16" x14ac:dyDescent="0.35">
      <c r="A388" s="327"/>
      <c r="B388" s="330"/>
      <c r="C388" s="101" t="s">
        <v>1623</v>
      </c>
      <c r="D388" s="101" t="s">
        <v>2639</v>
      </c>
      <c r="E388" s="101"/>
      <c r="F388" s="101"/>
      <c r="G388" s="155" t="s">
        <v>2950</v>
      </c>
      <c r="H388" s="101">
        <v>4</v>
      </c>
      <c r="I388" s="101">
        <v>6</v>
      </c>
      <c r="J388" s="101">
        <v>9</v>
      </c>
      <c r="K388" s="101">
        <v>7</v>
      </c>
      <c r="L388" s="136">
        <v>22</v>
      </c>
      <c r="M388" s="136">
        <v>21</v>
      </c>
      <c r="N388" s="136">
        <v>15</v>
      </c>
      <c r="O388" s="136">
        <v>14</v>
      </c>
      <c r="P388" s="218">
        <f t="shared" si="23"/>
        <v>98</v>
      </c>
    </row>
    <row r="389" spans="1:16" x14ac:dyDescent="0.35">
      <c r="A389" s="327"/>
      <c r="B389" s="330"/>
      <c r="C389" s="101" t="s">
        <v>1623</v>
      </c>
      <c r="D389" s="101" t="s">
        <v>2639</v>
      </c>
      <c r="E389" s="101"/>
      <c r="F389" s="101"/>
      <c r="G389" s="148" t="s">
        <v>2951</v>
      </c>
      <c r="H389" s="101">
        <v>4</v>
      </c>
      <c r="I389" s="101">
        <v>3</v>
      </c>
      <c r="J389" s="101">
        <v>9</v>
      </c>
      <c r="K389" s="101">
        <v>14</v>
      </c>
      <c r="L389" s="136">
        <v>13</v>
      </c>
      <c r="M389" s="136">
        <v>15</v>
      </c>
      <c r="N389" s="136">
        <v>9</v>
      </c>
      <c r="O389" s="136">
        <v>8</v>
      </c>
      <c r="P389" s="218">
        <f t="shared" si="23"/>
        <v>75</v>
      </c>
    </row>
    <row r="390" spans="1:16" x14ac:dyDescent="0.35">
      <c r="A390" s="327"/>
      <c r="B390" s="330"/>
      <c r="C390" s="101" t="s">
        <v>1623</v>
      </c>
      <c r="D390" s="101" t="s">
        <v>2639</v>
      </c>
      <c r="E390" s="101"/>
      <c r="F390" s="101"/>
      <c r="G390" s="148" t="s">
        <v>2952</v>
      </c>
      <c r="H390" s="101">
        <v>10</v>
      </c>
      <c r="I390" s="101">
        <v>11</v>
      </c>
      <c r="J390" s="101">
        <v>8</v>
      </c>
      <c r="K390" s="101">
        <v>13</v>
      </c>
      <c r="L390" s="136">
        <v>17</v>
      </c>
      <c r="M390" s="136">
        <v>14</v>
      </c>
      <c r="N390" s="136">
        <v>13</v>
      </c>
      <c r="O390" s="136">
        <v>12</v>
      </c>
      <c r="P390" s="218">
        <f t="shared" ref="P390:P453" si="27">H390+I390+J390+K390+L390+M390+N390+O390</f>
        <v>98</v>
      </c>
    </row>
    <row r="391" spans="1:16" x14ac:dyDescent="0.35">
      <c r="A391" s="327"/>
      <c r="B391" s="330"/>
      <c r="C391" s="101" t="s">
        <v>1623</v>
      </c>
      <c r="D391" s="101" t="s">
        <v>2639</v>
      </c>
      <c r="E391" s="101"/>
      <c r="F391" s="101"/>
      <c r="G391" s="148" t="s">
        <v>2572</v>
      </c>
      <c r="H391" s="101">
        <v>9</v>
      </c>
      <c r="I391" s="101">
        <v>8</v>
      </c>
      <c r="J391" s="101">
        <v>8</v>
      </c>
      <c r="K391" s="101">
        <v>13</v>
      </c>
      <c r="L391" s="136">
        <v>10</v>
      </c>
      <c r="M391" s="136">
        <v>11</v>
      </c>
      <c r="N391" s="136">
        <v>9</v>
      </c>
      <c r="O391" s="136">
        <v>9</v>
      </c>
      <c r="P391" s="218">
        <f t="shared" si="27"/>
        <v>77</v>
      </c>
    </row>
    <row r="392" spans="1:16" x14ac:dyDescent="0.35">
      <c r="A392" s="327"/>
      <c r="B392" s="330"/>
      <c r="C392" s="101" t="s">
        <v>1623</v>
      </c>
      <c r="D392" s="101" t="s">
        <v>2639</v>
      </c>
      <c r="E392" s="101"/>
      <c r="F392" s="101"/>
      <c r="G392" s="155" t="s">
        <v>2827</v>
      </c>
      <c r="H392" s="101">
        <v>11</v>
      </c>
      <c r="I392" s="101">
        <v>7</v>
      </c>
      <c r="J392" s="101">
        <v>9</v>
      </c>
      <c r="K392" s="101">
        <v>11</v>
      </c>
      <c r="L392" s="136">
        <v>10</v>
      </c>
      <c r="M392" s="136">
        <v>9</v>
      </c>
      <c r="N392" s="136">
        <v>3</v>
      </c>
      <c r="O392" s="136">
        <v>4</v>
      </c>
      <c r="P392" s="218">
        <f t="shared" si="27"/>
        <v>64</v>
      </c>
    </row>
    <row r="393" spans="1:16" ht="18" customHeight="1" x14ac:dyDescent="0.35">
      <c r="A393" s="327"/>
      <c r="B393" s="330"/>
      <c r="C393" s="101" t="s">
        <v>1623</v>
      </c>
      <c r="D393" s="101" t="s">
        <v>2639</v>
      </c>
      <c r="E393" s="101"/>
      <c r="F393" s="101"/>
      <c r="G393" s="148" t="s">
        <v>2953</v>
      </c>
      <c r="H393" s="101">
        <v>7</v>
      </c>
      <c r="I393" s="101">
        <v>5</v>
      </c>
      <c r="J393" s="101">
        <v>20</v>
      </c>
      <c r="K393" s="101">
        <v>16</v>
      </c>
      <c r="L393" s="136">
        <v>15</v>
      </c>
      <c r="M393" s="136">
        <v>12</v>
      </c>
      <c r="N393" s="136">
        <v>10</v>
      </c>
      <c r="O393" s="136">
        <v>17</v>
      </c>
      <c r="P393" s="218">
        <f t="shared" si="27"/>
        <v>102</v>
      </c>
    </row>
    <row r="394" spans="1:16" x14ac:dyDescent="0.35">
      <c r="A394" s="327"/>
      <c r="B394" s="330"/>
      <c r="C394" s="101" t="s">
        <v>1623</v>
      </c>
      <c r="D394" s="101" t="s">
        <v>2639</v>
      </c>
      <c r="E394" s="101"/>
      <c r="F394" s="101"/>
      <c r="G394" s="148" t="s">
        <v>2954</v>
      </c>
      <c r="H394" s="101">
        <v>2</v>
      </c>
      <c r="I394" s="101">
        <v>1</v>
      </c>
      <c r="J394" s="101">
        <v>12</v>
      </c>
      <c r="K394" s="101">
        <v>11</v>
      </c>
      <c r="L394" s="136">
        <v>2</v>
      </c>
      <c r="M394" s="136">
        <v>3</v>
      </c>
      <c r="N394" s="136">
        <v>14</v>
      </c>
      <c r="O394" s="136">
        <v>15</v>
      </c>
      <c r="P394" s="218">
        <f t="shared" si="27"/>
        <v>60</v>
      </c>
    </row>
    <row r="395" spans="1:16" x14ac:dyDescent="0.35">
      <c r="A395" s="327"/>
      <c r="B395" s="330"/>
      <c r="C395" s="101" t="s">
        <v>1623</v>
      </c>
      <c r="D395" s="101" t="s">
        <v>2639</v>
      </c>
      <c r="E395" s="101"/>
      <c r="F395" s="101"/>
      <c r="G395" s="148" t="s">
        <v>2955</v>
      </c>
      <c r="H395" s="101">
        <v>2</v>
      </c>
      <c r="I395" s="101">
        <v>4</v>
      </c>
      <c r="J395" s="101">
        <v>13</v>
      </c>
      <c r="K395" s="101">
        <v>9</v>
      </c>
      <c r="L395" s="136">
        <v>4</v>
      </c>
      <c r="M395" s="136">
        <v>5</v>
      </c>
      <c r="N395" s="136">
        <v>2</v>
      </c>
      <c r="O395" s="136">
        <v>3</v>
      </c>
      <c r="P395" s="218">
        <f t="shared" si="27"/>
        <v>42</v>
      </c>
    </row>
    <row r="396" spans="1:16" x14ac:dyDescent="0.35">
      <c r="A396" s="327"/>
      <c r="B396" s="330"/>
      <c r="C396" s="101" t="s">
        <v>1623</v>
      </c>
      <c r="D396" s="101" t="s">
        <v>2639</v>
      </c>
      <c r="E396" s="101"/>
      <c r="F396" s="101"/>
      <c r="G396" s="148" t="s">
        <v>2654</v>
      </c>
      <c r="H396" s="101">
        <v>1</v>
      </c>
      <c r="I396" s="101">
        <v>3</v>
      </c>
      <c r="J396" s="101">
        <v>8</v>
      </c>
      <c r="K396" s="101">
        <v>6</v>
      </c>
      <c r="L396" s="136">
        <v>3</v>
      </c>
      <c r="M396" s="136">
        <v>4</v>
      </c>
      <c r="N396" s="136">
        <v>4</v>
      </c>
      <c r="O396" s="136">
        <v>5</v>
      </c>
      <c r="P396" s="218">
        <f t="shared" si="27"/>
        <v>34</v>
      </c>
    </row>
    <row r="397" spans="1:16" ht="17.25" customHeight="1" x14ac:dyDescent="0.35">
      <c r="A397" s="327"/>
      <c r="B397" s="330"/>
      <c r="C397" s="101" t="s">
        <v>1623</v>
      </c>
      <c r="D397" s="101" t="s">
        <v>2639</v>
      </c>
      <c r="E397" s="101"/>
      <c r="F397" s="101"/>
      <c r="G397" s="148" t="s">
        <v>2956</v>
      </c>
      <c r="H397" s="101">
        <v>2</v>
      </c>
      <c r="I397" s="101">
        <v>1</v>
      </c>
      <c r="J397" s="101">
        <v>11</v>
      </c>
      <c r="K397" s="101">
        <v>9</v>
      </c>
      <c r="L397" s="136">
        <v>1</v>
      </c>
      <c r="M397" s="136">
        <v>0</v>
      </c>
      <c r="N397" s="136">
        <v>9</v>
      </c>
      <c r="O397" s="136">
        <v>7</v>
      </c>
      <c r="P397" s="218">
        <f t="shared" si="27"/>
        <v>40</v>
      </c>
    </row>
    <row r="398" spans="1:16" x14ac:dyDescent="0.35">
      <c r="A398" s="327"/>
      <c r="B398" s="330"/>
      <c r="C398" s="101" t="s">
        <v>1623</v>
      </c>
      <c r="D398" s="101" t="s">
        <v>2639</v>
      </c>
      <c r="E398" s="101"/>
      <c r="F398" s="101"/>
      <c r="G398" s="155" t="s">
        <v>2957</v>
      </c>
      <c r="H398" s="101">
        <v>3</v>
      </c>
      <c r="I398" s="101">
        <v>2</v>
      </c>
      <c r="J398" s="101">
        <v>11</v>
      </c>
      <c r="K398" s="101">
        <v>15</v>
      </c>
      <c r="L398" s="136">
        <v>1</v>
      </c>
      <c r="M398" s="136">
        <v>2</v>
      </c>
      <c r="N398" s="136">
        <v>4</v>
      </c>
      <c r="O398" s="136">
        <v>3</v>
      </c>
      <c r="P398" s="218">
        <f t="shared" si="27"/>
        <v>41</v>
      </c>
    </row>
    <row r="399" spans="1:16" x14ac:dyDescent="0.35">
      <c r="A399" s="327"/>
      <c r="B399" s="330"/>
      <c r="C399" s="101" t="s">
        <v>1623</v>
      </c>
      <c r="D399" s="101" t="s">
        <v>2639</v>
      </c>
      <c r="E399" s="101"/>
      <c r="F399" s="101"/>
      <c r="G399" s="148" t="s">
        <v>2958</v>
      </c>
      <c r="H399" s="101">
        <v>3</v>
      </c>
      <c r="I399" s="101">
        <v>4</v>
      </c>
      <c r="J399" s="101">
        <v>30</v>
      </c>
      <c r="K399" s="101">
        <v>31</v>
      </c>
      <c r="L399" s="136">
        <v>6</v>
      </c>
      <c r="M399" s="136">
        <v>4</v>
      </c>
      <c r="N399" s="136">
        <v>12</v>
      </c>
      <c r="O399" s="136">
        <v>16</v>
      </c>
      <c r="P399" s="218">
        <f t="shared" si="27"/>
        <v>106</v>
      </c>
    </row>
    <row r="400" spans="1:16" x14ac:dyDescent="0.35">
      <c r="A400" s="327"/>
      <c r="B400" s="330"/>
      <c r="C400" s="101" t="s">
        <v>1623</v>
      </c>
      <c r="D400" s="101" t="s">
        <v>2639</v>
      </c>
      <c r="E400" s="101"/>
      <c r="F400" s="101"/>
      <c r="G400" s="155" t="s">
        <v>1953</v>
      </c>
      <c r="H400" s="101">
        <v>3</v>
      </c>
      <c r="I400" s="101">
        <v>5</v>
      </c>
      <c r="J400" s="101">
        <v>21</v>
      </c>
      <c r="K400" s="101">
        <v>22</v>
      </c>
      <c r="L400" s="136">
        <v>10</v>
      </c>
      <c r="M400" s="136">
        <v>11</v>
      </c>
      <c r="N400" s="136">
        <v>17</v>
      </c>
      <c r="O400" s="136">
        <v>11</v>
      </c>
      <c r="P400" s="218">
        <f t="shared" si="27"/>
        <v>100</v>
      </c>
    </row>
    <row r="401" spans="1:16" x14ac:dyDescent="0.35">
      <c r="A401" s="327"/>
      <c r="B401" s="330"/>
      <c r="C401" s="101" t="s">
        <v>1623</v>
      </c>
      <c r="D401" s="101" t="s">
        <v>2639</v>
      </c>
      <c r="E401" s="101"/>
      <c r="F401" s="101"/>
      <c r="G401" s="148" t="s">
        <v>2781</v>
      </c>
      <c r="H401" s="101">
        <v>5</v>
      </c>
      <c r="I401" s="101">
        <v>6</v>
      </c>
      <c r="J401" s="101">
        <v>5</v>
      </c>
      <c r="K401" s="101">
        <v>6</v>
      </c>
      <c r="L401" s="136">
        <v>8</v>
      </c>
      <c r="M401" s="136">
        <v>8</v>
      </c>
      <c r="N401" s="136">
        <v>8</v>
      </c>
      <c r="O401" s="136">
        <v>4</v>
      </c>
      <c r="P401" s="218">
        <f t="shared" si="27"/>
        <v>50</v>
      </c>
    </row>
    <row r="402" spans="1:16" x14ac:dyDescent="0.35">
      <c r="A402" s="327"/>
      <c r="B402" s="330"/>
      <c r="C402" s="101" t="s">
        <v>1623</v>
      </c>
      <c r="D402" s="101" t="s">
        <v>2639</v>
      </c>
      <c r="E402" s="101"/>
      <c r="F402" s="101"/>
      <c r="G402" s="148" t="s">
        <v>2959</v>
      </c>
      <c r="H402" s="101">
        <v>2</v>
      </c>
      <c r="I402" s="101">
        <v>4</v>
      </c>
      <c r="J402" s="101">
        <v>11</v>
      </c>
      <c r="K402" s="101">
        <v>13</v>
      </c>
      <c r="L402" s="136">
        <v>4</v>
      </c>
      <c r="M402" s="136">
        <v>6</v>
      </c>
      <c r="N402" s="136">
        <v>3</v>
      </c>
      <c r="O402" s="136">
        <v>5</v>
      </c>
      <c r="P402" s="218">
        <f t="shared" si="27"/>
        <v>48</v>
      </c>
    </row>
    <row r="403" spans="1:16" x14ac:dyDescent="0.35">
      <c r="A403" s="327"/>
      <c r="B403" s="330"/>
      <c r="C403" s="101" t="s">
        <v>1623</v>
      </c>
      <c r="D403" s="101" t="s">
        <v>2639</v>
      </c>
      <c r="E403" s="101"/>
      <c r="F403" s="101"/>
      <c r="G403" s="148" t="s">
        <v>2960</v>
      </c>
      <c r="H403" s="101">
        <v>1</v>
      </c>
      <c r="I403" s="101">
        <v>5</v>
      </c>
      <c r="J403" s="101">
        <v>15</v>
      </c>
      <c r="K403" s="101">
        <v>21</v>
      </c>
      <c r="L403" s="136">
        <v>9</v>
      </c>
      <c r="M403" s="136">
        <v>8</v>
      </c>
      <c r="N403" s="136">
        <v>12</v>
      </c>
      <c r="O403" s="136">
        <v>11</v>
      </c>
      <c r="P403" s="218">
        <f t="shared" si="27"/>
        <v>82</v>
      </c>
    </row>
    <row r="404" spans="1:16" ht="17.25" customHeight="1" x14ac:dyDescent="0.35">
      <c r="A404" s="327"/>
      <c r="B404" s="330"/>
      <c r="C404" s="101" t="s">
        <v>1623</v>
      </c>
      <c r="D404" s="101" t="s">
        <v>2639</v>
      </c>
      <c r="E404" s="101"/>
      <c r="F404" s="101"/>
      <c r="G404" s="148" t="s">
        <v>2961</v>
      </c>
      <c r="H404" s="101">
        <v>2</v>
      </c>
      <c r="I404" s="101">
        <v>0</v>
      </c>
      <c r="J404" s="101">
        <v>11</v>
      </c>
      <c r="K404" s="101">
        <v>10</v>
      </c>
      <c r="L404" s="136">
        <v>7</v>
      </c>
      <c r="M404" s="136">
        <v>5</v>
      </c>
      <c r="N404" s="136">
        <v>10</v>
      </c>
      <c r="O404" s="136">
        <v>8</v>
      </c>
      <c r="P404" s="218">
        <f t="shared" si="27"/>
        <v>53</v>
      </c>
    </row>
    <row r="405" spans="1:16" x14ac:dyDescent="0.35">
      <c r="A405" s="327"/>
      <c r="B405" s="330"/>
      <c r="C405" s="101" t="s">
        <v>1623</v>
      </c>
      <c r="D405" s="101" t="s">
        <v>2639</v>
      </c>
      <c r="E405" s="101"/>
      <c r="F405" s="101"/>
      <c r="G405" s="155" t="s">
        <v>2962</v>
      </c>
      <c r="H405" s="101">
        <v>1</v>
      </c>
      <c r="I405" s="101">
        <v>3</v>
      </c>
      <c r="J405" s="101">
        <v>17</v>
      </c>
      <c r="K405" s="101">
        <v>15</v>
      </c>
      <c r="L405" s="136">
        <v>7</v>
      </c>
      <c r="M405" s="136">
        <v>4</v>
      </c>
      <c r="N405" s="136">
        <v>18</v>
      </c>
      <c r="O405" s="136">
        <v>12</v>
      </c>
      <c r="P405" s="218">
        <f t="shared" si="27"/>
        <v>77</v>
      </c>
    </row>
    <row r="406" spans="1:16" x14ac:dyDescent="0.35">
      <c r="A406" s="327"/>
      <c r="B406" s="330"/>
      <c r="C406" s="101" t="s">
        <v>1623</v>
      </c>
      <c r="D406" s="101" t="s">
        <v>2639</v>
      </c>
      <c r="E406" s="101"/>
      <c r="F406" s="101"/>
      <c r="G406" s="148" t="s">
        <v>2963</v>
      </c>
      <c r="H406" s="101">
        <v>0</v>
      </c>
      <c r="I406" s="101">
        <v>4</v>
      </c>
      <c r="J406" s="101">
        <v>12</v>
      </c>
      <c r="K406" s="101">
        <v>11</v>
      </c>
      <c r="L406" s="136">
        <v>4</v>
      </c>
      <c r="M406" s="136">
        <v>6</v>
      </c>
      <c r="N406" s="136">
        <v>8</v>
      </c>
      <c r="O406" s="136">
        <v>7</v>
      </c>
      <c r="P406" s="218">
        <f t="shared" si="27"/>
        <v>52</v>
      </c>
    </row>
    <row r="407" spans="1:16" x14ac:dyDescent="0.35">
      <c r="A407" s="327"/>
      <c r="B407" s="330"/>
      <c r="C407" s="101" t="s">
        <v>1623</v>
      </c>
      <c r="D407" s="101" t="s">
        <v>2639</v>
      </c>
      <c r="E407" s="101"/>
      <c r="F407" s="101"/>
      <c r="G407" s="155" t="s">
        <v>2964</v>
      </c>
      <c r="H407" s="101">
        <v>6</v>
      </c>
      <c r="I407" s="101">
        <v>7</v>
      </c>
      <c r="J407" s="101">
        <v>7</v>
      </c>
      <c r="K407" s="101">
        <v>5</v>
      </c>
      <c r="L407" s="136">
        <v>3</v>
      </c>
      <c r="M407" s="136">
        <v>5</v>
      </c>
      <c r="N407" s="136">
        <v>18</v>
      </c>
      <c r="O407" s="136">
        <v>18</v>
      </c>
      <c r="P407" s="218">
        <f t="shared" si="27"/>
        <v>69</v>
      </c>
    </row>
    <row r="408" spans="1:16" x14ac:dyDescent="0.35">
      <c r="A408" s="327"/>
      <c r="B408" s="330"/>
      <c r="C408" s="101" t="s">
        <v>1623</v>
      </c>
      <c r="D408" s="101" t="s">
        <v>2639</v>
      </c>
      <c r="E408" s="101"/>
      <c r="F408" s="101"/>
      <c r="G408" s="148" t="s">
        <v>2965</v>
      </c>
      <c r="H408" s="101">
        <v>0</v>
      </c>
      <c r="I408" s="101">
        <v>2</v>
      </c>
      <c r="J408" s="101">
        <v>14</v>
      </c>
      <c r="K408" s="101">
        <v>14</v>
      </c>
      <c r="L408" s="136">
        <v>3</v>
      </c>
      <c r="M408" s="136">
        <v>2</v>
      </c>
      <c r="N408" s="136">
        <v>3</v>
      </c>
      <c r="O408" s="136">
        <v>8</v>
      </c>
      <c r="P408" s="218">
        <f t="shared" si="27"/>
        <v>46</v>
      </c>
    </row>
    <row r="409" spans="1:16" x14ac:dyDescent="0.35">
      <c r="A409" s="327"/>
      <c r="B409" s="330"/>
      <c r="C409" s="101" t="s">
        <v>1623</v>
      </c>
      <c r="D409" s="101" t="s">
        <v>2639</v>
      </c>
      <c r="E409" s="101"/>
      <c r="F409" s="101"/>
      <c r="G409" s="155" t="s">
        <v>2966</v>
      </c>
      <c r="H409" s="101">
        <v>1</v>
      </c>
      <c r="I409" s="101">
        <v>3</v>
      </c>
      <c r="J409" s="101">
        <v>24</v>
      </c>
      <c r="K409" s="101">
        <v>21</v>
      </c>
      <c r="L409" s="136">
        <v>15</v>
      </c>
      <c r="M409" s="136">
        <v>14</v>
      </c>
      <c r="N409" s="136">
        <v>16</v>
      </c>
      <c r="O409" s="136">
        <v>14</v>
      </c>
      <c r="P409" s="218">
        <f t="shared" si="27"/>
        <v>108</v>
      </c>
    </row>
    <row r="410" spans="1:16" x14ac:dyDescent="0.35">
      <c r="A410" s="327"/>
      <c r="B410" s="330"/>
      <c r="C410" s="101" t="s">
        <v>1623</v>
      </c>
      <c r="D410" s="101" t="s">
        <v>2639</v>
      </c>
      <c r="E410" s="101"/>
      <c r="F410" s="101"/>
      <c r="G410" s="155" t="s">
        <v>2967</v>
      </c>
      <c r="H410" s="101">
        <v>4</v>
      </c>
      <c r="I410" s="101">
        <v>5</v>
      </c>
      <c r="J410" s="101">
        <v>15</v>
      </c>
      <c r="K410" s="101">
        <v>16</v>
      </c>
      <c r="L410" s="136">
        <v>15</v>
      </c>
      <c r="M410" s="136">
        <v>16</v>
      </c>
      <c r="N410" s="136">
        <v>4</v>
      </c>
      <c r="O410" s="136">
        <v>5</v>
      </c>
      <c r="P410" s="218">
        <f t="shared" si="27"/>
        <v>80</v>
      </c>
    </row>
    <row r="411" spans="1:16" x14ac:dyDescent="0.35">
      <c r="A411" s="327"/>
      <c r="B411" s="330"/>
      <c r="C411" s="101" t="s">
        <v>1623</v>
      </c>
      <c r="D411" s="101" t="s">
        <v>2639</v>
      </c>
      <c r="E411" s="101"/>
      <c r="F411" s="101"/>
      <c r="G411" s="155" t="s">
        <v>2968</v>
      </c>
      <c r="H411" s="101">
        <v>4</v>
      </c>
      <c r="I411" s="101">
        <v>3</v>
      </c>
      <c r="J411" s="101">
        <v>19</v>
      </c>
      <c r="K411" s="101">
        <v>16</v>
      </c>
      <c r="L411" s="136">
        <v>6</v>
      </c>
      <c r="M411" s="136">
        <v>7</v>
      </c>
      <c r="N411" s="136">
        <v>19</v>
      </c>
      <c r="O411" s="136">
        <v>17</v>
      </c>
      <c r="P411" s="218">
        <f t="shared" si="27"/>
        <v>91</v>
      </c>
    </row>
    <row r="412" spans="1:16" x14ac:dyDescent="0.35">
      <c r="A412" s="327"/>
      <c r="B412" s="330"/>
      <c r="C412" s="101" t="s">
        <v>1623</v>
      </c>
      <c r="D412" s="101" t="s">
        <v>2639</v>
      </c>
      <c r="E412" s="101"/>
      <c r="F412" s="101"/>
      <c r="G412" s="148" t="s">
        <v>2969</v>
      </c>
      <c r="H412" s="101">
        <v>3</v>
      </c>
      <c r="I412" s="101">
        <v>5</v>
      </c>
      <c r="J412" s="101">
        <v>13</v>
      </c>
      <c r="K412" s="101">
        <v>14</v>
      </c>
      <c r="L412" s="136">
        <v>8</v>
      </c>
      <c r="M412" s="136">
        <v>4</v>
      </c>
      <c r="N412" s="136">
        <v>17</v>
      </c>
      <c r="O412" s="136">
        <v>13</v>
      </c>
      <c r="P412" s="218">
        <f t="shared" si="27"/>
        <v>77</v>
      </c>
    </row>
    <row r="413" spans="1:16" x14ac:dyDescent="0.35">
      <c r="A413" s="328"/>
      <c r="B413" s="331"/>
      <c r="C413" s="149"/>
      <c r="D413" s="149"/>
      <c r="E413" s="149"/>
      <c r="F413" s="149"/>
      <c r="G413" s="158" t="s">
        <v>2</v>
      </c>
      <c r="H413" s="159">
        <f>SUM(H383:H412)</f>
        <v>108</v>
      </c>
      <c r="I413" s="159">
        <f t="shared" ref="I413:O413" si="28">SUM(I383:I412)</f>
        <v>121</v>
      </c>
      <c r="J413" s="160">
        <f t="shared" si="28"/>
        <v>415</v>
      </c>
      <c r="K413" s="160">
        <f t="shared" si="28"/>
        <v>437</v>
      </c>
      <c r="L413" s="161">
        <f t="shared" si="28"/>
        <v>269</v>
      </c>
      <c r="M413" s="161">
        <f t="shared" si="28"/>
        <v>263</v>
      </c>
      <c r="N413" s="162">
        <f t="shared" si="28"/>
        <v>296</v>
      </c>
      <c r="O413" s="162">
        <f t="shared" si="28"/>
        <v>287</v>
      </c>
      <c r="P413" s="217">
        <f t="shared" si="27"/>
        <v>2196</v>
      </c>
    </row>
    <row r="414" spans="1:16" x14ac:dyDescent="0.35">
      <c r="A414" s="360">
        <v>23</v>
      </c>
      <c r="B414" s="360" t="s">
        <v>3263</v>
      </c>
      <c r="C414" s="206" t="s">
        <v>1623</v>
      </c>
      <c r="D414" s="101" t="s">
        <v>2639</v>
      </c>
      <c r="E414" s="207" t="s">
        <v>3264</v>
      </c>
      <c r="F414" s="207" t="s">
        <v>3265</v>
      </c>
      <c r="G414" s="207" t="s">
        <v>2660</v>
      </c>
      <c r="H414" s="209">
        <v>15</v>
      </c>
      <c r="I414" s="101">
        <v>14</v>
      </c>
      <c r="J414" s="101">
        <v>38</v>
      </c>
      <c r="K414" s="101">
        <v>33</v>
      </c>
      <c r="L414" s="136">
        <v>34</v>
      </c>
      <c r="M414" s="136">
        <v>41</v>
      </c>
      <c r="N414" s="136">
        <v>26</v>
      </c>
      <c r="O414" s="136">
        <v>29</v>
      </c>
      <c r="P414" s="218">
        <f t="shared" si="27"/>
        <v>230</v>
      </c>
    </row>
    <row r="415" spans="1:16" x14ac:dyDescent="0.35">
      <c r="A415" s="360"/>
      <c r="B415" s="360"/>
      <c r="C415" s="206" t="s">
        <v>1623</v>
      </c>
      <c r="D415" s="101" t="s">
        <v>2639</v>
      </c>
      <c r="E415" s="207" t="s">
        <v>3264</v>
      </c>
      <c r="F415" s="207" t="s">
        <v>3265</v>
      </c>
      <c r="G415" s="207" t="s">
        <v>2668</v>
      </c>
      <c r="H415" s="101">
        <v>13</v>
      </c>
      <c r="I415" s="101">
        <v>13</v>
      </c>
      <c r="J415" s="101">
        <v>29</v>
      </c>
      <c r="K415" s="101">
        <v>49</v>
      </c>
      <c r="L415" s="136">
        <v>32</v>
      </c>
      <c r="M415" s="136">
        <v>40</v>
      </c>
      <c r="N415" s="136">
        <v>29</v>
      </c>
      <c r="O415" s="136">
        <v>36</v>
      </c>
      <c r="P415" s="218">
        <f t="shared" si="27"/>
        <v>241</v>
      </c>
    </row>
    <row r="416" spans="1:16" x14ac:dyDescent="0.35">
      <c r="A416" s="360"/>
      <c r="B416" s="360"/>
      <c r="C416" s="206" t="s">
        <v>1623</v>
      </c>
      <c r="D416" s="101" t="s">
        <v>2639</v>
      </c>
      <c r="E416" s="207" t="s">
        <v>3264</v>
      </c>
      <c r="F416" s="207" t="s">
        <v>3265</v>
      </c>
      <c r="G416" s="207" t="s">
        <v>2657</v>
      </c>
      <c r="H416" s="101">
        <v>9</v>
      </c>
      <c r="I416" s="101">
        <v>12</v>
      </c>
      <c r="J416" s="101">
        <v>31</v>
      </c>
      <c r="K416" s="101">
        <v>39</v>
      </c>
      <c r="L416" s="136">
        <v>28</v>
      </c>
      <c r="M416" s="136">
        <v>42</v>
      </c>
      <c r="N416" s="136">
        <v>28</v>
      </c>
      <c r="O416" s="136">
        <v>27</v>
      </c>
      <c r="P416" s="218">
        <f t="shared" si="27"/>
        <v>216</v>
      </c>
    </row>
    <row r="417" spans="1:16" x14ac:dyDescent="0.35">
      <c r="A417" s="360"/>
      <c r="B417" s="360"/>
      <c r="C417" s="206" t="s">
        <v>1623</v>
      </c>
      <c r="D417" s="101" t="s">
        <v>2639</v>
      </c>
      <c r="E417" s="207" t="s">
        <v>3264</v>
      </c>
      <c r="F417" s="207" t="s">
        <v>3265</v>
      </c>
      <c r="G417" s="207" t="s">
        <v>2664</v>
      </c>
      <c r="H417" s="101">
        <v>12</v>
      </c>
      <c r="I417" s="101">
        <v>19</v>
      </c>
      <c r="J417" s="101">
        <v>38</v>
      </c>
      <c r="K417" s="101">
        <v>30</v>
      </c>
      <c r="L417" s="136">
        <v>46</v>
      </c>
      <c r="M417" s="136">
        <v>34</v>
      </c>
      <c r="N417" s="136">
        <v>27</v>
      </c>
      <c r="O417" s="136">
        <v>34</v>
      </c>
      <c r="P417" s="218">
        <f t="shared" si="27"/>
        <v>240</v>
      </c>
    </row>
    <row r="418" spans="1:16" x14ac:dyDescent="0.35">
      <c r="A418" s="360"/>
      <c r="B418" s="360"/>
      <c r="C418" s="206" t="s">
        <v>1623</v>
      </c>
      <c r="D418" s="101" t="s">
        <v>2639</v>
      </c>
      <c r="E418" s="207" t="s">
        <v>3264</v>
      </c>
      <c r="F418" s="207" t="s">
        <v>3265</v>
      </c>
      <c r="G418" s="207" t="s">
        <v>2658</v>
      </c>
      <c r="H418" s="101">
        <v>10</v>
      </c>
      <c r="I418" s="101">
        <v>18</v>
      </c>
      <c r="J418" s="101">
        <v>34</v>
      </c>
      <c r="K418" s="101">
        <v>48</v>
      </c>
      <c r="L418" s="136">
        <v>36</v>
      </c>
      <c r="M418" s="136">
        <v>36</v>
      </c>
      <c r="N418" s="136">
        <v>19</v>
      </c>
      <c r="O418" s="136">
        <v>28</v>
      </c>
      <c r="P418" s="218">
        <f t="shared" si="27"/>
        <v>229</v>
      </c>
    </row>
    <row r="419" spans="1:16" x14ac:dyDescent="0.35">
      <c r="A419" s="360"/>
      <c r="B419" s="360"/>
      <c r="C419" s="206" t="s">
        <v>1623</v>
      </c>
      <c r="D419" s="101" t="s">
        <v>2639</v>
      </c>
      <c r="E419" s="207" t="s">
        <v>3264</v>
      </c>
      <c r="F419" s="207" t="s">
        <v>3265</v>
      </c>
      <c r="G419" s="207" t="s">
        <v>1962</v>
      </c>
      <c r="H419" s="101">
        <v>16</v>
      </c>
      <c r="I419" s="101">
        <v>14</v>
      </c>
      <c r="J419" s="101">
        <v>41</v>
      </c>
      <c r="K419" s="101">
        <v>34</v>
      </c>
      <c r="L419" s="136">
        <v>34</v>
      </c>
      <c r="M419" s="136">
        <v>42</v>
      </c>
      <c r="N419" s="136">
        <v>32</v>
      </c>
      <c r="O419" s="136">
        <v>30</v>
      </c>
      <c r="P419" s="218">
        <f t="shared" si="27"/>
        <v>243</v>
      </c>
    </row>
    <row r="420" spans="1:16" x14ac:dyDescent="0.35">
      <c r="A420" s="360"/>
      <c r="B420" s="360"/>
      <c r="C420" s="206" t="s">
        <v>1623</v>
      </c>
      <c r="D420" s="101" t="s">
        <v>2639</v>
      </c>
      <c r="E420" s="207" t="s">
        <v>3264</v>
      </c>
      <c r="F420" s="207" t="s">
        <v>3265</v>
      </c>
      <c r="G420" s="207" t="s">
        <v>2881</v>
      </c>
      <c r="H420" s="101">
        <v>17</v>
      </c>
      <c r="I420" s="101">
        <v>10</v>
      </c>
      <c r="J420" s="101">
        <v>32</v>
      </c>
      <c r="K420" s="101">
        <v>44</v>
      </c>
      <c r="L420" s="136">
        <v>30</v>
      </c>
      <c r="M420" s="136">
        <v>39</v>
      </c>
      <c r="N420" s="136">
        <v>39</v>
      </c>
      <c r="O420" s="136">
        <v>32</v>
      </c>
      <c r="P420" s="218">
        <f t="shared" si="27"/>
        <v>243</v>
      </c>
    </row>
    <row r="421" spans="1:16" x14ac:dyDescent="0.35">
      <c r="A421" s="360"/>
      <c r="B421" s="360"/>
      <c r="C421" s="149"/>
      <c r="D421" s="149"/>
      <c r="E421" s="149"/>
      <c r="F421" s="149"/>
      <c r="G421" s="158" t="s">
        <v>2</v>
      </c>
      <c r="H421" s="210">
        <f>SUM(H414:H420)</f>
        <v>92</v>
      </c>
      <c r="I421" s="210">
        <f t="shared" ref="I421:O421" si="29">SUM(I414:I420)</f>
        <v>100</v>
      </c>
      <c r="J421" s="211">
        <f t="shared" si="29"/>
        <v>243</v>
      </c>
      <c r="K421" s="211">
        <f t="shared" si="29"/>
        <v>277</v>
      </c>
      <c r="L421" s="212">
        <f t="shared" si="29"/>
        <v>240</v>
      </c>
      <c r="M421" s="212">
        <f t="shared" si="29"/>
        <v>274</v>
      </c>
      <c r="N421" s="213">
        <f t="shared" si="29"/>
        <v>200</v>
      </c>
      <c r="O421" s="213">
        <f t="shared" si="29"/>
        <v>216</v>
      </c>
      <c r="P421" s="217">
        <f t="shared" si="27"/>
        <v>1642</v>
      </c>
    </row>
    <row r="422" spans="1:16" x14ac:dyDescent="0.35">
      <c r="A422" s="360">
        <v>24</v>
      </c>
      <c r="B422" s="361" t="s">
        <v>3266</v>
      </c>
      <c r="C422" s="206" t="s">
        <v>1623</v>
      </c>
      <c r="D422" s="101" t="s">
        <v>2639</v>
      </c>
      <c r="E422" s="101" t="s">
        <v>3267</v>
      </c>
      <c r="F422" s="101" t="s">
        <v>3268</v>
      </c>
      <c r="G422" s="207" t="s">
        <v>3269</v>
      </c>
      <c r="H422" s="101">
        <v>17</v>
      </c>
      <c r="I422" s="101">
        <v>13</v>
      </c>
      <c r="J422" s="101">
        <v>24</v>
      </c>
      <c r="K422" s="101">
        <v>22</v>
      </c>
      <c r="L422" s="136">
        <v>14</v>
      </c>
      <c r="M422" s="136">
        <v>16</v>
      </c>
      <c r="N422" s="136">
        <v>15</v>
      </c>
      <c r="O422" s="136">
        <v>14</v>
      </c>
      <c r="P422" s="218">
        <f t="shared" si="27"/>
        <v>135</v>
      </c>
    </row>
    <row r="423" spans="1:16" x14ac:dyDescent="0.35">
      <c r="A423" s="360"/>
      <c r="B423" s="361"/>
      <c r="C423" s="206" t="s">
        <v>1623</v>
      </c>
      <c r="D423" s="101" t="s">
        <v>2639</v>
      </c>
      <c r="E423" s="101" t="s">
        <v>3267</v>
      </c>
      <c r="F423" s="101" t="s">
        <v>3268</v>
      </c>
      <c r="G423" s="207" t="s">
        <v>3270</v>
      </c>
      <c r="H423" s="101">
        <v>14</v>
      </c>
      <c r="I423" s="101">
        <v>16</v>
      </c>
      <c r="J423" s="101">
        <v>27</v>
      </c>
      <c r="K423" s="101">
        <v>25</v>
      </c>
      <c r="L423" s="136">
        <v>21</v>
      </c>
      <c r="M423" s="136">
        <v>19</v>
      </c>
      <c r="N423" s="136">
        <v>12</v>
      </c>
      <c r="O423" s="136">
        <v>12</v>
      </c>
      <c r="P423" s="218">
        <f t="shared" si="27"/>
        <v>146</v>
      </c>
    </row>
    <row r="424" spans="1:16" x14ac:dyDescent="0.35">
      <c r="A424" s="360"/>
      <c r="B424" s="361"/>
      <c r="C424" s="206" t="s">
        <v>1623</v>
      </c>
      <c r="D424" s="101" t="s">
        <v>2639</v>
      </c>
      <c r="E424" s="101" t="s">
        <v>3267</v>
      </c>
      <c r="F424" s="101" t="s">
        <v>3268</v>
      </c>
      <c r="G424" s="207" t="s">
        <v>3271</v>
      </c>
      <c r="H424" s="101">
        <v>23</v>
      </c>
      <c r="I424" s="101">
        <v>25</v>
      </c>
      <c r="J424" s="101">
        <v>33</v>
      </c>
      <c r="K424" s="101">
        <v>32</v>
      </c>
      <c r="L424" s="136">
        <v>26</v>
      </c>
      <c r="M424" s="136">
        <v>24</v>
      </c>
      <c r="N424" s="136">
        <v>18</v>
      </c>
      <c r="O424" s="136">
        <v>17</v>
      </c>
      <c r="P424" s="218">
        <f t="shared" si="27"/>
        <v>198</v>
      </c>
    </row>
    <row r="425" spans="1:16" x14ac:dyDescent="0.35">
      <c r="A425" s="360"/>
      <c r="B425" s="361"/>
      <c r="C425" s="206" t="s">
        <v>1623</v>
      </c>
      <c r="D425" s="101" t="s">
        <v>2639</v>
      </c>
      <c r="E425" s="101" t="s">
        <v>3267</v>
      </c>
      <c r="F425" s="101" t="s">
        <v>3268</v>
      </c>
      <c r="G425" s="207" t="s">
        <v>3272</v>
      </c>
      <c r="H425" s="101">
        <v>14</v>
      </c>
      <c r="I425" s="101">
        <v>16</v>
      </c>
      <c r="J425" s="101">
        <v>29</v>
      </c>
      <c r="K425" s="101">
        <v>27</v>
      </c>
      <c r="L425" s="136">
        <v>34</v>
      </c>
      <c r="M425" s="136">
        <v>35</v>
      </c>
      <c r="N425" s="136">
        <v>21</v>
      </c>
      <c r="O425" s="136">
        <v>24</v>
      </c>
      <c r="P425" s="218">
        <f t="shared" si="27"/>
        <v>200</v>
      </c>
    </row>
    <row r="426" spans="1:16" x14ac:dyDescent="0.35">
      <c r="A426" s="360"/>
      <c r="B426" s="361"/>
      <c r="C426" s="206" t="s">
        <v>1623</v>
      </c>
      <c r="D426" s="101" t="s">
        <v>2639</v>
      </c>
      <c r="E426" s="101" t="s">
        <v>3267</v>
      </c>
      <c r="F426" s="101" t="s">
        <v>3268</v>
      </c>
      <c r="G426" s="207" t="s">
        <v>3273</v>
      </c>
      <c r="H426" s="101">
        <v>19</v>
      </c>
      <c r="I426" s="101">
        <v>21</v>
      </c>
      <c r="J426" s="101">
        <v>32</v>
      </c>
      <c r="K426" s="101">
        <v>30</v>
      </c>
      <c r="L426" s="136">
        <v>29</v>
      </c>
      <c r="M426" s="136">
        <v>27</v>
      </c>
      <c r="N426" s="136">
        <v>18</v>
      </c>
      <c r="O426" s="136">
        <v>35</v>
      </c>
      <c r="P426" s="218">
        <f t="shared" si="27"/>
        <v>211</v>
      </c>
    </row>
    <row r="427" spans="1:16" x14ac:dyDescent="0.35">
      <c r="A427" s="360"/>
      <c r="B427" s="361"/>
      <c r="C427" s="149"/>
      <c r="D427" s="149"/>
      <c r="E427" s="149"/>
      <c r="F427" s="149"/>
      <c r="G427" s="208" t="s">
        <v>2</v>
      </c>
      <c r="H427" s="210">
        <f>SUM(H422:H426)</f>
        <v>87</v>
      </c>
      <c r="I427" s="210">
        <f t="shared" ref="I427:O427" si="30">SUM(I422:I426)</f>
        <v>91</v>
      </c>
      <c r="J427" s="211">
        <f t="shared" si="30"/>
        <v>145</v>
      </c>
      <c r="K427" s="211">
        <f t="shared" si="30"/>
        <v>136</v>
      </c>
      <c r="L427" s="212">
        <f t="shared" si="30"/>
        <v>124</v>
      </c>
      <c r="M427" s="212">
        <f t="shared" si="30"/>
        <v>121</v>
      </c>
      <c r="N427" s="213">
        <f t="shared" si="30"/>
        <v>84</v>
      </c>
      <c r="O427" s="213">
        <f t="shared" si="30"/>
        <v>102</v>
      </c>
      <c r="P427" s="217">
        <f t="shared" si="27"/>
        <v>890</v>
      </c>
    </row>
    <row r="428" spans="1:16" x14ac:dyDescent="0.35">
      <c r="A428" s="360">
        <v>25</v>
      </c>
      <c r="B428" s="361" t="s">
        <v>3274</v>
      </c>
      <c r="C428" s="206" t="s">
        <v>1623</v>
      </c>
      <c r="D428" s="101" t="s">
        <v>2639</v>
      </c>
      <c r="E428" s="101" t="s">
        <v>3267</v>
      </c>
      <c r="F428" s="101" t="s">
        <v>3275</v>
      </c>
      <c r="G428" s="207" t="s">
        <v>1967</v>
      </c>
      <c r="H428" s="101">
        <v>21</v>
      </c>
      <c r="I428" s="101">
        <v>31</v>
      </c>
      <c r="J428" s="101">
        <v>39</v>
      </c>
      <c r="K428" s="101">
        <v>48</v>
      </c>
      <c r="L428" s="136">
        <v>29</v>
      </c>
      <c r="M428" s="136">
        <v>42</v>
      </c>
      <c r="N428" s="136">
        <v>38</v>
      </c>
      <c r="O428" s="136">
        <v>45</v>
      </c>
      <c r="P428" s="218">
        <f t="shared" si="27"/>
        <v>293</v>
      </c>
    </row>
    <row r="429" spans="1:16" x14ac:dyDescent="0.35">
      <c r="A429" s="360"/>
      <c r="B429" s="361"/>
      <c r="C429" s="206" t="s">
        <v>1623</v>
      </c>
      <c r="D429" s="101" t="s">
        <v>2639</v>
      </c>
      <c r="E429" s="101" t="s">
        <v>3267</v>
      </c>
      <c r="F429" s="101" t="s">
        <v>3275</v>
      </c>
      <c r="G429" s="207" t="s">
        <v>2202</v>
      </c>
      <c r="H429" s="101">
        <v>24</v>
      </c>
      <c r="I429" s="101">
        <v>28</v>
      </c>
      <c r="J429" s="101">
        <v>29</v>
      </c>
      <c r="K429" s="101">
        <v>35</v>
      </c>
      <c r="L429" s="136">
        <v>32</v>
      </c>
      <c r="M429" s="136">
        <v>44</v>
      </c>
      <c r="N429" s="136">
        <v>29</v>
      </c>
      <c r="O429" s="136">
        <v>40</v>
      </c>
      <c r="P429" s="218">
        <f t="shared" si="27"/>
        <v>261</v>
      </c>
    </row>
    <row r="430" spans="1:16" x14ac:dyDescent="0.35">
      <c r="A430" s="360"/>
      <c r="B430" s="361"/>
      <c r="C430" s="206" t="s">
        <v>1623</v>
      </c>
      <c r="D430" s="101" t="s">
        <v>2639</v>
      </c>
      <c r="E430" s="101" t="s">
        <v>3267</v>
      </c>
      <c r="F430" s="101" t="s">
        <v>3275</v>
      </c>
      <c r="G430" s="207" t="s">
        <v>413</v>
      </c>
      <c r="H430" s="101">
        <v>17</v>
      </c>
      <c r="I430" s="101">
        <v>29</v>
      </c>
      <c r="J430" s="101">
        <v>29</v>
      </c>
      <c r="K430" s="101">
        <v>39</v>
      </c>
      <c r="L430" s="136">
        <v>24</v>
      </c>
      <c r="M430" s="136">
        <v>37</v>
      </c>
      <c r="N430" s="136">
        <v>35</v>
      </c>
      <c r="O430" s="136">
        <v>39</v>
      </c>
      <c r="P430" s="218">
        <f t="shared" si="27"/>
        <v>249</v>
      </c>
    </row>
    <row r="431" spans="1:16" x14ac:dyDescent="0.35">
      <c r="A431" s="360"/>
      <c r="B431" s="361"/>
      <c r="C431" s="206" t="s">
        <v>1623</v>
      </c>
      <c r="D431" s="101" t="s">
        <v>2639</v>
      </c>
      <c r="E431" s="101" t="s">
        <v>3267</v>
      </c>
      <c r="F431" s="101" t="s">
        <v>3275</v>
      </c>
      <c r="G431" s="207" t="s">
        <v>3276</v>
      </c>
      <c r="H431" s="101">
        <v>21</v>
      </c>
      <c r="I431" s="101">
        <v>33</v>
      </c>
      <c r="J431" s="101">
        <v>35</v>
      </c>
      <c r="K431" s="101">
        <v>38</v>
      </c>
      <c r="L431" s="136">
        <v>34</v>
      </c>
      <c r="M431" s="136">
        <v>39</v>
      </c>
      <c r="N431" s="136">
        <v>36</v>
      </c>
      <c r="O431" s="136">
        <v>48</v>
      </c>
      <c r="P431" s="218">
        <f t="shared" si="27"/>
        <v>284</v>
      </c>
    </row>
    <row r="432" spans="1:16" x14ac:dyDescent="0.35">
      <c r="A432" s="360"/>
      <c r="B432" s="361"/>
      <c r="C432" s="206" t="s">
        <v>1623</v>
      </c>
      <c r="D432" s="101" t="s">
        <v>2639</v>
      </c>
      <c r="E432" s="101" t="s">
        <v>3267</v>
      </c>
      <c r="F432" s="101" t="s">
        <v>3275</v>
      </c>
      <c r="G432" s="207" t="s">
        <v>3277</v>
      </c>
      <c r="H432" s="101">
        <v>22</v>
      </c>
      <c r="I432" s="101">
        <v>28</v>
      </c>
      <c r="J432" s="101">
        <v>42</v>
      </c>
      <c r="K432" s="101">
        <v>48</v>
      </c>
      <c r="L432" s="136">
        <v>39</v>
      </c>
      <c r="M432" s="136">
        <v>46</v>
      </c>
      <c r="N432" s="136">
        <v>25</v>
      </c>
      <c r="O432" s="136">
        <v>38</v>
      </c>
      <c r="P432" s="218">
        <f t="shared" si="27"/>
        <v>288</v>
      </c>
    </row>
    <row r="433" spans="1:16" x14ac:dyDescent="0.35">
      <c r="A433" s="360"/>
      <c r="B433" s="361"/>
      <c r="C433" s="149"/>
      <c r="D433" s="149"/>
      <c r="E433" s="149"/>
      <c r="F433" s="149"/>
      <c r="G433" s="208" t="s">
        <v>2</v>
      </c>
      <c r="H433" s="210">
        <f>SUM(H428:H432)</f>
        <v>105</v>
      </c>
      <c r="I433" s="210">
        <f t="shared" ref="I433:O433" si="31">SUM(I428:I432)</f>
        <v>149</v>
      </c>
      <c r="J433" s="211">
        <f t="shared" si="31"/>
        <v>174</v>
      </c>
      <c r="K433" s="211">
        <f t="shared" si="31"/>
        <v>208</v>
      </c>
      <c r="L433" s="212">
        <f t="shared" si="31"/>
        <v>158</v>
      </c>
      <c r="M433" s="212">
        <f t="shared" si="31"/>
        <v>208</v>
      </c>
      <c r="N433" s="213">
        <f t="shared" si="31"/>
        <v>163</v>
      </c>
      <c r="O433" s="213">
        <f t="shared" si="31"/>
        <v>210</v>
      </c>
      <c r="P433" s="217">
        <f t="shared" si="27"/>
        <v>1375</v>
      </c>
    </row>
    <row r="434" spans="1:16" x14ac:dyDescent="0.35">
      <c r="A434" s="360">
        <v>26</v>
      </c>
      <c r="B434" s="360" t="s">
        <v>3278</v>
      </c>
      <c r="C434" s="206" t="s">
        <v>1623</v>
      </c>
      <c r="D434" s="101" t="s">
        <v>2639</v>
      </c>
      <c r="E434" s="101" t="s">
        <v>3279</v>
      </c>
      <c r="F434" s="101" t="s">
        <v>3280</v>
      </c>
      <c r="G434" s="207" t="s">
        <v>3281</v>
      </c>
      <c r="H434" s="101">
        <v>19</v>
      </c>
      <c r="I434" s="101">
        <v>21</v>
      </c>
      <c r="J434" s="101">
        <v>39</v>
      </c>
      <c r="K434" s="101">
        <v>41</v>
      </c>
      <c r="L434" s="136">
        <v>26</v>
      </c>
      <c r="M434" s="136">
        <v>24</v>
      </c>
      <c r="N434" s="136">
        <v>34</v>
      </c>
      <c r="O434" s="136">
        <v>35</v>
      </c>
      <c r="P434" s="218">
        <f t="shared" si="27"/>
        <v>239</v>
      </c>
    </row>
    <row r="435" spans="1:16" x14ac:dyDescent="0.35">
      <c r="A435" s="360"/>
      <c r="B435" s="360"/>
      <c r="C435" s="206" t="s">
        <v>1623</v>
      </c>
      <c r="D435" s="101" t="s">
        <v>2639</v>
      </c>
      <c r="E435" s="101" t="s">
        <v>3279</v>
      </c>
      <c r="F435" s="101" t="s">
        <v>3280</v>
      </c>
      <c r="G435" s="207" t="s">
        <v>3282</v>
      </c>
      <c r="H435" s="101">
        <v>17</v>
      </c>
      <c r="I435" s="101">
        <v>13</v>
      </c>
      <c r="J435" s="101">
        <v>24</v>
      </c>
      <c r="K435" s="101">
        <v>26</v>
      </c>
      <c r="L435" s="136">
        <v>17</v>
      </c>
      <c r="M435" s="136">
        <v>13</v>
      </c>
      <c r="N435" s="136">
        <v>34</v>
      </c>
      <c r="O435" s="136">
        <v>31</v>
      </c>
      <c r="P435" s="218">
        <f t="shared" si="27"/>
        <v>175</v>
      </c>
    </row>
    <row r="436" spans="1:16" x14ac:dyDescent="0.35">
      <c r="A436" s="360"/>
      <c r="B436" s="360"/>
      <c r="C436" s="206" t="s">
        <v>1623</v>
      </c>
      <c r="D436" s="101" t="s">
        <v>2639</v>
      </c>
      <c r="E436" s="101" t="s">
        <v>3279</v>
      </c>
      <c r="F436" s="101" t="s">
        <v>3280</v>
      </c>
      <c r="G436" s="207" t="s">
        <v>3283</v>
      </c>
      <c r="H436" s="101">
        <v>15</v>
      </c>
      <c r="I436" s="101">
        <v>13</v>
      </c>
      <c r="J436" s="101">
        <v>41</v>
      </c>
      <c r="K436" s="101">
        <v>39</v>
      </c>
      <c r="L436" s="136">
        <v>28</v>
      </c>
      <c r="M436" s="136">
        <v>32</v>
      </c>
      <c r="N436" s="136">
        <v>34</v>
      </c>
      <c r="O436" s="136">
        <v>26</v>
      </c>
      <c r="P436" s="218">
        <f t="shared" si="27"/>
        <v>228</v>
      </c>
    </row>
    <row r="437" spans="1:16" x14ac:dyDescent="0.35">
      <c r="A437" s="360"/>
      <c r="B437" s="360"/>
      <c r="C437" s="206" t="s">
        <v>1623</v>
      </c>
      <c r="D437" s="101" t="s">
        <v>2639</v>
      </c>
      <c r="E437" s="101" t="s">
        <v>3279</v>
      </c>
      <c r="F437" s="101" t="s">
        <v>3280</v>
      </c>
      <c r="G437" s="207" t="s">
        <v>3284</v>
      </c>
      <c r="H437" s="101">
        <v>16</v>
      </c>
      <c r="I437" s="101">
        <v>14</v>
      </c>
      <c r="J437" s="101">
        <v>32</v>
      </c>
      <c r="K437" s="101">
        <v>28</v>
      </c>
      <c r="L437" s="136">
        <v>18</v>
      </c>
      <c r="M437" s="136">
        <v>22</v>
      </c>
      <c r="N437" s="136">
        <v>25</v>
      </c>
      <c r="O437" s="136">
        <v>25</v>
      </c>
      <c r="P437" s="218">
        <f t="shared" si="27"/>
        <v>180</v>
      </c>
    </row>
    <row r="438" spans="1:16" x14ac:dyDescent="0.35">
      <c r="A438" s="360"/>
      <c r="B438" s="360"/>
      <c r="C438" s="149"/>
      <c r="D438" s="149"/>
      <c r="E438" s="149"/>
      <c r="F438" s="149"/>
      <c r="G438" s="208" t="s">
        <v>2</v>
      </c>
      <c r="H438" s="210">
        <f>SUM(H434:H437)</f>
        <v>67</v>
      </c>
      <c r="I438" s="210">
        <f t="shared" ref="I438:O438" si="32">SUM(I434:I437)</f>
        <v>61</v>
      </c>
      <c r="J438" s="211">
        <f t="shared" si="32"/>
        <v>136</v>
      </c>
      <c r="K438" s="211">
        <f t="shared" si="32"/>
        <v>134</v>
      </c>
      <c r="L438" s="212">
        <f t="shared" si="32"/>
        <v>89</v>
      </c>
      <c r="M438" s="212">
        <f t="shared" si="32"/>
        <v>91</v>
      </c>
      <c r="N438" s="213">
        <f>SUM(N434:N437)</f>
        <v>127</v>
      </c>
      <c r="O438" s="213">
        <f t="shared" si="32"/>
        <v>117</v>
      </c>
      <c r="P438" s="217">
        <f t="shared" si="27"/>
        <v>822</v>
      </c>
    </row>
    <row r="439" spans="1:16" x14ac:dyDescent="0.35">
      <c r="A439" s="360">
        <v>27</v>
      </c>
      <c r="B439" s="360" t="s">
        <v>3285</v>
      </c>
      <c r="C439" s="206" t="s">
        <v>1623</v>
      </c>
      <c r="D439" s="101" t="s">
        <v>2639</v>
      </c>
      <c r="E439" s="101" t="s">
        <v>468</v>
      </c>
      <c r="F439" s="101" t="s">
        <v>3286</v>
      </c>
      <c r="G439" s="207" t="s">
        <v>3287</v>
      </c>
      <c r="H439" s="101">
        <v>36</v>
      </c>
      <c r="I439" s="101">
        <v>34</v>
      </c>
      <c r="J439" s="101">
        <v>43</v>
      </c>
      <c r="K439" s="101">
        <v>57</v>
      </c>
      <c r="L439" s="136">
        <v>29</v>
      </c>
      <c r="M439" s="136">
        <v>31</v>
      </c>
      <c r="N439" s="136">
        <v>27</v>
      </c>
      <c r="O439" s="136">
        <v>23</v>
      </c>
      <c r="P439" s="218">
        <f t="shared" si="27"/>
        <v>280</v>
      </c>
    </row>
    <row r="440" spans="1:16" x14ac:dyDescent="0.35">
      <c r="A440" s="360"/>
      <c r="B440" s="360"/>
      <c r="C440" s="206" t="s">
        <v>1623</v>
      </c>
      <c r="D440" s="101" t="s">
        <v>2639</v>
      </c>
      <c r="E440" s="101" t="s">
        <v>468</v>
      </c>
      <c r="F440" s="101" t="s">
        <v>3286</v>
      </c>
      <c r="G440" s="207" t="s">
        <v>3286</v>
      </c>
      <c r="H440" s="101">
        <v>16</v>
      </c>
      <c r="I440" s="101">
        <v>14</v>
      </c>
      <c r="J440" s="101">
        <v>33</v>
      </c>
      <c r="K440" s="101">
        <v>32</v>
      </c>
      <c r="L440" s="136">
        <v>12</v>
      </c>
      <c r="M440" s="136">
        <v>13</v>
      </c>
      <c r="N440" s="136">
        <v>27</v>
      </c>
      <c r="O440" s="136">
        <v>13</v>
      </c>
      <c r="P440" s="218">
        <f t="shared" si="27"/>
        <v>160</v>
      </c>
    </row>
    <row r="441" spans="1:16" x14ac:dyDescent="0.35">
      <c r="A441" s="360"/>
      <c r="B441" s="360"/>
      <c r="C441" s="206" t="s">
        <v>1623</v>
      </c>
      <c r="D441" s="101" t="s">
        <v>2639</v>
      </c>
      <c r="E441" s="101" t="s">
        <v>468</v>
      </c>
      <c r="F441" s="101" t="s">
        <v>3286</v>
      </c>
      <c r="G441" s="207" t="s">
        <v>1757</v>
      </c>
      <c r="H441" s="101">
        <v>14</v>
      </c>
      <c r="I441" s="101">
        <v>16</v>
      </c>
      <c r="J441" s="101">
        <v>19</v>
      </c>
      <c r="K441" s="101">
        <v>21</v>
      </c>
      <c r="L441" s="136">
        <v>24</v>
      </c>
      <c r="M441" s="136">
        <v>26</v>
      </c>
      <c r="N441" s="136">
        <v>16</v>
      </c>
      <c r="O441" s="136">
        <v>19</v>
      </c>
      <c r="P441" s="218">
        <f t="shared" si="27"/>
        <v>155</v>
      </c>
    </row>
    <row r="442" spans="1:16" x14ac:dyDescent="0.35">
      <c r="A442" s="360"/>
      <c r="B442" s="360"/>
      <c r="C442" s="206" t="s">
        <v>1623</v>
      </c>
      <c r="D442" s="101" t="s">
        <v>2639</v>
      </c>
      <c r="E442" s="101" t="s">
        <v>468</v>
      </c>
      <c r="F442" s="101" t="s">
        <v>3286</v>
      </c>
      <c r="G442" s="207" t="s">
        <v>3288</v>
      </c>
      <c r="H442" s="101">
        <v>14</v>
      </c>
      <c r="I442" s="101">
        <v>16</v>
      </c>
      <c r="J442" s="101">
        <v>34</v>
      </c>
      <c r="K442" s="101">
        <v>36</v>
      </c>
      <c r="L442" s="136">
        <v>26</v>
      </c>
      <c r="M442" s="136">
        <v>34</v>
      </c>
      <c r="N442" s="136">
        <v>24</v>
      </c>
      <c r="O442" s="136">
        <v>21</v>
      </c>
      <c r="P442" s="218">
        <f t="shared" si="27"/>
        <v>205</v>
      </c>
    </row>
    <row r="443" spans="1:16" x14ac:dyDescent="0.35">
      <c r="A443" s="360"/>
      <c r="B443" s="360"/>
      <c r="C443" s="206" t="s">
        <v>1623</v>
      </c>
      <c r="D443" s="101" t="s">
        <v>2639</v>
      </c>
      <c r="E443" s="101" t="s">
        <v>468</v>
      </c>
      <c r="F443" s="101" t="s">
        <v>3286</v>
      </c>
      <c r="G443" s="207" t="s">
        <v>3289</v>
      </c>
      <c r="H443" s="101">
        <v>17</v>
      </c>
      <c r="I443" s="101">
        <v>18</v>
      </c>
      <c r="J443" s="101">
        <v>44</v>
      </c>
      <c r="K443" s="101">
        <v>46</v>
      </c>
      <c r="L443" s="136">
        <v>31</v>
      </c>
      <c r="M443" s="136">
        <v>19</v>
      </c>
      <c r="N443" s="136">
        <v>21</v>
      </c>
      <c r="O443" s="136">
        <v>24</v>
      </c>
      <c r="P443" s="218">
        <f t="shared" si="27"/>
        <v>220</v>
      </c>
    </row>
    <row r="444" spans="1:16" x14ac:dyDescent="0.35">
      <c r="A444" s="360"/>
      <c r="B444" s="360"/>
      <c r="C444" s="206" t="s">
        <v>1623</v>
      </c>
      <c r="D444" s="101" t="s">
        <v>2639</v>
      </c>
      <c r="E444" s="101" t="s">
        <v>468</v>
      </c>
      <c r="F444" s="101" t="s">
        <v>3286</v>
      </c>
      <c r="G444" s="207" t="s">
        <v>3290</v>
      </c>
      <c r="H444" s="101">
        <v>27</v>
      </c>
      <c r="I444" s="101">
        <v>23</v>
      </c>
      <c r="J444" s="101">
        <v>42</v>
      </c>
      <c r="K444" s="101">
        <v>48</v>
      </c>
      <c r="L444" s="136">
        <v>26</v>
      </c>
      <c r="M444" s="136">
        <v>24</v>
      </c>
      <c r="N444" s="136">
        <v>24</v>
      </c>
      <c r="O444" s="136">
        <v>26</v>
      </c>
      <c r="P444" s="218">
        <f t="shared" si="27"/>
        <v>240</v>
      </c>
    </row>
    <row r="445" spans="1:16" x14ac:dyDescent="0.35">
      <c r="A445" s="360"/>
      <c r="B445" s="360"/>
      <c r="C445" s="149"/>
      <c r="D445" s="149"/>
      <c r="E445" s="149"/>
      <c r="F445" s="149"/>
      <c r="G445" s="208" t="s">
        <v>2</v>
      </c>
      <c r="H445" s="210">
        <f>SUM(H439:H444)</f>
        <v>124</v>
      </c>
      <c r="I445" s="210">
        <f t="shared" ref="I445:O445" si="33">SUM(I439:I444)</f>
        <v>121</v>
      </c>
      <c r="J445" s="211">
        <f t="shared" si="33"/>
        <v>215</v>
      </c>
      <c r="K445" s="211">
        <f t="shared" si="33"/>
        <v>240</v>
      </c>
      <c r="L445" s="212">
        <f t="shared" si="33"/>
        <v>148</v>
      </c>
      <c r="M445" s="212">
        <f t="shared" si="33"/>
        <v>147</v>
      </c>
      <c r="N445" s="213">
        <f t="shared" si="33"/>
        <v>139</v>
      </c>
      <c r="O445" s="213">
        <f t="shared" si="33"/>
        <v>126</v>
      </c>
      <c r="P445" s="217">
        <f t="shared" si="27"/>
        <v>1260</v>
      </c>
    </row>
    <row r="446" spans="1:16" x14ac:dyDescent="0.35">
      <c r="A446" s="360">
        <v>28</v>
      </c>
      <c r="B446" s="360" t="s">
        <v>3291</v>
      </c>
      <c r="C446" s="206" t="s">
        <v>1623</v>
      </c>
      <c r="D446" s="101" t="s">
        <v>2639</v>
      </c>
      <c r="E446" s="101" t="s">
        <v>2030</v>
      </c>
      <c r="F446" s="101" t="s">
        <v>2681</v>
      </c>
      <c r="G446" s="207" t="s">
        <v>2682</v>
      </c>
      <c r="H446" s="101">
        <v>2</v>
      </c>
      <c r="I446" s="101">
        <v>9</v>
      </c>
      <c r="J446" s="101">
        <v>11</v>
      </c>
      <c r="K446" s="101">
        <v>17</v>
      </c>
      <c r="L446" s="136">
        <v>2</v>
      </c>
      <c r="M446" s="136">
        <v>3</v>
      </c>
      <c r="N446" s="136">
        <v>4</v>
      </c>
      <c r="O446" s="136">
        <v>5</v>
      </c>
      <c r="P446" s="218">
        <f t="shared" si="27"/>
        <v>53</v>
      </c>
    </row>
    <row r="447" spans="1:16" x14ac:dyDescent="0.35">
      <c r="A447" s="360"/>
      <c r="B447" s="360"/>
      <c r="C447" s="206" t="s">
        <v>1623</v>
      </c>
      <c r="D447" s="101" t="s">
        <v>2639</v>
      </c>
      <c r="E447" s="101" t="s">
        <v>2030</v>
      </c>
      <c r="F447" s="101" t="s">
        <v>2681</v>
      </c>
      <c r="G447" s="207" t="s">
        <v>2572</v>
      </c>
      <c r="H447" s="101">
        <v>20</v>
      </c>
      <c r="I447" s="101">
        <v>21</v>
      </c>
      <c r="J447" s="101">
        <v>19</v>
      </c>
      <c r="K447" s="101">
        <v>20</v>
      </c>
      <c r="L447" s="136">
        <v>16</v>
      </c>
      <c r="M447" s="136">
        <v>14</v>
      </c>
      <c r="N447" s="136">
        <v>11</v>
      </c>
      <c r="O447" s="136">
        <v>13</v>
      </c>
      <c r="P447" s="218">
        <f t="shared" si="27"/>
        <v>134</v>
      </c>
    </row>
    <row r="448" spans="1:16" x14ac:dyDescent="0.35">
      <c r="A448" s="360"/>
      <c r="B448" s="360"/>
      <c r="C448" s="206" t="s">
        <v>1623</v>
      </c>
      <c r="D448" s="101" t="s">
        <v>2639</v>
      </c>
      <c r="E448" s="101" t="s">
        <v>2030</v>
      </c>
      <c r="F448" s="101" t="s">
        <v>2681</v>
      </c>
      <c r="G448" s="207" t="s">
        <v>2684</v>
      </c>
      <c r="H448" s="101">
        <v>16</v>
      </c>
      <c r="I448" s="101">
        <v>15</v>
      </c>
      <c r="J448" s="101">
        <v>9</v>
      </c>
      <c r="K448" s="101">
        <v>7</v>
      </c>
      <c r="L448" s="136">
        <v>6</v>
      </c>
      <c r="M448" s="136">
        <v>7</v>
      </c>
      <c r="N448" s="136">
        <v>2</v>
      </c>
      <c r="O448" s="136">
        <v>5</v>
      </c>
      <c r="P448" s="218">
        <f t="shared" si="27"/>
        <v>67</v>
      </c>
    </row>
    <row r="449" spans="1:16" x14ac:dyDescent="0.35">
      <c r="A449" s="360"/>
      <c r="B449" s="360"/>
      <c r="C449" s="206" t="s">
        <v>1623</v>
      </c>
      <c r="D449" s="101" t="s">
        <v>2639</v>
      </c>
      <c r="E449" s="101" t="s">
        <v>2030</v>
      </c>
      <c r="F449" s="101" t="s">
        <v>2681</v>
      </c>
      <c r="G449" s="207" t="s">
        <v>2683</v>
      </c>
      <c r="H449" s="101">
        <v>9</v>
      </c>
      <c r="I449" s="101">
        <v>11</v>
      </c>
      <c r="J449" s="101">
        <v>13</v>
      </c>
      <c r="K449" s="101">
        <v>14</v>
      </c>
      <c r="L449" s="136">
        <v>10</v>
      </c>
      <c r="M449" s="136">
        <v>11</v>
      </c>
      <c r="N449" s="136">
        <v>9</v>
      </c>
      <c r="O449" s="136">
        <v>7</v>
      </c>
      <c r="P449" s="218">
        <f t="shared" si="27"/>
        <v>84</v>
      </c>
    </row>
    <row r="450" spans="1:16" x14ac:dyDescent="0.35">
      <c r="A450" s="360"/>
      <c r="B450" s="360"/>
      <c r="C450" s="206" t="s">
        <v>1623</v>
      </c>
      <c r="D450" s="101" t="s">
        <v>2639</v>
      </c>
      <c r="E450" s="101" t="s">
        <v>2030</v>
      </c>
      <c r="F450" s="101" t="s">
        <v>2681</v>
      </c>
      <c r="G450" s="207" t="s">
        <v>3292</v>
      </c>
      <c r="H450" s="101">
        <v>8</v>
      </c>
      <c r="I450" s="101">
        <v>7</v>
      </c>
      <c r="J450" s="101">
        <v>8</v>
      </c>
      <c r="K450" s="101">
        <v>7</v>
      </c>
      <c r="L450" s="136">
        <v>5</v>
      </c>
      <c r="M450" s="136">
        <v>3</v>
      </c>
      <c r="N450" s="136">
        <v>7</v>
      </c>
      <c r="O450" s="136">
        <v>5</v>
      </c>
      <c r="P450" s="218">
        <f t="shared" si="27"/>
        <v>50</v>
      </c>
    </row>
    <row r="451" spans="1:16" x14ac:dyDescent="0.35">
      <c r="A451" s="360"/>
      <c r="B451" s="360"/>
      <c r="C451" s="206" t="s">
        <v>1623</v>
      </c>
      <c r="D451" s="101" t="s">
        <v>2639</v>
      </c>
      <c r="E451" s="101" t="s">
        <v>2030</v>
      </c>
      <c r="F451" s="101" t="s">
        <v>2681</v>
      </c>
      <c r="G451" s="207" t="s">
        <v>3293</v>
      </c>
      <c r="H451" s="101">
        <v>16</v>
      </c>
      <c r="I451" s="101">
        <v>19</v>
      </c>
      <c r="J451" s="101">
        <v>10</v>
      </c>
      <c r="K451" s="101">
        <v>8</v>
      </c>
      <c r="L451" s="136">
        <v>11</v>
      </c>
      <c r="M451" s="136">
        <v>9</v>
      </c>
      <c r="N451" s="136">
        <v>10</v>
      </c>
      <c r="O451" s="136">
        <v>11</v>
      </c>
      <c r="P451" s="218">
        <f t="shared" si="27"/>
        <v>94</v>
      </c>
    </row>
    <row r="452" spans="1:16" x14ac:dyDescent="0.35">
      <c r="A452" s="360"/>
      <c r="B452" s="360"/>
      <c r="C452" s="206" t="s">
        <v>1623</v>
      </c>
      <c r="D452" s="101" t="s">
        <v>2639</v>
      </c>
      <c r="E452" s="101" t="s">
        <v>2030</v>
      </c>
      <c r="F452" s="101" t="s">
        <v>2681</v>
      </c>
      <c r="G452" s="207" t="s">
        <v>2702</v>
      </c>
      <c r="H452" s="101">
        <v>9</v>
      </c>
      <c r="I452" s="101">
        <v>7</v>
      </c>
      <c r="J452" s="101">
        <v>10</v>
      </c>
      <c r="K452" s="101">
        <v>13</v>
      </c>
      <c r="L452" s="136">
        <v>8</v>
      </c>
      <c r="M452" s="136">
        <v>7</v>
      </c>
      <c r="N452" s="136">
        <v>9</v>
      </c>
      <c r="O452" s="136">
        <v>7</v>
      </c>
      <c r="P452" s="218">
        <f t="shared" si="27"/>
        <v>70</v>
      </c>
    </row>
    <row r="453" spans="1:16" x14ac:dyDescent="0.35">
      <c r="A453" s="360"/>
      <c r="B453" s="360"/>
      <c r="C453" s="206" t="s">
        <v>1623</v>
      </c>
      <c r="D453" s="101" t="s">
        <v>2639</v>
      </c>
      <c r="E453" s="101" t="s">
        <v>2030</v>
      </c>
      <c r="F453" s="101" t="s">
        <v>2681</v>
      </c>
      <c r="G453" s="207" t="s">
        <v>1990</v>
      </c>
      <c r="H453" s="101">
        <v>6</v>
      </c>
      <c r="I453" s="101">
        <v>8</v>
      </c>
      <c r="J453" s="101">
        <v>10</v>
      </c>
      <c r="K453" s="101">
        <v>9</v>
      </c>
      <c r="L453" s="136">
        <v>7</v>
      </c>
      <c r="M453" s="136">
        <v>8</v>
      </c>
      <c r="N453" s="136">
        <v>4</v>
      </c>
      <c r="O453" s="136">
        <v>4</v>
      </c>
      <c r="P453" s="218">
        <f t="shared" si="27"/>
        <v>56</v>
      </c>
    </row>
    <row r="454" spans="1:16" x14ac:dyDescent="0.35">
      <c r="A454" s="360"/>
      <c r="B454" s="360"/>
      <c r="C454" s="206" t="s">
        <v>1623</v>
      </c>
      <c r="D454" s="101" t="s">
        <v>2639</v>
      </c>
      <c r="E454" s="101" t="s">
        <v>2030</v>
      </c>
      <c r="F454" s="101" t="s">
        <v>2681</v>
      </c>
      <c r="G454" s="207" t="s">
        <v>2164</v>
      </c>
      <c r="H454" s="101">
        <v>6</v>
      </c>
      <c r="I454" s="101">
        <v>4</v>
      </c>
      <c r="J454" s="101">
        <v>18</v>
      </c>
      <c r="K454" s="101">
        <v>11</v>
      </c>
      <c r="L454" s="136">
        <v>9</v>
      </c>
      <c r="M454" s="136">
        <v>13</v>
      </c>
      <c r="N454" s="136">
        <v>6</v>
      </c>
      <c r="O454" s="136">
        <v>7</v>
      </c>
      <c r="P454" s="218">
        <f t="shared" ref="P454:P463" si="34">H454+I454+J454+K454+L454+M454+N454+O454</f>
        <v>74</v>
      </c>
    </row>
    <row r="455" spans="1:16" x14ac:dyDescent="0.35">
      <c r="A455" s="360"/>
      <c r="B455" s="360"/>
      <c r="C455" s="206" t="s">
        <v>1623</v>
      </c>
      <c r="D455" s="101" t="s">
        <v>2639</v>
      </c>
      <c r="E455" s="101" t="s">
        <v>2030</v>
      </c>
      <c r="F455" s="101" t="s">
        <v>2681</v>
      </c>
      <c r="G455" s="207" t="s">
        <v>1991</v>
      </c>
      <c r="H455" s="101">
        <v>2</v>
      </c>
      <c r="I455" s="101">
        <v>6</v>
      </c>
      <c r="J455" s="101">
        <v>29</v>
      </c>
      <c r="K455" s="101">
        <v>33</v>
      </c>
      <c r="L455" s="136">
        <v>12</v>
      </c>
      <c r="M455" s="136">
        <v>11</v>
      </c>
      <c r="N455" s="136">
        <v>8</v>
      </c>
      <c r="O455" s="136">
        <v>13</v>
      </c>
      <c r="P455" s="218">
        <f t="shared" si="34"/>
        <v>114</v>
      </c>
    </row>
    <row r="456" spans="1:16" x14ac:dyDescent="0.35">
      <c r="A456" s="360"/>
      <c r="B456" s="360"/>
      <c r="C456" s="149"/>
      <c r="D456" s="149"/>
      <c r="E456" s="149"/>
      <c r="F456" s="149"/>
      <c r="G456" s="208" t="s">
        <v>2</v>
      </c>
      <c r="H456" s="210">
        <f>SUM(H446:H455)</f>
        <v>94</v>
      </c>
      <c r="I456" s="210">
        <f t="shared" ref="I456:O456" si="35">SUM(I446:I455)</f>
        <v>107</v>
      </c>
      <c r="J456" s="211">
        <f t="shared" si="35"/>
        <v>137</v>
      </c>
      <c r="K456" s="211">
        <f t="shared" si="35"/>
        <v>139</v>
      </c>
      <c r="L456" s="212">
        <f t="shared" si="35"/>
        <v>86</v>
      </c>
      <c r="M456" s="212">
        <f t="shared" si="35"/>
        <v>86</v>
      </c>
      <c r="N456" s="213">
        <f t="shared" si="35"/>
        <v>70</v>
      </c>
      <c r="O456" s="213">
        <f t="shared" si="35"/>
        <v>77</v>
      </c>
      <c r="P456" s="217">
        <f t="shared" si="34"/>
        <v>796</v>
      </c>
    </row>
    <row r="457" spans="1:16" x14ac:dyDescent="0.35">
      <c r="A457" s="360">
        <v>29</v>
      </c>
      <c r="B457" s="360" t="s">
        <v>3294</v>
      </c>
      <c r="C457" s="206" t="s">
        <v>1623</v>
      </c>
      <c r="D457" s="101" t="s">
        <v>2639</v>
      </c>
      <c r="E457" s="101" t="s">
        <v>3295</v>
      </c>
      <c r="F457" s="101" t="s">
        <v>2766</v>
      </c>
      <c r="G457" s="207" t="s">
        <v>2767</v>
      </c>
      <c r="H457" s="101">
        <v>3</v>
      </c>
      <c r="I457" s="101">
        <v>1</v>
      </c>
      <c r="J457" s="101">
        <v>2</v>
      </c>
      <c r="K457" s="101">
        <v>4</v>
      </c>
      <c r="L457" s="136">
        <v>12</v>
      </c>
      <c r="M457" s="136">
        <v>17</v>
      </c>
      <c r="N457" s="136">
        <v>13</v>
      </c>
      <c r="O457" s="136">
        <v>21</v>
      </c>
      <c r="P457" s="218">
        <f t="shared" si="34"/>
        <v>73</v>
      </c>
    </row>
    <row r="458" spans="1:16" x14ac:dyDescent="0.35">
      <c r="A458" s="360"/>
      <c r="B458" s="360"/>
      <c r="C458" s="206" t="s">
        <v>1623</v>
      </c>
      <c r="D458" s="101" t="s">
        <v>2639</v>
      </c>
      <c r="E458" s="101" t="s">
        <v>3295</v>
      </c>
      <c r="F458" s="101" t="s">
        <v>2766</v>
      </c>
      <c r="G458" s="207" t="s">
        <v>286</v>
      </c>
      <c r="H458" s="101">
        <v>4</v>
      </c>
      <c r="I458" s="101">
        <v>3</v>
      </c>
      <c r="J458" s="101">
        <v>7</v>
      </c>
      <c r="K458" s="101">
        <v>5</v>
      </c>
      <c r="L458" s="136">
        <v>14</v>
      </c>
      <c r="M458" s="136">
        <v>21</v>
      </c>
      <c r="N458" s="136">
        <v>15</v>
      </c>
      <c r="O458" s="136">
        <v>28</v>
      </c>
      <c r="P458" s="218">
        <f t="shared" si="34"/>
        <v>97</v>
      </c>
    </row>
    <row r="459" spans="1:16" x14ac:dyDescent="0.35">
      <c r="A459" s="360"/>
      <c r="B459" s="360"/>
      <c r="C459" s="206" t="s">
        <v>1623</v>
      </c>
      <c r="D459" s="101" t="s">
        <v>2639</v>
      </c>
      <c r="E459" s="101" t="s">
        <v>3295</v>
      </c>
      <c r="F459" s="101" t="s">
        <v>2766</v>
      </c>
      <c r="G459" s="207" t="s">
        <v>2766</v>
      </c>
      <c r="H459" s="101">
        <v>14</v>
      </c>
      <c r="I459" s="101">
        <v>16</v>
      </c>
      <c r="J459" s="101">
        <v>16</v>
      </c>
      <c r="K459" s="101">
        <v>14</v>
      </c>
      <c r="L459" s="136">
        <v>21</v>
      </c>
      <c r="M459" s="136">
        <v>29</v>
      </c>
      <c r="N459" s="136">
        <v>22</v>
      </c>
      <c r="O459" s="136">
        <v>29</v>
      </c>
      <c r="P459" s="218">
        <f t="shared" si="34"/>
        <v>161</v>
      </c>
    </row>
    <row r="460" spans="1:16" x14ac:dyDescent="0.35">
      <c r="A460" s="360"/>
      <c r="B460" s="360"/>
      <c r="C460" s="206" t="s">
        <v>1623</v>
      </c>
      <c r="D460" s="101" t="s">
        <v>2639</v>
      </c>
      <c r="E460" s="101" t="s">
        <v>3295</v>
      </c>
      <c r="F460" s="101" t="s">
        <v>2766</v>
      </c>
      <c r="G460" s="207" t="s">
        <v>2764</v>
      </c>
      <c r="H460" s="101">
        <v>2</v>
      </c>
      <c r="I460" s="101">
        <v>4</v>
      </c>
      <c r="J460" s="101">
        <v>8</v>
      </c>
      <c r="K460" s="101">
        <v>7</v>
      </c>
      <c r="L460" s="136">
        <v>16</v>
      </c>
      <c r="M460" s="136">
        <v>24</v>
      </c>
      <c r="N460" s="136">
        <v>14</v>
      </c>
      <c r="O460" s="136">
        <v>26</v>
      </c>
      <c r="P460" s="218">
        <f t="shared" si="34"/>
        <v>101</v>
      </c>
    </row>
    <row r="461" spans="1:16" x14ac:dyDescent="0.35">
      <c r="A461" s="360"/>
      <c r="B461" s="360"/>
      <c r="C461" s="206" t="s">
        <v>1623</v>
      </c>
      <c r="D461" s="101" t="s">
        <v>2639</v>
      </c>
      <c r="E461" s="101" t="s">
        <v>3295</v>
      </c>
      <c r="F461" s="101" t="s">
        <v>2766</v>
      </c>
      <c r="G461" s="207" t="s">
        <v>2763</v>
      </c>
      <c r="H461" s="101">
        <v>2</v>
      </c>
      <c r="I461" s="101">
        <v>2</v>
      </c>
      <c r="J461" s="101">
        <v>5</v>
      </c>
      <c r="K461" s="101">
        <v>6</v>
      </c>
      <c r="L461" s="136">
        <v>11</v>
      </c>
      <c r="M461" s="136">
        <v>22</v>
      </c>
      <c r="N461" s="136">
        <v>25</v>
      </c>
      <c r="O461" s="136">
        <v>19</v>
      </c>
      <c r="P461" s="218">
        <f t="shared" si="34"/>
        <v>92</v>
      </c>
    </row>
    <row r="462" spans="1:16" x14ac:dyDescent="0.35">
      <c r="A462" s="360"/>
      <c r="B462" s="360"/>
      <c r="C462" s="149"/>
      <c r="D462" s="149"/>
      <c r="E462" s="149"/>
      <c r="F462" s="149"/>
      <c r="G462" s="208" t="s">
        <v>2</v>
      </c>
      <c r="H462" s="210">
        <f>SUM(H457:H461)</f>
        <v>25</v>
      </c>
      <c r="I462" s="210">
        <f t="shared" ref="I462:O462" si="36">SUM(I457:I461)</f>
        <v>26</v>
      </c>
      <c r="J462" s="211">
        <f t="shared" si="36"/>
        <v>38</v>
      </c>
      <c r="K462" s="211">
        <f t="shared" si="36"/>
        <v>36</v>
      </c>
      <c r="L462" s="212">
        <f t="shared" si="36"/>
        <v>74</v>
      </c>
      <c r="M462" s="212">
        <f t="shared" si="36"/>
        <v>113</v>
      </c>
      <c r="N462" s="213">
        <f t="shared" si="36"/>
        <v>89</v>
      </c>
      <c r="O462" s="213">
        <f t="shared" si="36"/>
        <v>123</v>
      </c>
      <c r="P462" s="217">
        <f t="shared" si="34"/>
        <v>524</v>
      </c>
    </row>
    <row r="463" spans="1:16" x14ac:dyDescent="0.35">
      <c r="G463" s="214" t="s">
        <v>2637</v>
      </c>
      <c r="H463" s="215">
        <f>SUM(H14+H43+H59+H73+H92+H116+H129+H148+H165+H183+H198+H213+H227+H238+H250+H269+H302+H322+H357+H363+H382+H413+H421+H427+H433+H438+H445+H456+H462)</f>
        <v>2784</v>
      </c>
      <c r="I463" s="215">
        <f t="shared" ref="I463:O463" si="37">SUM(I14+I43+I59+I73+I92+I116+I129+I148+I165+I183+I198+I213+I227+I238+I250+I269+I302+I322+I357+I363+I382+I413+I421+I427+I433+I438+I445+I456+I462)</f>
        <v>2881</v>
      </c>
      <c r="J463" s="215">
        <f t="shared" si="37"/>
        <v>6931</v>
      </c>
      <c r="K463" s="215">
        <f t="shared" si="37"/>
        <v>7077</v>
      </c>
      <c r="L463" s="215">
        <f t="shared" si="37"/>
        <v>4450</v>
      </c>
      <c r="M463" s="215">
        <f t="shared" si="37"/>
        <v>4523</v>
      </c>
      <c r="N463" s="215">
        <f t="shared" si="37"/>
        <v>4698</v>
      </c>
      <c r="O463" s="215">
        <f t="shared" si="37"/>
        <v>4851</v>
      </c>
      <c r="P463" s="217">
        <f t="shared" si="34"/>
        <v>38195</v>
      </c>
    </row>
  </sheetData>
  <mergeCells count="67">
    <mergeCell ref="A457:A462"/>
    <mergeCell ref="B457:B462"/>
    <mergeCell ref="A434:A438"/>
    <mergeCell ref="B434:B438"/>
    <mergeCell ref="A439:A445"/>
    <mergeCell ref="B439:B445"/>
    <mergeCell ref="A446:A456"/>
    <mergeCell ref="B446:B456"/>
    <mergeCell ref="A414:A421"/>
    <mergeCell ref="B414:B421"/>
    <mergeCell ref="A422:A427"/>
    <mergeCell ref="B422:B427"/>
    <mergeCell ref="A428:A433"/>
    <mergeCell ref="B428:B433"/>
    <mergeCell ref="A1:K1"/>
    <mergeCell ref="A2:A3"/>
    <mergeCell ref="B2:B3"/>
    <mergeCell ref="C2:C3"/>
    <mergeCell ref="D2:D3"/>
    <mergeCell ref="E2:E3"/>
    <mergeCell ref="F2:F3"/>
    <mergeCell ref="G2:G3"/>
    <mergeCell ref="H2:K2"/>
    <mergeCell ref="A5:A14"/>
    <mergeCell ref="B5:B14"/>
    <mergeCell ref="A15:A43"/>
    <mergeCell ref="B15:B43"/>
    <mergeCell ref="A44:A59"/>
    <mergeCell ref="B44:B59"/>
    <mergeCell ref="A60:A73"/>
    <mergeCell ref="B60:B73"/>
    <mergeCell ref="A74:A92"/>
    <mergeCell ref="B74:B92"/>
    <mergeCell ref="A93:A116"/>
    <mergeCell ref="B93:B116"/>
    <mergeCell ref="A117:A129"/>
    <mergeCell ref="B117:B129"/>
    <mergeCell ref="A130:A148"/>
    <mergeCell ref="B130:B148"/>
    <mergeCell ref="A149:A165"/>
    <mergeCell ref="B149:B165"/>
    <mergeCell ref="A166:A183"/>
    <mergeCell ref="B166:B183"/>
    <mergeCell ref="A184:A198"/>
    <mergeCell ref="B184:B198"/>
    <mergeCell ref="A199:A213"/>
    <mergeCell ref="B199:B213"/>
    <mergeCell ref="A214:A227"/>
    <mergeCell ref="B214:B227"/>
    <mergeCell ref="A228:A238"/>
    <mergeCell ref="B228:B238"/>
    <mergeCell ref="A239:A250"/>
    <mergeCell ref="B239:B250"/>
    <mergeCell ref="A251:A269"/>
    <mergeCell ref="B251:B269"/>
    <mergeCell ref="A270:A302"/>
    <mergeCell ref="B270:B302"/>
    <mergeCell ref="A303:A322"/>
    <mergeCell ref="B303:B322"/>
    <mergeCell ref="A383:A413"/>
    <mergeCell ref="B383:B413"/>
    <mergeCell ref="A323:A357"/>
    <mergeCell ref="B323:B357"/>
    <mergeCell ref="A358:A363"/>
    <mergeCell ref="B358:B363"/>
    <mergeCell ref="A364:A382"/>
    <mergeCell ref="B364:B38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60DC-2A30-465B-8BE5-CC4B4CD5F8AB}">
  <dimension ref="A1:P256"/>
  <sheetViews>
    <sheetView topLeftCell="A31" zoomScale="80" zoomScaleNormal="80" workbookViewId="0">
      <selection activeCell="I259" sqref="I259"/>
    </sheetView>
  </sheetViews>
  <sheetFormatPr defaultColWidth="8.7265625" defaultRowHeight="14.5" x14ac:dyDescent="0.35"/>
  <cols>
    <col min="1" max="1" width="8.7265625" style="3"/>
    <col min="2" max="2" width="20.26953125" style="3" customWidth="1"/>
    <col min="3" max="3" width="8.7265625" style="3"/>
    <col min="4" max="4" width="7.453125" style="3" bestFit="1" customWidth="1"/>
    <col min="5" max="5" width="19.54296875" style="3" bestFit="1" customWidth="1"/>
    <col min="6" max="6" width="12.453125" style="3" bestFit="1" customWidth="1"/>
    <col min="7" max="7" width="17.54296875" style="3" bestFit="1" customWidth="1"/>
    <col min="8" max="8" width="10.1796875" style="3" customWidth="1"/>
    <col min="9" max="9" width="11.81640625" style="3" customWidth="1"/>
    <col min="10" max="10" width="9.54296875" style="3" customWidth="1"/>
    <col min="11" max="11" width="13.81640625" style="3" customWidth="1"/>
    <col min="12" max="15" width="8.7265625" style="3"/>
    <col min="16" max="16" width="9.453125" style="3" customWidth="1"/>
    <col min="17" max="16384" width="8.7265625" style="3"/>
  </cols>
  <sheetData>
    <row r="1" spans="1:16" ht="15" thickBot="1" x14ac:dyDescent="0.4">
      <c r="H1" s="100"/>
      <c r="I1" s="100"/>
      <c r="J1" s="100"/>
      <c r="K1" s="100"/>
    </row>
    <row r="2" spans="1:16" x14ac:dyDescent="0.35">
      <c r="A2" s="89"/>
      <c r="B2" s="219"/>
      <c r="C2" s="371" t="s">
        <v>1622</v>
      </c>
      <c r="D2" s="371" t="s">
        <v>1621</v>
      </c>
      <c r="E2" s="371" t="s">
        <v>1620</v>
      </c>
      <c r="F2" s="371" t="s">
        <v>1619</v>
      </c>
      <c r="G2" s="373" t="s">
        <v>1940</v>
      </c>
      <c r="H2" s="367" t="s">
        <v>13</v>
      </c>
      <c r="I2" s="368"/>
      <c r="J2" s="369" t="s">
        <v>346</v>
      </c>
      <c r="K2" s="370"/>
      <c r="L2" s="363" t="s">
        <v>2635</v>
      </c>
      <c r="M2" s="364"/>
      <c r="N2" s="365" t="s">
        <v>2636</v>
      </c>
      <c r="O2" s="366"/>
      <c r="P2" s="216" t="s">
        <v>2</v>
      </c>
    </row>
    <row r="3" spans="1:16" ht="19" customHeight="1" x14ac:dyDescent="0.35">
      <c r="A3" s="89" t="s">
        <v>1872</v>
      </c>
      <c r="B3" s="90" t="s">
        <v>1885</v>
      </c>
      <c r="C3" s="372"/>
      <c r="D3" s="372"/>
      <c r="E3" s="372"/>
      <c r="F3" s="372"/>
      <c r="G3" s="374"/>
      <c r="H3" s="47" t="s">
        <v>3</v>
      </c>
      <c r="I3" s="47" t="s">
        <v>4</v>
      </c>
      <c r="J3" s="47" t="s">
        <v>3</v>
      </c>
      <c r="K3" s="47" t="s">
        <v>4</v>
      </c>
      <c r="L3" s="47" t="s">
        <v>3</v>
      </c>
      <c r="M3" s="47" t="s">
        <v>4</v>
      </c>
      <c r="N3" s="47" t="s">
        <v>3</v>
      </c>
      <c r="O3" s="47" t="s">
        <v>4</v>
      </c>
      <c r="P3" s="216" t="s">
        <v>3296</v>
      </c>
    </row>
    <row r="4" spans="1:16" x14ac:dyDescent="0.35">
      <c r="A4" s="362">
        <v>1</v>
      </c>
      <c r="B4" s="362" t="s">
        <v>3297</v>
      </c>
      <c r="C4" s="6" t="s">
        <v>1623</v>
      </c>
      <c r="D4" s="6" t="s">
        <v>1941</v>
      </c>
      <c r="E4" s="6" t="s">
        <v>1942</v>
      </c>
      <c r="F4" s="6" t="s">
        <v>1942</v>
      </c>
      <c r="G4" s="6" t="s">
        <v>1943</v>
      </c>
      <c r="H4" s="97">
        <v>8</v>
      </c>
      <c r="I4" s="97">
        <v>12</v>
      </c>
      <c r="J4" s="6">
        <v>10</v>
      </c>
      <c r="K4" s="6">
        <v>14</v>
      </c>
      <c r="L4" s="136">
        <v>9</v>
      </c>
      <c r="M4" s="135">
        <v>7</v>
      </c>
      <c r="N4" s="135">
        <v>9</v>
      </c>
      <c r="O4" s="135">
        <v>13</v>
      </c>
      <c r="P4" s="218">
        <f>H4+I4+J4+K4+L4+M4+N4+O4</f>
        <v>82</v>
      </c>
    </row>
    <row r="5" spans="1:16" x14ac:dyDescent="0.35">
      <c r="A5" s="362"/>
      <c r="B5" s="362"/>
      <c r="C5" s="6" t="s">
        <v>1623</v>
      </c>
      <c r="D5" s="6" t="s">
        <v>1941</v>
      </c>
      <c r="E5" s="6" t="s">
        <v>1942</v>
      </c>
      <c r="F5" s="6" t="s">
        <v>1942</v>
      </c>
      <c r="G5" s="6" t="s">
        <v>1944</v>
      </c>
      <c r="H5" s="97">
        <v>4</v>
      </c>
      <c r="I5" s="97">
        <v>4</v>
      </c>
      <c r="J5" s="6">
        <v>9</v>
      </c>
      <c r="K5" s="6">
        <v>13</v>
      </c>
      <c r="L5" s="136">
        <v>11</v>
      </c>
      <c r="M5" s="135">
        <v>12</v>
      </c>
      <c r="N5" s="135">
        <v>11</v>
      </c>
      <c r="O5" s="135">
        <v>15</v>
      </c>
      <c r="P5" s="218">
        <f t="shared" ref="P5:P68" si="0">H5+I5+J5+K5+L5+M5+N5+O5</f>
        <v>79</v>
      </c>
    </row>
    <row r="6" spans="1:16" x14ac:dyDescent="0.35">
      <c r="A6" s="362"/>
      <c r="B6" s="362"/>
      <c r="C6" s="6" t="s">
        <v>1623</v>
      </c>
      <c r="D6" s="6" t="s">
        <v>1941</v>
      </c>
      <c r="E6" s="6" t="s">
        <v>1942</v>
      </c>
      <c r="F6" s="6" t="s">
        <v>1942</v>
      </c>
      <c r="G6" s="6" t="s">
        <v>1945</v>
      </c>
      <c r="H6" s="97">
        <v>5</v>
      </c>
      <c r="I6" s="97">
        <v>6</v>
      </c>
      <c r="J6" s="6">
        <v>16</v>
      </c>
      <c r="K6" s="6">
        <v>15</v>
      </c>
      <c r="L6" s="136">
        <v>7</v>
      </c>
      <c r="M6" s="135">
        <v>9</v>
      </c>
      <c r="N6" s="135">
        <v>8</v>
      </c>
      <c r="O6" s="135">
        <v>8</v>
      </c>
      <c r="P6" s="218">
        <f t="shared" si="0"/>
        <v>74</v>
      </c>
    </row>
    <row r="7" spans="1:16" x14ac:dyDescent="0.35">
      <c r="A7" s="362"/>
      <c r="B7" s="362"/>
      <c r="C7" s="6" t="s">
        <v>1623</v>
      </c>
      <c r="D7" s="6" t="s">
        <v>1941</v>
      </c>
      <c r="E7" s="6" t="s">
        <v>1942</v>
      </c>
      <c r="F7" s="6" t="s">
        <v>1942</v>
      </c>
      <c r="G7" s="6" t="s">
        <v>1946</v>
      </c>
      <c r="H7" s="97">
        <v>6</v>
      </c>
      <c r="I7" s="97">
        <v>5</v>
      </c>
      <c r="J7" s="6">
        <v>8</v>
      </c>
      <c r="K7" s="6">
        <v>7</v>
      </c>
      <c r="L7" s="136">
        <v>19</v>
      </c>
      <c r="M7" s="135">
        <v>17</v>
      </c>
      <c r="N7" s="135">
        <v>9</v>
      </c>
      <c r="O7" s="135">
        <v>13</v>
      </c>
      <c r="P7" s="218">
        <f t="shared" si="0"/>
        <v>84</v>
      </c>
    </row>
    <row r="8" spans="1:16" x14ac:dyDescent="0.35">
      <c r="A8" s="362"/>
      <c r="B8" s="362"/>
      <c r="C8" s="6" t="s">
        <v>1623</v>
      </c>
      <c r="D8" s="6" t="s">
        <v>1941</v>
      </c>
      <c r="E8" s="6" t="s">
        <v>1942</v>
      </c>
      <c r="F8" s="6" t="s">
        <v>1942</v>
      </c>
      <c r="G8" s="6" t="s">
        <v>1947</v>
      </c>
      <c r="H8" s="97">
        <v>8</v>
      </c>
      <c r="I8" s="97">
        <v>9</v>
      </c>
      <c r="J8" s="6">
        <v>11</v>
      </c>
      <c r="K8" s="6">
        <v>9</v>
      </c>
      <c r="L8" s="136">
        <v>8</v>
      </c>
      <c r="M8" s="135">
        <v>7</v>
      </c>
      <c r="N8" s="135">
        <v>11</v>
      </c>
      <c r="O8" s="135">
        <v>12</v>
      </c>
      <c r="P8" s="218">
        <f t="shared" si="0"/>
        <v>75</v>
      </c>
    </row>
    <row r="9" spans="1:16" x14ac:dyDescent="0.35">
      <c r="A9" s="362"/>
      <c r="B9" s="362"/>
      <c r="C9" s="6" t="s">
        <v>1623</v>
      </c>
      <c r="D9" s="6" t="s">
        <v>1941</v>
      </c>
      <c r="E9" s="6" t="s">
        <v>1942</v>
      </c>
      <c r="F9" s="6" t="s">
        <v>1942</v>
      </c>
      <c r="G9" s="6" t="s">
        <v>1948</v>
      </c>
      <c r="H9" s="97">
        <v>6</v>
      </c>
      <c r="I9" s="97">
        <v>7</v>
      </c>
      <c r="J9" s="6">
        <v>8</v>
      </c>
      <c r="K9" s="6">
        <v>12</v>
      </c>
      <c r="L9" s="136">
        <v>14</v>
      </c>
      <c r="M9" s="135">
        <v>15</v>
      </c>
      <c r="N9" s="135">
        <v>14</v>
      </c>
      <c r="O9" s="135">
        <v>16</v>
      </c>
      <c r="P9" s="218">
        <f t="shared" si="0"/>
        <v>92</v>
      </c>
    </row>
    <row r="10" spans="1:16" x14ac:dyDescent="0.35">
      <c r="A10" s="362"/>
      <c r="B10" s="362"/>
      <c r="C10" s="6" t="s">
        <v>1623</v>
      </c>
      <c r="D10" s="6" t="s">
        <v>1941</v>
      </c>
      <c r="E10" s="6" t="s">
        <v>1942</v>
      </c>
      <c r="F10" s="6" t="s">
        <v>1942</v>
      </c>
      <c r="G10" s="6" t="s">
        <v>1949</v>
      </c>
      <c r="H10" s="97">
        <v>3</v>
      </c>
      <c r="I10" s="97">
        <v>5</v>
      </c>
      <c r="J10" s="6">
        <v>23</v>
      </c>
      <c r="K10" s="6">
        <v>25</v>
      </c>
      <c r="L10" s="136">
        <v>5</v>
      </c>
      <c r="M10" s="135">
        <v>6</v>
      </c>
      <c r="N10" s="135">
        <v>4</v>
      </c>
      <c r="O10" s="135">
        <v>7</v>
      </c>
      <c r="P10" s="218">
        <f t="shared" si="0"/>
        <v>78</v>
      </c>
    </row>
    <row r="11" spans="1:16" x14ac:dyDescent="0.35">
      <c r="A11" s="362"/>
      <c r="B11" s="362"/>
      <c r="C11" s="6" t="s">
        <v>1623</v>
      </c>
      <c r="D11" s="6" t="s">
        <v>1941</v>
      </c>
      <c r="E11" s="6" t="s">
        <v>1942</v>
      </c>
      <c r="F11" s="6" t="s">
        <v>1942</v>
      </c>
      <c r="G11" s="6" t="s">
        <v>1950</v>
      </c>
      <c r="H11" s="97">
        <v>6</v>
      </c>
      <c r="I11" s="97">
        <v>7</v>
      </c>
      <c r="J11" s="6">
        <v>29</v>
      </c>
      <c r="K11" s="6">
        <v>23</v>
      </c>
      <c r="L11" s="136">
        <v>13</v>
      </c>
      <c r="M11" s="135">
        <v>15</v>
      </c>
      <c r="N11" s="135">
        <v>3</v>
      </c>
      <c r="O11" s="135">
        <v>4</v>
      </c>
      <c r="P11" s="218">
        <f t="shared" si="0"/>
        <v>100</v>
      </c>
    </row>
    <row r="12" spans="1:16" x14ac:dyDescent="0.35">
      <c r="A12" s="362"/>
      <c r="B12" s="362"/>
      <c r="C12" s="6" t="s">
        <v>1623</v>
      </c>
      <c r="D12" s="6" t="s">
        <v>1941</v>
      </c>
      <c r="E12" s="6" t="s">
        <v>1942</v>
      </c>
      <c r="F12" s="6" t="s">
        <v>1942</v>
      </c>
      <c r="G12" s="6" t="s">
        <v>1951</v>
      </c>
      <c r="H12" s="97">
        <v>16</v>
      </c>
      <c r="I12" s="97">
        <v>17</v>
      </c>
      <c r="J12" s="6">
        <v>27</v>
      </c>
      <c r="K12" s="6">
        <v>21</v>
      </c>
      <c r="L12" s="136">
        <v>17</v>
      </c>
      <c r="M12" s="135">
        <v>16</v>
      </c>
      <c r="N12" s="135">
        <v>17</v>
      </c>
      <c r="O12" s="135">
        <v>15</v>
      </c>
      <c r="P12" s="218">
        <f t="shared" si="0"/>
        <v>146</v>
      </c>
    </row>
    <row r="13" spans="1:16" x14ac:dyDescent="0.35">
      <c r="A13" s="362"/>
      <c r="B13" s="362"/>
      <c r="C13" s="6" t="s">
        <v>1623</v>
      </c>
      <c r="D13" s="6" t="s">
        <v>1941</v>
      </c>
      <c r="E13" s="6" t="s">
        <v>1942</v>
      </c>
      <c r="F13" s="6" t="s">
        <v>1952</v>
      </c>
      <c r="G13" s="6" t="s">
        <v>1953</v>
      </c>
      <c r="H13" s="97">
        <v>3</v>
      </c>
      <c r="I13" s="97">
        <v>4</v>
      </c>
      <c r="J13" s="6">
        <v>9</v>
      </c>
      <c r="K13" s="6">
        <v>11</v>
      </c>
      <c r="L13" s="136">
        <v>11</v>
      </c>
      <c r="M13" s="135">
        <v>15</v>
      </c>
      <c r="N13" s="135">
        <v>10</v>
      </c>
      <c r="O13" s="135">
        <v>7</v>
      </c>
      <c r="P13" s="218">
        <f t="shared" si="0"/>
        <v>70</v>
      </c>
    </row>
    <row r="14" spans="1:16" x14ac:dyDescent="0.35">
      <c r="A14" s="362"/>
      <c r="B14" s="362"/>
      <c r="C14" s="6" t="s">
        <v>1623</v>
      </c>
      <c r="D14" s="6" t="s">
        <v>1941</v>
      </c>
      <c r="E14" s="6" t="s">
        <v>1942</v>
      </c>
      <c r="F14" s="6" t="s">
        <v>1952</v>
      </c>
      <c r="G14" s="6" t="s">
        <v>1954</v>
      </c>
      <c r="H14" s="97">
        <v>8</v>
      </c>
      <c r="I14" s="97">
        <v>8</v>
      </c>
      <c r="J14" s="6">
        <v>30</v>
      </c>
      <c r="K14" s="6">
        <v>34</v>
      </c>
      <c r="L14" s="136">
        <v>19</v>
      </c>
      <c r="M14" s="135">
        <v>14</v>
      </c>
      <c r="N14" s="135">
        <v>22</v>
      </c>
      <c r="O14" s="135">
        <v>15</v>
      </c>
      <c r="P14" s="218">
        <f t="shared" si="0"/>
        <v>150</v>
      </c>
    </row>
    <row r="15" spans="1:16" x14ac:dyDescent="0.35">
      <c r="A15" s="362"/>
      <c r="B15" s="362"/>
      <c r="C15" s="6" t="s">
        <v>1623</v>
      </c>
      <c r="D15" s="6" t="s">
        <v>1941</v>
      </c>
      <c r="E15" s="6" t="s">
        <v>1942</v>
      </c>
      <c r="F15" s="6" t="s">
        <v>1952</v>
      </c>
      <c r="G15" s="6" t="s">
        <v>1955</v>
      </c>
      <c r="H15" s="97">
        <v>6</v>
      </c>
      <c r="I15" s="97">
        <v>7</v>
      </c>
      <c r="J15" s="6">
        <v>9</v>
      </c>
      <c r="K15" s="6">
        <v>12</v>
      </c>
      <c r="L15" s="136">
        <v>6</v>
      </c>
      <c r="M15" s="135">
        <v>7</v>
      </c>
      <c r="N15" s="135">
        <v>6</v>
      </c>
      <c r="O15" s="135">
        <v>7</v>
      </c>
      <c r="P15" s="218">
        <f t="shared" si="0"/>
        <v>60</v>
      </c>
    </row>
    <row r="16" spans="1:16" x14ac:dyDescent="0.35">
      <c r="A16" s="362"/>
      <c r="B16" s="362"/>
      <c r="C16" s="6" t="s">
        <v>1623</v>
      </c>
      <c r="D16" s="6" t="s">
        <v>1941</v>
      </c>
      <c r="E16" s="6" t="s">
        <v>1942</v>
      </c>
      <c r="F16" s="6" t="s">
        <v>1952</v>
      </c>
      <c r="G16" s="6" t="s">
        <v>1956</v>
      </c>
      <c r="H16" s="97">
        <v>30</v>
      </c>
      <c r="I16" s="97">
        <v>31</v>
      </c>
      <c r="J16" s="6">
        <v>46</v>
      </c>
      <c r="K16" s="6">
        <v>55</v>
      </c>
      <c r="L16" s="136">
        <v>31</v>
      </c>
      <c r="M16" s="135">
        <v>35</v>
      </c>
      <c r="N16" s="135">
        <v>25</v>
      </c>
      <c r="O16" s="135">
        <v>30</v>
      </c>
      <c r="P16" s="218">
        <f t="shared" si="0"/>
        <v>283</v>
      </c>
    </row>
    <row r="17" spans="1:16" x14ac:dyDescent="0.35">
      <c r="A17" s="362"/>
      <c r="B17" s="362"/>
      <c r="C17" s="6" t="s">
        <v>1623</v>
      </c>
      <c r="D17" s="6" t="s">
        <v>1941</v>
      </c>
      <c r="E17" s="6" t="s">
        <v>1942</v>
      </c>
      <c r="F17" s="6" t="s">
        <v>1952</v>
      </c>
      <c r="G17" s="6" t="s">
        <v>1957</v>
      </c>
      <c r="H17" s="97">
        <v>5</v>
      </c>
      <c r="I17" s="97">
        <v>6</v>
      </c>
      <c r="J17" s="6">
        <v>13</v>
      </c>
      <c r="K17" s="6">
        <v>13</v>
      </c>
      <c r="L17" s="136">
        <v>14</v>
      </c>
      <c r="M17" s="135">
        <v>14</v>
      </c>
      <c r="N17" s="135">
        <v>19</v>
      </c>
      <c r="O17" s="135">
        <v>22</v>
      </c>
      <c r="P17" s="218">
        <f t="shared" si="0"/>
        <v>106</v>
      </c>
    </row>
    <row r="18" spans="1:16" x14ac:dyDescent="0.35">
      <c r="A18" s="362"/>
      <c r="B18" s="362"/>
      <c r="C18" s="6" t="s">
        <v>1623</v>
      </c>
      <c r="D18" s="6" t="s">
        <v>1941</v>
      </c>
      <c r="E18" s="6" t="s">
        <v>1942</v>
      </c>
      <c r="F18" s="6" t="s">
        <v>1952</v>
      </c>
      <c r="G18" s="6" t="s">
        <v>1958</v>
      </c>
      <c r="H18" s="97">
        <v>8</v>
      </c>
      <c r="I18" s="97">
        <v>6</v>
      </c>
      <c r="J18" s="6">
        <v>25</v>
      </c>
      <c r="K18" s="6">
        <v>20</v>
      </c>
      <c r="L18" s="136">
        <v>9</v>
      </c>
      <c r="M18" s="135">
        <v>11</v>
      </c>
      <c r="N18" s="135">
        <v>10</v>
      </c>
      <c r="O18" s="135">
        <v>9</v>
      </c>
      <c r="P18" s="218">
        <f t="shared" si="0"/>
        <v>98</v>
      </c>
    </row>
    <row r="19" spans="1:16" x14ac:dyDescent="0.35">
      <c r="A19" s="362"/>
      <c r="B19" s="362"/>
      <c r="C19" s="6" t="s">
        <v>1623</v>
      </c>
      <c r="D19" s="6" t="s">
        <v>1941</v>
      </c>
      <c r="E19" s="6" t="s">
        <v>1942</v>
      </c>
      <c r="F19" s="6" t="s">
        <v>1952</v>
      </c>
      <c r="G19" s="6" t="s">
        <v>1952</v>
      </c>
      <c r="H19" s="97">
        <v>4</v>
      </c>
      <c r="I19" s="97">
        <v>4</v>
      </c>
      <c r="J19" s="6">
        <v>10</v>
      </c>
      <c r="K19" s="6">
        <v>11</v>
      </c>
      <c r="L19" s="136">
        <v>9</v>
      </c>
      <c r="M19" s="135">
        <v>7</v>
      </c>
      <c r="N19" s="135">
        <v>12</v>
      </c>
      <c r="O19" s="135">
        <v>13</v>
      </c>
      <c r="P19" s="218">
        <f t="shared" si="0"/>
        <v>70</v>
      </c>
    </row>
    <row r="20" spans="1:16" x14ac:dyDescent="0.35">
      <c r="A20" s="362"/>
      <c r="B20" s="362"/>
      <c r="C20" s="6" t="s">
        <v>1623</v>
      </c>
      <c r="D20" s="6" t="s">
        <v>1941</v>
      </c>
      <c r="E20" s="6" t="s">
        <v>1942</v>
      </c>
      <c r="F20" s="6" t="s">
        <v>1952</v>
      </c>
      <c r="G20" s="6" t="s">
        <v>1959</v>
      </c>
      <c r="H20" s="97">
        <v>3</v>
      </c>
      <c r="I20" s="97">
        <v>3</v>
      </c>
      <c r="J20" s="6">
        <v>9</v>
      </c>
      <c r="K20" s="6">
        <v>13</v>
      </c>
      <c r="L20" s="136">
        <v>10</v>
      </c>
      <c r="M20" s="135">
        <v>8</v>
      </c>
      <c r="N20" s="135">
        <v>13</v>
      </c>
      <c r="O20" s="135">
        <v>15</v>
      </c>
      <c r="P20" s="218">
        <f t="shared" si="0"/>
        <v>74</v>
      </c>
    </row>
    <row r="21" spans="1:16" x14ac:dyDescent="0.35">
      <c r="A21" s="362"/>
      <c r="B21" s="362"/>
      <c r="C21" s="6" t="s">
        <v>1623</v>
      </c>
      <c r="D21" s="6" t="s">
        <v>1941</v>
      </c>
      <c r="E21" s="6" t="s">
        <v>1942</v>
      </c>
      <c r="F21" s="6" t="s">
        <v>1960</v>
      </c>
      <c r="G21" s="6" t="s">
        <v>1961</v>
      </c>
      <c r="H21" s="97">
        <v>8</v>
      </c>
      <c r="I21" s="97">
        <v>8</v>
      </c>
      <c r="J21" s="6">
        <v>10</v>
      </c>
      <c r="K21" s="6">
        <v>8</v>
      </c>
      <c r="L21" s="136">
        <v>13</v>
      </c>
      <c r="M21" s="135">
        <v>16</v>
      </c>
      <c r="N21" s="135">
        <v>18</v>
      </c>
      <c r="O21" s="135">
        <v>15</v>
      </c>
      <c r="P21" s="218">
        <f t="shared" si="0"/>
        <v>96</v>
      </c>
    </row>
    <row r="22" spans="1:16" x14ac:dyDescent="0.35">
      <c r="A22" s="362"/>
      <c r="B22" s="362"/>
      <c r="C22" s="6" t="s">
        <v>1623</v>
      </c>
      <c r="D22" s="6" t="s">
        <v>1941</v>
      </c>
      <c r="E22" s="6" t="s">
        <v>1942</v>
      </c>
      <c r="F22" s="6" t="s">
        <v>1960</v>
      </c>
      <c r="G22" s="6" t="s">
        <v>124</v>
      </c>
      <c r="H22" s="97">
        <v>4</v>
      </c>
      <c r="I22" s="97">
        <v>6</v>
      </c>
      <c r="J22" s="6">
        <v>10</v>
      </c>
      <c r="K22" s="6">
        <v>14</v>
      </c>
      <c r="L22" s="136">
        <v>6</v>
      </c>
      <c r="M22" s="135">
        <v>7</v>
      </c>
      <c r="N22" s="135">
        <v>6</v>
      </c>
      <c r="O22" s="135">
        <v>7</v>
      </c>
      <c r="P22" s="218">
        <f t="shared" si="0"/>
        <v>60</v>
      </c>
    </row>
    <row r="23" spans="1:16" x14ac:dyDescent="0.35">
      <c r="A23" s="362"/>
      <c r="B23" s="362"/>
      <c r="C23" s="6" t="s">
        <v>1623</v>
      </c>
      <c r="D23" s="6" t="s">
        <v>1941</v>
      </c>
      <c r="E23" s="6" t="s">
        <v>1942</v>
      </c>
      <c r="F23" s="6" t="s">
        <v>1960</v>
      </c>
      <c r="G23" s="6" t="s">
        <v>1962</v>
      </c>
      <c r="H23" s="97">
        <v>4</v>
      </c>
      <c r="I23" s="97">
        <v>4</v>
      </c>
      <c r="J23" s="6">
        <v>19</v>
      </c>
      <c r="K23" s="6">
        <v>20</v>
      </c>
      <c r="L23" s="136">
        <v>7</v>
      </c>
      <c r="M23" s="135">
        <v>6</v>
      </c>
      <c r="N23" s="135">
        <v>5</v>
      </c>
      <c r="O23" s="135">
        <v>8</v>
      </c>
      <c r="P23" s="218">
        <f t="shared" si="0"/>
        <v>73</v>
      </c>
    </row>
    <row r="24" spans="1:16" x14ac:dyDescent="0.35">
      <c r="A24" s="362"/>
      <c r="B24" s="362"/>
      <c r="C24" s="6" t="s">
        <v>1623</v>
      </c>
      <c r="D24" s="6" t="s">
        <v>1941</v>
      </c>
      <c r="E24" s="6" t="s">
        <v>1942</v>
      </c>
      <c r="F24" s="6" t="s">
        <v>1960</v>
      </c>
      <c r="G24" s="6" t="s">
        <v>1963</v>
      </c>
      <c r="H24" s="97">
        <v>5</v>
      </c>
      <c r="I24" s="97">
        <v>6</v>
      </c>
      <c r="J24" s="6">
        <v>19</v>
      </c>
      <c r="K24" s="6">
        <v>22</v>
      </c>
      <c r="L24" s="136">
        <v>6</v>
      </c>
      <c r="M24" s="135">
        <v>4</v>
      </c>
      <c r="N24" s="135">
        <v>10</v>
      </c>
      <c r="O24" s="135">
        <v>13</v>
      </c>
      <c r="P24" s="218">
        <f t="shared" si="0"/>
        <v>85</v>
      </c>
    </row>
    <row r="25" spans="1:16" x14ac:dyDescent="0.35">
      <c r="A25" s="362"/>
      <c r="B25" s="362"/>
      <c r="C25" s="6" t="s">
        <v>1623</v>
      </c>
      <c r="D25" s="6" t="s">
        <v>1941</v>
      </c>
      <c r="E25" s="6" t="s">
        <v>1942</v>
      </c>
      <c r="F25" s="6" t="s">
        <v>1960</v>
      </c>
      <c r="G25" s="6" t="s">
        <v>1964</v>
      </c>
      <c r="H25" s="97">
        <v>3</v>
      </c>
      <c r="I25" s="97">
        <v>3</v>
      </c>
      <c r="J25" s="6">
        <v>4</v>
      </c>
      <c r="K25" s="6">
        <v>6</v>
      </c>
      <c r="L25" s="136">
        <v>1</v>
      </c>
      <c r="M25" s="135">
        <v>1</v>
      </c>
      <c r="N25" s="135">
        <v>3</v>
      </c>
      <c r="O25" s="135">
        <v>5</v>
      </c>
      <c r="P25" s="218">
        <f t="shared" si="0"/>
        <v>26</v>
      </c>
    </row>
    <row r="26" spans="1:16" x14ac:dyDescent="0.35">
      <c r="A26" s="362"/>
      <c r="B26" s="362"/>
      <c r="C26" s="6" t="s">
        <v>1623</v>
      </c>
      <c r="D26" s="6" t="s">
        <v>1941</v>
      </c>
      <c r="E26" s="6" t="s">
        <v>1942</v>
      </c>
      <c r="F26" s="6" t="s">
        <v>1960</v>
      </c>
      <c r="G26" s="6" t="s">
        <v>1965</v>
      </c>
      <c r="H26" s="97">
        <v>4</v>
      </c>
      <c r="I26" s="97">
        <v>4</v>
      </c>
      <c r="J26" s="6">
        <v>9</v>
      </c>
      <c r="K26" s="6">
        <v>17</v>
      </c>
      <c r="L26" s="136">
        <v>9</v>
      </c>
      <c r="M26" s="135">
        <v>8</v>
      </c>
      <c r="N26" s="135">
        <v>9</v>
      </c>
      <c r="O26" s="135">
        <v>11</v>
      </c>
      <c r="P26" s="218">
        <f t="shared" si="0"/>
        <v>71</v>
      </c>
    </row>
    <row r="27" spans="1:16" x14ac:dyDescent="0.35">
      <c r="A27" s="362"/>
      <c r="B27" s="362"/>
      <c r="C27" s="6" t="s">
        <v>1623</v>
      </c>
      <c r="D27" s="6" t="s">
        <v>1941</v>
      </c>
      <c r="E27" s="6" t="s">
        <v>1942</v>
      </c>
      <c r="F27" s="6" t="s">
        <v>1960</v>
      </c>
      <c r="G27" s="6" t="s">
        <v>1966</v>
      </c>
      <c r="H27" s="97">
        <v>10</v>
      </c>
      <c r="I27" s="97">
        <v>10</v>
      </c>
      <c r="J27" s="6">
        <v>6</v>
      </c>
      <c r="K27" s="6">
        <v>5</v>
      </c>
      <c r="L27" s="136">
        <v>8</v>
      </c>
      <c r="M27" s="135">
        <v>9</v>
      </c>
      <c r="N27" s="135">
        <v>10</v>
      </c>
      <c r="O27" s="135">
        <v>12</v>
      </c>
      <c r="P27" s="218">
        <f t="shared" si="0"/>
        <v>70</v>
      </c>
    </row>
    <row r="28" spans="1:16" x14ac:dyDescent="0.35">
      <c r="A28" s="362"/>
      <c r="B28" s="362"/>
      <c r="C28" s="6" t="s">
        <v>1623</v>
      </c>
      <c r="D28" s="6" t="s">
        <v>1941</v>
      </c>
      <c r="E28" s="6" t="s">
        <v>1942</v>
      </c>
      <c r="F28" s="6" t="s">
        <v>1960</v>
      </c>
      <c r="G28" s="6" t="s">
        <v>1967</v>
      </c>
      <c r="H28" s="97">
        <v>19</v>
      </c>
      <c r="I28" s="97">
        <v>20</v>
      </c>
      <c r="J28" s="6">
        <v>27</v>
      </c>
      <c r="K28" s="6">
        <v>34</v>
      </c>
      <c r="L28" s="136">
        <v>18</v>
      </c>
      <c r="M28" s="135">
        <v>20</v>
      </c>
      <c r="N28" s="135">
        <v>23</v>
      </c>
      <c r="O28" s="135">
        <v>22</v>
      </c>
      <c r="P28" s="218">
        <f t="shared" si="0"/>
        <v>183</v>
      </c>
    </row>
    <row r="29" spans="1:16" x14ac:dyDescent="0.35">
      <c r="A29" s="362"/>
      <c r="B29" s="362"/>
      <c r="C29" s="6" t="s">
        <v>1623</v>
      </c>
      <c r="D29" s="6" t="s">
        <v>1941</v>
      </c>
      <c r="E29" s="6" t="s">
        <v>1942</v>
      </c>
      <c r="F29" s="6" t="s">
        <v>1968</v>
      </c>
      <c r="G29" s="6" t="s">
        <v>1969</v>
      </c>
      <c r="H29" s="97">
        <v>5</v>
      </c>
      <c r="I29" s="97">
        <v>5</v>
      </c>
      <c r="J29" s="6">
        <v>7</v>
      </c>
      <c r="K29" s="6">
        <v>5</v>
      </c>
      <c r="L29" s="136">
        <v>6</v>
      </c>
      <c r="M29" s="135">
        <v>8</v>
      </c>
      <c r="N29" s="135">
        <v>6</v>
      </c>
      <c r="O29" s="135">
        <v>4</v>
      </c>
      <c r="P29" s="218">
        <f t="shared" si="0"/>
        <v>46</v>
      </c>
    </row>
    <row r="30" spans="1:16" x14ac:dyDescent="0.35">
      <c r="A30" s="362"/>
      <c r="B30" s="362"/>
      <c r="C30" s="6" t="s">
        <v>1623</v>
      </c>
      <c r="D30" s="6" t="s">
        <v>1941</v>
      </c>
      <c r="E30" s="6" t="s">
        <v>1942</v>
      </c>
      <c r="F30" s="6" t="s">
        <v>1968</v>
      </c>
      <c r="G30" s="6" t="s">
        <v>1970</v>
      </c>
      <c r="H30" s="97">
        <v>10</v>
      </c>
      <c r="I30" s="97">
        <v>11</v>
      </c>
      <c r="J30" s="6">
        <v>16</v>
      </c>
      <c r="K30" s="6">
        <v>15</v>
      </c>
      <c r="L30" s="136">
        <v>18</v>
      </c>
      <c r="M30" s="135">
        <v>16</v>
      </c>
      <c r="N30" s="135">
        <v>11</v>
      </c>
      <c r="O30" s="135">
        <v>13</v>
      </c>
      <c r="P30" s="218">
        <f t="shared" si="0"/>
        <v>110</v>
      </c>
    </row>
    <row r="31" spans="1:16" x14ac:dyDescent="0.35">
      <c r="A31" s="362"/>
      <c r="B31" s="362"/>
      <c r="C31" s="6" t="s">
        <v>1623</v>
      </c>
      <c r="D31" s="6" t="s">
        <v>1941</v>
      </c>
      <c r="E31" s="6" t="s">
        <v>1942</v>
      </c>
      <c r="F31" s="6" t="s">
        <v>1968</v>
      </c>
      <c r="G31" s="6" t="s">
        <v>1971</v>
      </c>
      <c r="H31" s="97">
        <v>22</v>
      </c>
      <c r="I31" s="97">
        <v>13</v>
      </c>
      <c r="J31" s="6">
        <v>21</v>
      </c>
      <c r="K31" s="6">
        <v>23</v>
      </c>
      <c r="L31" s="136">
        <v>20</v>
      </c>
      <c r="M31" s="135">
        <v>14</v>
      </c>
      <c r="N31" s="135">
        <v>23</v>
      </c>
      <c r="O31" s="135">
        <v>27</v>
      </c>
      <c r="P31" s="218">
        <f t="shared" si="0"/>
        <v>163</v>
      </c>
    </row>
    <row r="32" spans="1:16" x14ac:dyDescent="0.35">
      <c r="A32" s="362"/>
      <c r="B32" s="362"/>
      <c r="C32" s="6" t="s">
        <v>1623</v>
      </c>
      <c r="D32" s="6" t="s">
        <v>1941</v>
      </c>
      <c r="E32" s="6" t="s">
        <v>1942</v>
      </c>
      <c r="F32" s="6" t="s">
        <v>1968</v>
      </c>
      <c r="G32" s="6" t="s">
        <v>1972</v>
      </c>
      <c r="H32" s="97">
        <v>4</v>
      </c>
      <c r="I32" s="97">
        <v>4</v>
      </c>
      <c r="J32" s="6">
        <v>5</v>
      </c>
      <c r="K32" s="6">
        <v>5</v>
      </c>
      <c r="L32" s="136">
        <v>6</v>
      </c>
      <c r="M32" s="135">
        <v>4</v>
      </c>
      <c r="N32" s="135">
        <v>9</v>
      </c>
      <c r="O32" s="135">
        <v>9</v>
      </c>
      <c r="P32" s="218">
        <f t="shared" si="0"/>
        <v>46</v>
      </c>
    </row>
    <row r="33" spans="1:16" x14ac:dyDescent="0.35">
      <c r="A33" s="362"/>
      <c r="B33" s="362"/>
      <c r="C33" s="6" t="s">
        <v>1623</v>
      </c>
      <c r="D33" s="6" t="s">
        <v>1941</v>
      </c>
      <c r="E33" s="6" t="s">
        <v>1942</v>
      </c>
      <c r="F33" s="6" t="s">
        <v>1968</v>
      </c>
      <c r="G33" s="6" t="s">
        <v>1973</v>
      </c>
      <c r="H33" s="97">
        <v>6</v>
      </c>
      <c r="I33" s="97">
        <v>7</v>
      </c>
      <c r="J33" s="6">
        <v>19</v>
      </c>
      <c r="K33" s="6">
        <v>25</v>
      </c>
      <c r="L33" s="136">
        <v>6</v>
      </c>
      <c r="M33" s="135">
        <v>5</v>
      </c>
      <c r="N33" s="135">
        <v>6</v>
      </c>
      <c r="O33" s="135">
        <v>8</v>
      </c>
      <c r="P33" s="218">
        <f t="shared" si="0"/>
        <v>82</v>
      </c>
    </row>
    <row r="34" spans="1:16" x14ac:dyDescent="0.35">
      <c r="A34" s="362"/>
      <c r="B34" s="362"/>
      <c r="C34" s="6" t="s">
        <v>1623</v>
      </c>
      <c r="D34" s="6" t="s">
        <v>1941</v>
      </c>
      <c r="E34" s="6" t="s">
        <v>1942</v>
      </c>
      <c r="F34" s="6" t="s">
        <v>1968</v>
      </c>
      <c r="G34" s="6" t="s">
        <v>1974</v>
      </c>
      <c r="H34" s="97">
        <v>10</v>
      </c>
      <c r="I34" s="97">
        <v>14</v>
      </c>
      <c r="J34" s="6">
        <v>9</v>
      </c>
      <c r="K34" s="6">
        <v>10</v>
      </c>
      <c r="L34" s="136">
        <v>11</v>
      </c>
      <c r="M34" s="135">
        <v>10</v>
      </c>
      <c r="N34" s="135">
        <v>13</v>
      </c>
      <c r="O34" s="135">
        <v>15</v>
      </c>
      <c r="P34" s="218">
        <f t="shared" si="0"/>
        <v>92</v>
      </c>
    </row>
    <row r="35" spans="1:16" x14ac:dyDescent="0.35">
      <c r="A35" s="362"/>
      <c r="B35" s="362"/>
      <c r="C35" s="6" t="s">
        <v>1623</v>
      </c>
      <c r="D35" s="6" t="s">
        <v>1941</v>
      </c>
      <c r="E35" s="6" t="s">
        <v>1942</v>
      </c>
      <c r="F35" s="6" t="s">
        <v>1968</v>
      </c>
      <c r="G35" s="6" t="s">
        <v>276</v>
      </c>
      <c r="H35" s="97">
        <v>6</v>
      </c>
      <c r="I35" s="97">
        <v>7</v>
      </c>
      <c r="J35" s="6">
        <v>19</v>
      </c>
      <c r="K35" s="6">
        <v>20</v>
      </c>
      <c r="L35" s="136">
        <v>7</v>
      </c>
      <c r="M35" s="135">
        <v>5</v>
      </c>
      <c r="N35" s="135">
        <v>9</v>
      </c>
      <c r="O35" s="135">
        <v>7</v>
      </c>
      <c r="P35" s="218">
        <f t="shared" si="0"/>
        <v>80</v>
      </c>
    </row>
    <row r="36" spans="1:16" x14ac:dyDescent="0.35">
      <c r="A36" s="362"/>
      <c r="B36" s="362"/>
      <c r="C36" s="6" t="s">
        <v>1623</v>
      </c>
      <c r="D36" s="6" t="s">
        <v>1941</v>
      </c>
      <c r="E36" s="6" t="s">
        <v>1942</v>
      </c>
      <c r="F36" s="6" t="s">
        <v>1968</v>
      </c>
      <c r="G36" s="6" t="s">
        <v>1975</v>
      </c>
      <c r="H36" s="97">
        <v>10</v>
      </c>
      <c r="I36" s="97">
        <v>11</v>
      </c>
      <c r="J36" s="6">
        <v>11</v>
      </c>
      <c r="K36" s="6">
        <v>13</v>
      </c>
      <c r="L36" s="136">
        <v>7</v>
      </c>
      <c r="M36" s="135">
        <v>6</v>
      </c>
      <c r="N36" s="135">
        <v>5</v>
      </c>
      <c r="O36" s="135">
        <v>9</v>
      </c>
      <c r="P36" s="218">
        <f t="shared" si="0"/>
        <v>72</v>
      </c>
    </row>
    <row r="37" spans="1:16" x14ac:dyDescent="0.35">
      <c r="A37" s="362"/>
      <c r="B37" s="362"/>
      <c r="C37" s="6" t="s">
        <v>1623</v>
      </c>
      <c r="D37" s="6" t="s">
        <v>1941</v>
      </c>
      <c r="E37" s="6" t="s">
        <v>1942</v>
      </c>
      <c r="F37" s="6" t="s">
        <v>1945</v>
      </c>
      <c r="G37" s="6" t="s">
        <v>1976</v>
      </c>
      <c r="H37" s="97">
        <v>6</v>
      </c>
      <c r="I37" s="97">
        <v>4</v>
      </c>
      <c r="J37" s="6">
        <v>22</v>
      </c>
      <c r="K37" s="6">
        <v>25</v>
      </c>
      <c r="L37" s="136">
        <v>2</v>
      </c>
      <c r="M37" s="135">
        <v>3</v>
      </c>
      <c r="N37" s="135">
        <v>10</v>
      </c>
      <c r="O37" s="135">
        <v>15</v>
      </c>
      <c r="P37" s="218">
        <f t="shared" si="0"/>
        <v>87</v>
      </c>
    </row>
    <row r="38" spans="1:16" x14ac:dyDescent="0.35">
      <c r="A38" s="362"/>
      <c r="B38" s="362"/>
      <c r="C38" s="140" t="s">
        <v>2</v>
      </c>
      <c r="D38" s="139"/>
      <c r="E38" s="139"/>
      <c r="F38" s="139"/>
      <c r="G38" s="139"/>
      <c r="H38" s="165">
        <f>SUM(H4:H37)</f>
        <v>265</v>
      </c>
      <c r="I38" s="165">
        <f t="shared" ref="I38:O38" si="1">SUM(I4:I37)</f>
        <v>278</v>
      </c>
      <c r="J38" s="166">
        <f t="shared" si="1"/>
        <v>525</v>
      </c>
      <c r="K38" s="166">
        <f t="shared" si="1"/>
        <v>575</v>
      </c>
      <c r="L38" s="141">
        <f>SUM(L4:L37)</f>
        <v>363</v>
      </c>
      <c r="M38" s="141">
        <f t="shared" si="1"/>
        <v>357</v>
      </c>
      <c r="N38" s="145">
        <f t="shared" si="1"/>
        <v>379</v>
      </c>
      <c r="O38" s="145">
        <f t="shared" si="1"/>
        <v>421</v>
      </c>
      <c r="P38" s="217">
        <f t="shared" si="0"/>
        <v>3163</v>
      </c>
    </row>
    <row r="39" spans="1:16" x14ac:dyDescent="0.35">
      <c r="A39" s="362">
        <v>2</v>
      </c>
      <c r="B39" s="362" t="s">
        <v>3298</v>
      </c>
      <c r="C39" s="6" t="s">
        <v>1623</v>
      </c>
      <c r="D39" s="6" t="s">
        <v>1941</v>
      </c>
      <c r="E39" s="6" t="s">
        <v>1977</v>
      </c>
      <c r="F39" s="6" t="s">
        <v>1978</v>
      </c>
      <c r="G39" s="6" t="s">
        <v>1979</v>
      </c>
      <c r="H39" s="97">
        <v>7</v>
      </c>
      <c r="I39" s="97">
        <v>7</v>
      </c>
      <c r="J39" s="6">
        <v>18</v>
      </c>
      <c r="K39" s="6">
        <v>15</v>
      </c>
      <c r="L39" s="136">
        <v>25</v>
      </c>
      <c r="M39" s="135">
        <v>30</v>
      </c>
      <c r="N39" s="135">
        <v>16</v>
      </c>
      <c r="O39" s="135">
        <v>14</v>
      </c>
      <c r="P39" s="218">
        <f t="shared" si="0"/>
        <v>132</v>
      </c>
    </row>
    <row r="40" spans="1:16" x14ac:dyDescent="0.35">
      <c r="A40" s="362"/>
      <c r="B40" s="362"/>
      <c r="C40" s="6" t="s">
        <v>1623</v>
      </c>
      <c r="D40" s="6" t="s">
        <v>1941</v>
      </c>
      <c r="E40" s="6" t="s">
        <v>1977</v>
      </c>
      <c r="F40" s="6" t="s">
        <v>1978</v>
      </c>
      <c r="G40" s="6" t="s">
        <v>298</v>
      </c>
      <c r="H40" s="97">
        <v>2</v>
      </c>
      <c r="I40" s="97">
        <v>2</v>
      </c>
      <c r="J40" s="6">
        <v>9</v>
      </c>
      <c r="K40" s="6">
        <v>10</v>
      </c>
      <c r="L40" s="136">
        <v>5</v>
      </c>
      <c r="M40" s="135">
        <v>7</v>
      </c>
      <c r="N40" s="135">
        <v>7</v>
      </c>
      <c r="O40" s="135">
        <v>8</v>
      </c>
      <c r="P40" s="218">
        <f t="shared" si="0"/>
        <v>50</v>
      </c>
    </row>
    <row r="41" spans="1:16" x14ac:dyDescent="0.35">
      <c r="A41" s="362"/>
      <c r="B41" s="362"/>
      <c r="C41" s="6" t="s">
        <v>1623</v>
      </c>
      <c r="D41" s="6" t="s">
        <v>1941</v>
      </c>
      <c r="E41" s="6" t="s">
        <v>1977</v>
      </c>
      <c r="F41" s="6" t="s">
        <v>1978</v>
      </c>
      <c r="G41" s="6" t="s">
        <v>1980</v>
      </c>
      <c r="H41" s="97">
        <v>3</v>
      </c>
      <c r="I41" s="97">
        <v>3</v>
      </c>
      <c r="J41" s="6">
        <v>6</v>
      </c>
      <c r="K41" s="6">
        <v>11</v>
      </c>
      <c r="L41" s="136">
        <v>17</v>
      </c>
      <c r="M41" s="135">
        <v>20</v>
      </c>
      <c r="N41" s="135">
        <v>27</v>
      </c>
      <c r="O41" s="135">
        <v>25</v>
      </c>
      <c r="P41" s="218">
        <f t="shared" si="0"/>
        <v>112</v>
      </c>
    </row>
    <row r="42" spans="1:16" x14ac:dyDescent="0.35">
      <c r="A42" s="362"/>
      <c r="B42" s="362"/>
      <c r="C42" s="6" t="s">
        <v>1623</v>
      </c>
      <c r="D42" s="6" t="s">
        <v>1941</v>
      </c>
      <c r="E42" s="6" t="s">
        <v>1977</v>
      </c>
      <c r="F42" s="6" t="s">
        <v>1978</v>
      </c>
      <c r="G42" s="6" t="s">
        <v>1981</v>
      </c>
      <c r="H42" s="97">
        <v>8</v>
      </c>
      <c r="I42" s="97">
        <v>8</v>
      </c>
      <c r="J42" s="6">
        <v>10</v>
      </c>
      <c r="K42" s="6">
        <v>7</v>
      </c>
      <c r="L42" s="136">
        <v>3</v>
      </c>
      <c r="M42" s="135">
        <v>4</v>
      </c>
      <c r="N42" s="135">
        <v>6</v>
      </c>
      <c r="O42" s="135">
        <v>7</v>
      </c>
      <c r="P42" s="218">
        <f t="shared" si="0"/>
        <v>53</v>
      </c>
    </row>
    <row r="43" spans="1:16" x14ac:dyDescent="0.35">
      <c r="A43" s="362"/>
      <c r="B43" s="362"/>
      <c r="C43" s="6" t="s">
        <v>1623</v>
      </c>
      <c r="D43" s="6" t="s">
        <v>1941</v>
      </c>
      <c r="E43" s="6" t="s">
        <v>1977</v>
      </c>
      <c r="F43" s="6" t="s">
        <v>1978</v>
      </c>
      <c r="G43" s="6" t="s">
        <v>1982</v>
      </c>
      <c r="H43" s="97">
        <v>6</v>
      </c>
      <c r="I43" s="97">
        <v>6</v>
      </c>
      <c r="J43" s="6">
        <v>8</v>
      </c>
      <c r="K43" s="6">
        <v>9</v>
      </c>
      <c r="L43" s="136">
        <v>7</v>
      </c>
      <c r="M43" s="135">
        <v>10</v>
      </c>
      <c r="N43" s="135">
        <v>10</v>
      </c>
      <c r="O43" s="135">
        <v>11</v>
      </c>
      <c r="P43" s="218">
        <f t="shared" si="0"/>
        <v>67</v>
      </c>
    </row>
    <row r="44" spans="1:16" x14ac:dyDescent="0.35">
      <c r="A44" s="362"/>
      <c r="B44" s="362"/>
      <c r="C44" s="6" t="s">
        <v>1623</v>
      </c>
      <c r="D44" s="6" t="s">
        <v>1941</v>
      </c>
      <c r="E44" s="6" t="s">
        <v>1977</v>
      </c>
      <c r="F44" s="6" t="s">
        <v>1978</v>
      </c>
      <c r="G44" s="6" t="s">
        <v>1983</v>
      </c>
      <c r="H44" s="97">
        <v>4</v>
      </c>
      <c r="I44" s="97">
        <v>4</v>
      </c>
      <c r="J44" s="6">
        <v>12</v>
      </c>
      <c r="K44" s="6">
        <v>5</v>
      </c>
      <c r="L44" s="136">
        <v>10</v>
      </c>
      <c r="M44" s="135">
        <v>19</v>
      </c>
      <c r="N44" s="135">
        <v>7</v>
      </c>
      <c r="O44" s="135">
        <v>9</v>
      </c>
      <c r="P44" s="218">
        <f t="shared" si="0"/>
        <v>70</v>
      </c>
    </row>
    <row r="45" spans="1:16" x14ac:dyDescent="0.35">
      <c r="A45" s="362"/>
      <c r="B45" s="362"/>
      <c r="C45" s="6" t="s">
        <v>1623</v>
      </c>
      <c r="D45" s="6" t="s">
        <v>1941</v>
      </c>
      <c r="E45" s="6" t="s">
        <v>1977</v>
      </c>
      <c r="F45" s="6" t="s">
        <v>1978</v>
      </c>
      <c r="G45" s="6" t="s">
        <v>1984</v>
      </c>
      <c r="H45" s="97">
        <v>4</v>
      </c>
      <c r="I45" s="97">
        <v>1</v>
      </c>
      <c r="J45" s="6">
        <v>4</v>
      </c>
      <c r="K45" s="6">
        <v>2</v>
      </c>
      <c r="L45" s="136">
        <v>11</v>
      </c>
      <c r="M45" s="135">
        <v>9</v>
      </c>
      <c r="N45" s="135">
        <v>19</v>
      </c>
      <c r="O45" s="135">
        <v>22</v>
      </c>
      <c r="P45" s="218">
        <f t="shared" si="0"/>
        <v>72</v>
      </c>
    </row>
    <row r="46" spans="1:16" x14ac:dyDescent="0.35">
      <c r="A46" s="362"/>
      <c r="B46" s="362"/>
      <c r="C46" s="6" t="s">
        <v>1623</v>
      </c>
      <c r="D46" s="6" t="s">
        <v>1941</v>
      </c>
      <c r="E46" s="6" t="s">
        <v>1977</v>
      </c>
      <c r="F46" s="6" t="s">
        <v>1985</v>
      </c>
      <c r="G46" s="6" t="s">
        <v>1986</v>
      </c>
      <c r="H46" s="97">
        <v>3</v>
      </c>
      <c r="I46" s="97">
        <v>3</v>
      </c>
      <c r="J46" s="6">
        <v>11</v>
      </c>
      <c r="K46" s="6">
        <v>9</v>
      </c>
      <c r="L46" s="136">
        <v>8</v>
      </c>
      <c r="M46" s="135">
        <v>10</v>
      </c>
      <c r="N46" s="135">
        <v>5</v>
      </c>
      <c r="O46" s="135">
        <v>7</v>
      </c>
      <c r="P46" s="218">
        <f t="shared" si="0"/>
        <v>56</v>
      </c>
    </row>
    <row r="47" spans="1:16" x14ac:dyDescent="0.35">
      <c r="A47" s="362"/>
      <c r="B47" s="362"/>
      <c r="C47" s="6" t="s">
        <v>1623</v>
      </c>
      <c r="D47" s="6" t="s">
        <v>1941</v>
      </c>
      <c r="E47" s="6" t="s">
        <v>1977</v>
      </c>
      <c r="F47" s="6" t="s">
        <v>1985</v>
      </c>
      <c r="G47" s="6" t="s">
        <v>1987</v>
      </c>
      <c r="H47" s="97">
        <v>5</v>
      </c>
      <c r="I47" s="97">
        <v>5</v>
      </c>
      <c r="J47" s="6">
        <v>10</v>
      </c>
      <c r="K47" s="6">
        <v>11</v>
      </c>
      <c r="L47" s="136">
        <v>9</v>
      </c>
      <c r="M47" s="135">
        <v>9</v>
      </c>
      <c r="N47" s="135">
        <v>10</v>
      </c>
      <c r="O47" s="135">
        <v>8</v>
      </c>
      <c r="P47" s="218">
        <f t="shared" si="0"/>
        <v>67</v>
      </c>
    </row>
    <row r="48" spans="1:16" x14ac:dyDescent="0.35">
      <c r="A48" s="362"/>
      <c r="B48" s="362"/>
      <c r="C48" s="6" t="s">
        <v>1623</v>
      </c>
      <c r="D48" s="6" t="s">
        <v>1941</v>
      </c>
      <c r="E48" s="6" t="s">
        <v>1977</v>
      </c>
      <c r="F48" s="6" t="s">
        <v>1985</v>
      </c>
      <c r="G48" s="6" t="s">
        <v>1988</v>
      </c>
      <c r="H48" s="97">
        <v>4</v>
      </c>
      <c r="I48" s="97">
        <v>4</v>
      </c>
      <c r="J48" s="6">
        <v>6</v>
      </c>
      <c r="K48" s="6">
        <v>3</v>
      </c>
      <c r="L48" s="136">
        <v>19</v>
      </c>
      <c r="M48" s="135">
        <v>21</v>
      </c>
      <c r="N48" s="135">
        <v>18</v>
      </c>
      <c r="O48" s="135">
        <v>15</v>
      </c>
      <c r="P48" s="218">
        <f t="shared" si="0"/>
        <v>90</v>
      </c>
    </row>
    <row r="49" spans="1:16" x14ac:dyDescent="0.35">
      <c r="A49" s="362"/>
      <c r="B49" s="362"/>
      <c r="C49" s="6" t="s">
        <v>1623</v>
      </c>
      <c r="D49" s="6" t="s">
        <v>1941</v>
      </c>
      <c r="E49" s="6" t="s">
        <v>1977</v>
      </c>
      <c r="F49" s="6" t="s">
        <v>1985</v>
      </c>
      <c r="G49" s="6" t="s">
        <v>1989</v>
      </c>
      <c r="H49" s="97">
        <v>2</v>
      </c>
      <c r="I49" s="97">
        <v>3</v>
      </c>
      <c r="J49" s="6">
        <v>27</v>
      </c>
      <c r="K49" s="6">
        <v>23</v>
      </c>
      <c r="L49" s="136">
        <v>4</v>
      </c>
      <c r="M49" s="135">
        <v>6</v>
      </c>
      <c r="N49" s="135">
        <v>7</v>
      </c>
      <c r="O49" s="135">
        <v>11</v>
      </c>
      <c r="P49" s="218">
        <f t="shared" si="0"/>
        <v>83</v>
      </c>
    </row>
    <row r="50" spans="1:16" x14ac:dyDescent="0.35">
      <c r="A50" s="362"/>
      <c r="B50" s="362"/>
      <c r="C50" s="6" t="s">
        <v>1623</v>
      </c>
      <c r="D50" s="6" t="s">
        <v>1941</v>
      </c>
      <c r="E50" s="6" t="s">
        <v>1977</v>
      </c>
      <c r="F50" s="6" t="s">
        <v>1985</v>
      </c>
      <c r="G50" s="6" t="s">
        <v>1990</v>
      </c>
      <c r="H50" s="97">
        <v>3</v>
      </c>
      <c r="I50" s="97">
        <v>4</v>
      </c>
      <c r="J50" s="6">
        <v>14</v>
      </c>
      <c r="K50" s="6">
        <v>12</v>
      </c>
      <c r="L50" s="136">
        <v>9</v>
      </c>
      <c r="M50" s="135">
        <v>7</v>
      </c>
      <c r="N50" s="135">
        <v>6</v>
      </c>
      <c r="O50" s="135">
        <v>8</v>
      </c>
      <c r="P50" s="218">
        <f t="shared" si="0"/>
        <v>63</v>
      </c>
    </row>
    <row r="51" spans="1:16" x14ac:dyDescent="0.35">
      <c r="A51" s="362"/>
      <c r="B51" s="362"/>
      <c r="C51" s="6" t="s">
        <v>1623</v>
      </c>
      <c r="D51" s="6" t="s">
        <v>1941</v>
      </c>
      <c r="E51" s="6" t="s">
        <v>1977</v>
      </c>
      <c r="F51" s="6" t="s">
        <v>1985</v>
      </c>
      <c r="G51" s="6" t="s">
        <v>1991</v>
      </c>
      <c r="H51" s="97">
        <v>5</v>
      </c>
      <c r="I51" s="97">
        <v>5</v>
      </c>
      <c r="J51" s="6">
        <v>18</v>
      </c>
      <c r="K51" s="6">
        <v>15</v>
      </c>
      <c r="L51" s="136">
        <v>4</v>
      </c>
      <c r="M51" s="135">
        <v>6</v>
      </c>
      <c r="N51" s="135">
        <v>1</v>
      </c>
      <c r="O51" s="135">
        <v>1</v>
      </c>
      <c r="P51" s="218">
        <f t="shared" si="0"/>
        <v>55</v>
      </c>
    </row>
    <row r="52" spans="1:16" x14ac:dyDescent="0.35">
      <c r="A52" s="362"/>
      <c r="B52" s="362"/>
      <c r="C52" s="6" t="s">
        <v>1623</v>
      </c>
      <c r="D52" s="6" t="s">
        <v>1941</v>
      </c>
      <c r="E52" s="6" t="s">
        <v>1977</v>
      </c>
      <c r="F52" s="6" t="s">
        <v>1985</v>
      </c>
      <c r="G52" s="6" t="s">
        <v>1992</v>
      </c>
      <c r="H52" s="97">
        <v>5</v>
      </c>
      <c r="I52" s="97">
        <v>5</v>
      </c>
      <c r="J52" s="6">
        <v>19</v>
      </c>
      <c r="K52" s="6">
        <v>21</v>
      </c>
      <c r="L52" s="136">
        <v>9</v>
      </c>
      <c r="M52" s="135">
        <v>7</v>
      </c>
      <c r="N52" s="135">
        <v>11</v>
      </c>
      <c r="O52" s="135">
        <v>12</v>
      </c>
      <c r="P52" s="218">
        <f t="shared" si="0"/>
        <v>89</v>
      </c>
    </row>
    <row r="53" spans="1:16" x14ac:dyDescent="0.35">
      <c r="A53" s="362"/>
      <c r="B53" s="362"/>
      <c r="C53" s="6" t="s">
        <v>1623</v>
      </c>
      <c r="D53" s="6" t="s">
        <v>1941</v>
      </c>
      <c r="E53" s="6" t="s">
        <v>1977</v>
      </c>
      <c r="F53" s="6" t="s">
        <v>1993</v>
      </c>
      <c r="G53" s="6" t="s">
        <v>1994</v>
      </c>
      <c r="H53" s="97">
        <v>4</v>
      </c>
      <c r="I53" s="97">
        <v>5</v>
      </c>
      <c r="J53" s="6">
        <v>9</v>
      </c>
      <c r="K53" s="6">
        <v>11</v>
      </c>
      <c r="L53" s="136">
        <v>4</v>
      </c>
      <c r="M53" s="135">
        <v>8</v>
      </c>
      <c r="N53" s="135">
        <v>13</v>
      </c>
      <c r="O53" s="135">
        <v>11</v>
      </c>
      <c r="P53" s="218">
        <f t="shared" si="0"/>
        <v>65</v>
      </c>
    </row>
    <row r="54" spans="1:16" x14ac:dyDescent="0.35">
      <c r="A54" s="362"/>
      <c r="B54" s="362"/>
      <c r="C54" s="6" t="s">
        <v>1623</v>
      </c>
      <c r="D54" s="6" t="s">
        <v>1941</v>
      </c>
      <c r="E54" s="6" t="s">
        <v>1977</v>
      </c>
      <c r="F54" s="6" t="s">
        <v>1993</v>
      </c>
      <c r="G54" s="6" t="s">
        <v>1995</v>
      </c>
      <c r="H54" s="97">
        <v>5</v>
      </c>
      <c r="I54" s="97">
        <v>6</v>
      </c>
      <c r="J54" s="6">
        <v>30</v>
      </c>
      <c r="K54" s="6">
        <v>29</v>
      </c>
      <c r="L54" s="136">
        <v>3</v>
      </c>
      <c r="M54" s="135">
        <v>5</v>
      </c>
      <c r="N54" s="135">
        <v>13</v>
      </c>
      <c r="O54" s="135">
        <v>15</v>
      </c>
      <c r="P54" s="218">
        <f t="shared" si="0"/>
        <v>106</v>
      </c>
    </row>
    <row r="55" spans="1:16" x14ac:dyDescent="0.35">
      <c r="A55" s="362"/>
      <c r="B55" s="362"/>
      <c r="C55" s="6" t="s">
        <v>1623</v>
      </c>
      <c r="D55" s="6" t="s">
        <v>1941</v>
      </c>
      <c r="E55" s="6" t="s">
        <v>1977</v>
      </c>
      <c r="F55" s="6" t="s">
        <v>1993</v>
      </c>
      <c r="G55" s="6" t="s">
        <v>1996</v>
      </c>
      <c r="H55" s="97">
        <v>3</v>
      </c>
      <c r="I55" s="97">
        <v>3</v>
      </c>
      <c r="J55" s="6">
        <v>7</v>
      </c>
      <c r="K55" s="6">
        <v>4</v>
      </c>
      <c r="L55" s="136">
        <v>10</v>
      </c>
      <c r="M55" s="135">
        <v>7</v>
      </c>
      <c r="N55" s="135">
        <v>10</v>
      </c>
      <c r="O55" s="135">
        <v>8</v>
      </c>
      <c r="P55" s="218">
        <f t="shared" si="0"/>
        <v>52</v>
      </c>
    </row>
    <row r="56" spans="1:16" x14ac:dyDescent="0.35">
      <c r="A56" s="362"/>
      <c r="B56" s="362"/>
      <c r="C56" s="6" t="s">
        <v>1623</v>
      </c>
      <c r="D56" s="6" t="s">
        <v>1941</v>
      </c>
      <c r="E56" s="6" t="s">
        <v>1977</v>
      </c>
      <c r="F56" s="6" t="s">
        <v>1993</v>
      </c>
      <c r="G56" s="6" t="s">
        <v>1997</v>
      </c>
      <c r="H56" s="97">
        <v>4</v>
      </c>
      <c r="I56" s="97">
        <v>4</v>
      </c>
      <c r="J56" s="6">
        <v>18</v>
      </c>
      <c r="K56" s="6">
        <v>20</v>
      </c>
      <c r="L56" s="136">
        <v>5</v>
      </c>
      <c r="M56" s="135">
        <v>4</v>
      </c>
      <c r="N56" s="135">
        <v>10</v>
      </c>
      <c r="O56" s="135">
        <v>14</v>
      </c>
      <c r="P56" s="218">
        <f t="shared" si="0"/>
        <v>79</v>
      </c>
    </row>
    <row r="57" spans="1:16" x14ac:dyDescent="0.35">
      <c r="A57" s="362"/>
      <c r="B57" s="362"/>
      <c r="C57" s="6" t="s">
        <v>1623</v>
      </c>
      <c r="D57" s="6" t="s">
        <v>1941</v>
      </c>
      <c r="E57" s="6" t="s">
        <v>1977</v>
      </c>
      <c r="F57" s="6" t="s">
        <v>1993</v>
      </c>
      <c r="G57" s="6" t="s">
        <v>1993</v>
      </c>
      <c r="H57" s="97">
        <v>2</v>
      </c>
      <c r="I57" s="97">
        <v>2</v>
      </c>
      <c r="J57" s="6">
        <v>19</v>
      </c>
      <c r="K57" s="6">
        <v>20</v>
      </c>
      <c r="L57" s="136">
        <v>7</v>
      </c>
      <c r="M57" s="135">
        <v>8</v>
      </c>
      <c r="N57" s="135">
        <v>9</v>
      </c>
      <c r="O57" s="135">
        <v>11</v>
      </c>
      <c r="P57" s="218">
        <f t="shared" si="0"/>
        <v>78</v>
      </c>
    </row>
    <row r="58" spans="1:16" x14ac:dyDescent="0.35">
      <c r="A58" s="362"/>
      <c r="B58" s="362"/>
      <c r="C58" s="6" t="s">
        <v>1623</v>
      </c>
      <c r="D58" s="6" t="s">
        <v>1941</v>
      </c>
      <c r="E58" s="6" t="s">
        <v>1977</v>
      </c>
      <c r="F58" s="6" t="s">
        <v>1993</v>
      </c>
      <c r="G58" s="6" t="s">
        <v>1998</v>
      </c>
      <c r="H58" s="97">
        <v>3</v>
      </c>
      <c r="I58" s="97">
        <v>3</v>
      </c>
      <c r="J58" s="6">
        <v>19</v>
      </c>
      <c r="K58" s="6">
        <v>23</v>
      </c>
      <c r="L58" s="136">
        <v>5</v>
      </c>
      <c r="M58" s="135">
        <v>4</v>
      </c>
      <c r="N58" s="135">
        <v>11</v>
      </c>
      <c r="O58" s="135">
        <v>7</v>
      </c>
      <c r="P58" s="218">
        <f t="shared" si="0"/>
        <v>75</v>
      </c>
    </row>
    <row r="59" spans="1:16" x14ac:dyDescent="0.35">
      <c r="A59" s="362"/>
      <c r="B59" s="362"/>
      <c r="C59" s="6" t="s">
        <v>1623</v>
      </c>
      <c r="D59" s="6" t="s">
        <v>1941</v>
      </c>
      <c r="E59" s="6" t="s">
        <v>1977</v>
      </c>
      <c r="F59" s="6" t="s">
        <v>1999</v>
      </c>
      <c r="G59" s="6" t="s">
        <v>2000</v>
      </c>
      <c r="H59" s="97">
        <v>10</v>
      </c>
      <c r="I59" s="97">
        <v>8</v>
      </c>
      <c r="J59" s="6">
        <v>14</v>
      </c>
      <c r="K59" s="6">
        <v>12</v>
      </c>
      <c r="L59" s="136">
        <v>3</v>
      </c>
      <c r="M59" s="135">
        <v>6</v>
      </c>
      <c r="N59" s="135">
        <v>3</v>
      </c>
      <c r="O59" s="135">
        <v>4</v>
      </c>
      <c r="P59" s="218">
        <f t="shared" si="0"/>
        <v>60</v>
      </c>
    </row>
    <row r="60" spans="1:16" x14ac:dyDescent="0.35">
      <c r="A60" s="362"/>
      <c r="B60" s="362"/>
      <c r="C60" s="6" t="s">
        <v>1623</v>
      </c>
      <c r="D60" s="6" t="s">
        <v>1941</v>
      </c>
      <c r="E60" s="6" t="s">
        <v>1977</v>
      </c>
      <c r="F60" s="6" t="s">
        <v>1999</v>
      </c>
      <c r="G60" s="6" t="s">
        <v>2001</v>
      </c>
      <c r="H60" s="97">
        <v>4</v>
      </c>
      <c r="I60" s="97">
        <v>4</v>
      </c>
      <c r="J60" s="6">
        <v>4</v>
      </c>
      <c r="K60" s="6">
        <v>2</v>
      </c>
      <c r="L60" s="136">
        <v>7</v>
      </c>
      <c r="M60" s="135">
        <v>9</v>
      </c>
      <c r="N60" s="135">
        <v>4</v>
      </c>
      <c r="O60" s="135">
        <v>6</v>
      </c>
      <c r="P60" s="218">
        <f t="shared" si="0"/>
        <v>40</v>
      </c>
    </row>
    <row r="61" spans="1:16" x14ac:dyDescent="0.35">
      <c r="A61" s="362"/>
      <c r="B61" s="362"/>
      <c r="C61" s="6" t="s">
        <v>1623</v>
      </c>
      <c r="D61" s="6" t="s">
        <v>1941</v>
      </c>
      <c r="E61" s="6" t="s">
        <v>1977</v>
      </c>
      <c r="F61" s="6" t="s">
        <v>1999</v>
      </c>
      <c r="G61" s="6" t="s">
        <v>2002</v>
      </c>
      <c r="H61" s="97">
        <v>3</v>
      </c>
      <c r="I61" s="97">
        <v>3</v>
      </c>
      <c r="J61" s="6">
        <v>8</v>
      </c>
      <c r="K61" s="6">
        <v>10</v>
      </c>
      <c r="L61" s="136">
        <v>2</v>
      </c>
      <c r="M61" s="135">
        <v>1</v>
      </c>
      <c r="N61" s="135">
        <v>3</v>
      </c>
      <c r="O61" s="135">
        <v>5</v>
      </c>
      <c r="P61" s="218">
        <f t="shared" si="0"/>
        <v>35</v>
      </c>
    </row>
    <row r="62" spans="1:16" x14ac:dyDescent="0.35">
      <c r="A62" s="362"/>
      <c r="B62" s="362"/>
      <c r="C62" s="6" t="s">
        <v>1623</v>
      </c>
      <c r="D62" s="6" t="s">
        <v>1941</v>
      </c>
      <c r="E62" s="6" t="s">
        <v>1977</v>
      </c>
      <c r="F62" s="6" t="s">
        <v>1999</v>
      </c>
      <c r="G62" s="6" t="s">
        <v>2003</v>
      </c>
      <c r="H62" s="97">
        <v>6</v>
      </c>
      <c r="I62" s="97">
        <v>7</v>
      </c>
      <c r="J62" s="6">
        <v>19</v>
      </c>
      <c r="K62" s="6">
        <v>22</v>
      </c>
      <c r="L62" s="136">
        <v>5</v>
      </c>
      <c r="M62" s="135">
        <v>6</v>
      </c>
      <c r="N62" s="135">
        <v>11</v>
      </c>
      <c r="O62" s="135">
        <v>8</v>
      </c>
      <c r="P62" s="218">
        <f t="shared" si="0"/>
        <v>84</v>
      </c>
    </row>
    <row r="63" spans="1:16" x14ac:dyDescent="0.35">
      <c r="A63" s="362"/>
      <c r="B63" s="362"/>
      <c r="C63" s="6" t="s">
        <v>1623</v>
      </c>
      <c r="D63" s="6" t="s">
        <v>1941</v>
      </c>
      <c r="E63" s="6" t="s">
        <v>1977</v>
      </c>
      <c r="F63" s="6" t="s">
        <v>1999</v>
      </c>
      <c r="G63" s="6" t="s">
        <v>2004</v>
      </c>
      <c r="H63" s="97">
        <v>2</v>
      </c>
      <c r="I63" s="97">
        <v>2</v>
      </c>
      <c r="J63" s="6">
        <v>10</v>
      </c>
      <c r="K63" s="6">
        <v>9</v>
      </c>
      <c r="L63" s="136">
        <v>8</v>
      </c>
      <c r="M63" s="135">
        <v>10</v>
      </c>
      <c r="N63" s="135">
        <v>11</v>
      </c>
      <c r="O63" s="135">
        <v>13</v>
      </c>
      <c r="P63" s="218">
        <f t="shared" si="0"/>
        <v>65</v>
      </c>
    </row>
    <row r="64" spans="1:16" x14ac:dyDescent="0.35">
      <c r="A64" s="362"/>
      <c r="B64" s="362"/>
      <c r="C64" s="6" t="s">
        <v>1623</v>
      </c>
      <c r="D64" s="6" t="s">
        <v>1941</v>
      </c>
      <c r="E64" s="6" t="s">
        <v>1977</v>
      </c>
      <c r="F64" s="6" t="s">
        <v>1999</v>
      </c>
      <c r="G64" s="6" t="s">
        <v>2005</v>
      </c>
      <c r="H64" s="97">
        <v>2</v>
      </c>
      <c r="I64" s="97">
        <v>3</v>
      </c>
      <c r="J64" s="6">
        <v>7</v>
      </c>
      <c r="K64" s="6">
        <v>5</v>
      </c>
      <c r="L64" s="136">
        <v>5</v>
      </c>
      <c r="M64" s="135">
        <v>5</v>
      </c>
      <c r="N64" s="135">
        <v>9</v>
      </c>
      <c r="O64" s="135">
        <v>10</v>
      </c>
      <c r="P64" s="218">
        <f t="shared" si="0"/>
        <v>46</v>
      </c>
    </row>
    <row r="65" spans="1:16" x14ac:dyDescent="0.35">
      <c r="A65" s="362"/>
      <c r="B65" s="362"/>
      <c r="C65" s="6" t="s">
        <v>1623</v>
      </c>
      <c r="D65" s="6" t="s">
        <v>1941</v>
      </c>
      <c r="E65" s="6" t="s">
        <v>1977</v>
      </c>
      <c r="F65" s="6" t="s">
        <v>1999</v>
      </c>
      <c r="G65" s="6" t="s">
        <v>2006</v>
      </c>
      <c r="H65" s="97">
        <v>4</v>
      </c>
      <c r="I65" s="97">
        <v>5</v>
      </c>
      <c r="J65" s="6">
        <v>9</v>
      </c>
      <c r="K65" s="6">
        <v>7</v>
      </c>
      <c r="L65" s="136">
        <v>5</v>
      </c>
      <c r="M65" s="135">
        <v>4</v>
      </c>
      <c r="N65" s="135">
        <v>4</v>
      </c>
      <c r="O65" s="135">
        <v>6</v>
      </c>
      <c r="P65" s="218">
        <f t="shared" si="0"/>
        <v>44</v>
      </c>
    </row>
    <row r="66" spans="1:16" x14ac:dyDescent="0.35">
      <c r="A66" s="362"/>
      <c r="B66" s="362"/>
      <c r="C66" s="6" t="s">
        <v>1623</v>
      </c>
      <c r="D66" s="6" t="s">
        <v>1941</v>
      </c>
      <c r="E66" s="6" t="s">
        <v>1977</v>
      </c>
      <c r="F66" s="6" t="s">
        <v>1999</v>
      </c>
      <c r="G66" s="6" t="s">
        <v>2007</v>
      </c>
      <c r="H66" s="97">
        <v>5</v>
      </c>
      <c r="I66" s="97">
        <v>5</v>
      </c>
      <c r="J66" s="6">
        <v>18</v>
      </c>
      <c r="K66" s="6">
        <v>15</v>
      </c>
      <c r="L66" s="136">
        <v>5</v>
      </c>
      <c r="M66" s="135">
        <v>7</v>
      </c>
      <c r="N66" s="135">
        <v>3</v>
      </c>
      <c r="O66" s="135">
        <v>5</v>
      </c>
      <c r="P66" s="218">
        <f t="shared" si="0"/>
        <v>63</v>
      </c>
    </row>
    <row r="67" spans="1:16" x14ac:dyDescent="0.35">
      <c r="A67" s="362"/>
      <c r="B67" s="362"/>
      <c r="C67" s="6" t="s">
        <v>1623</v>
      </c>
      <c r="D67" s="6" t="s">
        <v>1941</v>
      </c>
      <c r="E67" s="6" t="s">
        <v>1977</v>
      </c>
      <c r="F67" s="6" t="s">
        <v>417</v>
      </c>
      <c r="G67" s="6" t="s">
        <v>2008</v>
      </c>
      <c r="H67" s="97">
        <v>2</v>
      </c>
      <c r="I67" s="97">
        <v>3</v>
      </c>
      <c r="J67" s="6">
        <v>16</v>
      </c>
      <c r="K67" s="6">
        <v>10</v>
      </c>
      <c r="L67" s="136">
        <v>3</v>
      </c>
      <c r="M67" s="135">
        <v>5</v>
      </c>
      <c r="N67" s="135">
        <v>9</v>
      </c>
      <c r="O67" s="135">
        <v>7</v>
      </c>
      <c r="P67" s="218">
        <f t="shared" si="0"/>
        <v>55</v>
      </c>
    </row>
    <row r="68" spans="1:16" x14ac:dyDescent="0.35">
      <c r="A68" s="362"/>
      <c r="B68" s="362"/>
      <c r="C68" s="6" t="s">
        <v>1623</v>
      </c>
      <c r="D68" s="6" t="s">
        <v>1941</v>
      </c>
      <c r="E68" s="6" t="s">
        <v>1977</v>
      </c>
      <c r="F68" s="6" t="s">
        <v>417</v>
      </c>
      <c r="G68" s="6" t="s">
        <v>417</v>
      </c>
      <c r="H68" s="97">
        <v>3</v>
      </c>
      <c r="I68" s="97">
        <v>3</v>
      </c>
      <c r="J68" s="6">
        <v>6</v>
      </c>
      <c r="K68" s="6">
        <v>10</v>
      </c>
      <c r="L68" s="136">
        <v>4</v>
      </c>
      <c r="M68" s="135">
        <v>5</v>
      </c>
      <c r="N68" s="135">
        <v>4</v>
      </c>
      <c r="O68" s="135">
        <v>3</v>
      </c>
      <c r="P68" s="218">
        <f t="shared" si="0"/>
        <v>38</v>
      </c>
    </row>
    <row r="69" spans="1:16" x14ac:dyDescent="0.35">
      <c r="A69" s="362"/>
      <c r="B69" s="362"/>
      <c r="C69" s="6" t="s">
        <v>1623</v>
      </c>
      <c r="D69" s="6" t="s">
        <v>1941</v>
      </c>
      <c r="E69" s="6" t="s">
        <v>1977</v>
      </c>
      <c r="F69" s="6" t="s">
        <v>417</v>
      </c>
      <c r="G69" s="6" t="s">
        <v>2009</v>
      </c>
      <c r="H69" s="97">
        <v>2</v>
      </c>
      <c r="I69" s="97">
        <v>2</v>
      </c>
      <c r="J69" s="6">
        <v>6</v>
      </c>
      <c r="K69" s="6">
        <v>4</v>
      </c>
      <c r="L69" s="136">
        <v>4</v>
      </c>
      <c r="M69" s="135">
        <v>6</v>
      </c>
      <c r="N69" s="135">
        <v>7</v>
      </c>
      <c r="O69" s="135">
        <v>5</v>
      </c>
      <c r="P69" s="218">
        <f t="shared" ref="P69:P132" si="2">H69+I69+J69+K69+L69+M69+N69+O69</f>
        <v>36</v>
      </c>
    </row>
    <row r="70" spans="1:16" x14ac:dyDescent="0.35">
      <c r="A70" s="362"/>
      <c r="B70" s="362"/>
      <c r="C70" s="6" t="s">
        <v>1623</v>
      </c>
      <c r="D70" s="6" t="s">
        <v>1941</v>
      </c>
      <c r="E70" s="6" t="s">
        <v>1977</v>
      </c>
      <c r="F70" s="6" t="s">
        <v>417</v>
      </c>
      <c r="G70" s="6" t="s">
        <v>2010</v>
      </c>
      <c r="H70" s="97">
        <v>5</v>
      </c>
      <c r="I70" s="97">
        <v>6</v>
      </c>
      <c r="J70" s="6">
        <v>11</v>
      </c>
      <c r="K70" s="6">
        <v>11</v>
      </c>
      <c r="L70" s="136">
        <v>8</v>
      </c>
      <c r="M70" s="135">
        <v>6</v>
      </c>
      <c r="N70" s="135">
        <v>2</v>
      </c>
      <c r="O70" s="135">
        <v>3</v>
      </c>
      <c r="P70" s="218">
        <f t="shared" si="2"/>
        <v>52</v>
      </c>
    </row>
    <row r="71" spans="1:16" x14ac:dyDescent="0.35">
      <c r="A71" s="362"/>
      <c r="B71" s="362"/>
      <c r="C71" s="6" t="s">
        <v>1623</v>
      </c>
      <c r="D71" s="6" t="s">
        <v>1941</v>
      </c>
      <c r="E71" s="6" t="s">
        <v>1977</v>
      </c>
      <c r="F71" s="6" t="s">
        <v>417</v>
      </c>
      <c r="G71" s="6" t="s">
        <v>2011</v>
      </c>
      <c r="H71" s="97">
        <v>0</v>
      </c>
      <c r="I71" s="97">
        <v>1</v>
      </c>
      <c r="J71" s="6">
        <v>8</v>
      </c>
      <c r="K71" s="6">
        <v>14</v>
      </c>
      <c r="L71" s="136">
        <v>4</v>
      </c>
      <c r="M71" s="135">
        <v>5</v>
      </c>
      <c r="N71" s="135">
        <v>4</v>
      </c>
      <c r="O71" s="135">
        <v>6</v>
      </c>
      <c r="P71" s="218">
        <f t="shared" si="2"/>
        <v>42</v>
      </c>
    </row>
    <row r="72" spans="1:16" x14ac:dyDescent="0.35">
      <c r="A72" s="362"/>
      <c r="B72" s="362"/>
      <c r="C72" s="6" t="s">
        <v>1623</v>
      </c>
      <c r="D72" s="6" t="s">
        <v>1941</v>
      </c>
      <c r="E72" s="6" t="s">
        <v>1977</v>
      </c>
      <c r="F72" s="6" t="s">
        <v>417</v>
      </c>
      <c r="G72" s="6" t="s">
        <v>2012</v>
      </c>
      <c r="H72" s="97">
        <v>8</v>
      </c>
      <c r="I72" s="97">
        <v>9</v>
      </c>
      <c r="J72" s="6">
        <v>8</v>
      </c>
      <c r="K72" s="6">
        <v>13</v>
      </c>
      <c r="L72" s="136">
        <v>6</v>
      </c>
      <c r="M72" s="135">
        <v>7</v>
      </c>
      <c r="N72" s="135">
        <v>9</v>
      </c>
      <c r="O72" s="135">
        <v>8</v>
      </c>
      <c r="P72" s="218">
        <f t="shared" si="2"/>
        <v>68</v>
      </c>
    </row>
    <row r="73" spans="1:16" x14ac:dyDescent="0.35">
      <c r="A73" s="362"/>
      <c r="B73" s="362"/>
      <c r="C73" s="6" t="s">
        <v>1623</v>
      </c>
      <c r="D73" s="6" t="s">
        <v>1941</v>
      </c>
      <c r="E73" s="6" t="s">
        <v>1977</v>
      </c>
      <c r="F73" s="6" t="s">
        <v>417</v>
      </c>
      <c r="G73" s="6" t="s">
        <v>2013</v>
      </c>
      <c r="H73" s="97">
        <v>9</v>
      </c>
      <c r="I73" s="97">
        <v>9</v>
      </c>
      <c r="J73" s="6">
        <v>11</v>
      </c>
      <c r="K73" s="6">
        <v>8</v>
      </c>
      <c r="L73" s="136">
        <v>8</v>
      </c>
      <c r="M73" s="135">
        <v>10</v>
      </c>
      <c r="N73" s="135">
        <v>4</v>
      </c>
      <c r="O73" s="135">
        <v>6</v>
      </c>
      <c r="P73" s="218">
        <f t="shared" si="2"/>
        <v>65</v>
      </c>
    </row>
    <row r="74" spans="1:16" x14ac:dyDescent="0.35">
      <c r="A74" s="362"/>
      <c r="B74" s="362"/>
      <c r="C74" s="6" t="s">
        <v>1623</v>
      </c>
      <c r="D74" s="6" t="s">
        <v>1941</v>
      </c>
      <c r="E74" s="6" t="s">
        <v>1977</v>
      </c>
      <c r="F74" s="6" t="s">
        <v>417</v>
      </c>
      <c r="G74" s="6" t="s">
        <v>2014</v>
      </c>
      <c r="H74" s="97">
        <v>3</v>
      </c>
      <c r="I74" s="97">
        <v>4</v>
      </c>
      <c r="J74" s="6">
        <v>8</v>
      </c>
      <c r="K74" s="6">
        <v>7</v>
      </c>
      <c r="L74" s="136">
        <v>5</v>
      </c>
      <c r="M74" s="135">
        <v>3</v>
      </c>
      <c r="N74" s="135">
        <v>9</v>
      </c>
      <c r="O74" s="135">
        <v>11</v>
      </c>
      <c r="P74" s="218">
        <f t="shared" si="2"/>
        <v>50</v>
      </c>
    </row>
    <row r="75" spans="1:16" x14ac:dyDescent="0.35">
      <c r="A75" s="362"/>
      <c r="B75" s="362"/>
      <c r="C75" s="6" t="s">
        <v>1623</v>
      </c>
      <c r="D75" s="6" t="s">
        <v>1941</v>
      </c>
      <c r="E75" s="6" t="s">
        <v>1977</v>
      </c>
      <c r="F75" s="6" t="s">
        <v>2000</v>
      </c>
      <c r="G75" s="6" t="s">
        <v>2015</v>
      </c>
      <c r="H75" s="97">
        <v>3</v>
      </c>
      <c r="I75" s="97">
        <v>3</v>
      </c>
      <c r="J75" s="6">
        <v>12</v>
      </c>
      <c r="K75" s="6">
        <v>11</v>
      </c>
      <c r="L75" s="136">
        <v>2</v>
      </c>
      <c r="M75" s="135">
        <v>2</v>
      </c>
      <c r="N75" s="135">
        <v>2</v>
      </c>
      <c r="O75" s="135">
        <v>4</v>
      </c>
      <c r="P75" s="218">
        <f t="shared" si="2"/>
        <v>39</v>
      </c>
    </row>
    <row r="76" spans="1:16" x14ac:dyDescent="0.35">
      <c r="A76" s="362"/>
      <c r="B76" s="362"/>
      <c r="C76" s="6" t="s">
        <v>1623</v>
      </c>
      <c r="D76" s="6" t="s">
        <v>1941</v>
      </c>
      <c r="E76" s="6" t="s">
        <v>1977</v>
      </c>
      <c r="F76" s="6" t="s">
        <v>2000</v>
      </c>
      <c r="G76" s="6" t="s">
        <v>2016</v>
      </c>
      <c r="H76" s="97">
        <v>8</v>
      </c>
      <c r="I76" s="97">
        <v>8</v>
      </c>
      <c r="J76" s="6">
        <v>34</v>
      </c>
      <c r="K76" s="6">
        <v>24</v>
      </c>
      <c r="L76" s="136">
        <v>10</v>
      </c>
      <c r="M76" s="135">
        <v>17</v>
      </c>
      <c r="N76" s="135">
        <v>11</v>
      </c>
      <c r="O76" s="135">
        <v>15</v>
      </c>
      <c r="P76" s="218">
        <f t="shared" si="2"/>
        <v>127</v>
      </c>
    </row>
    <row r="77" spans="1:16" x14ac:dyDescent="0.35">
      <c r="A77" s="362"/>
      <c r="B77" s="362"/>
      <c r="C77" s="6" t="s">
        <v>1623</v>
      </c>
      <c r="D77" s="6" t="s">
        <v>1941</v>
      </c>
      <c r="E77" s="6" t="s">
        <v>1977</v>
      </c>
      <c r="F77" s="6" t="s">
        <v>2000</v>
      </c>
      <c r="G77" s="6" t="s">
        <v>2017</v>
      </c>
      <c r="H77" s="97">
        <v>2</v>
      </c>
      <c r="I77" s="97">
        <v>3</v>
      </c>
      <c r="J77" s="6">
        <v>11</v>
      </c>
      <c r="K77" s="6">
        <v>10</v>
      </c>
      <c r="L77" s="136">
        <v>13</v>
      </c>
      <c r="M77" s="135">
        <v>10</v>
      </c>
      <c r="N77" s="135">
        <v>12</v>
      </c>
      <c r="O77" s="135">
        <v>14</v>
      </c>
      <c r="P77" s="218">
        <f t="shared" si="2"/>
        <v>75</v>
      </c>
    </row>
    <row r="78" spans="1:16" x14ac:dyDescent="0.35">
      <c r="A78" s="362"/>
      <c r="B78" s="362"/>
      <c r="C78" s="6" t="s">
        <v>1623</v>
      </c>
      <c r="D78" s="6" t="s">
        <v>1941</v>
      </c>
      <c r="E78" s="6" t="s">
        <v>1977</v>
      </c>
      <c r="F78" s="6" t="s">
        <v>2000</v>
      </c>
      <c r="G78" s="6" t="s">
        <v>2018</v>
      </c>
      <c r="H78" s="97">
        <v>4</v>
      </c>
      <c r="I78" s="97">
        <v>5</v>
      </c>
      <c r="J78" s="6">
        <v>11</v>
      </c>
      <c r="K78" s="6">
        <v>9</v>
      </c>
      <c r="L78" s="136">
        <v>3</v>
      </c>
      <c r="M78" s="135">
        <v>5</v>
      </c>
      <c r="N78" s="135">
        <v>3</v>
      </c>
      <c r="O78" s="135">
        <v>5</v>
      </c>
      <c r="P78" s="218">
        <f t="shared" si="2"/>
        <v>45</v>
      </c>
    </row>
    <row r="79" spans="1:16" x14ac:dyDescent="0.35">
      <c r="A79" s="362"/>
      <c r="B79" s="362"/>
      <c r="C79" s="6" t="s">
        <v>1623</v>
      </c>
      <c r="D79" s="6" t="s">
        <v>1941</v>
      </c>
      <c r="E79" s="6" t="s">
        <v>1977</v>
      </c>
      <c r="F79" s="6" t="s">
        <v>2000</v>
      </c>
      <c r="G79" s="6" t="s">
        <v>2019</v>
      </c>
      <c r="H79" s="97">
        <v>6</v>
      </c>
      <c r="I79" s="97">
        <v>7</v>
      </c>
      <c r="J79" s="6">
        <v>12</v>
      </c>
      <c r="K79" s="6">
        <v>16</v>
      </c>
      <c r="L79" s="136">
        <v>6</v>
      </c>
      <c r="M79" s="135">
        <v>8</v>
      </c>
      <c r="N79" s="135">
        <v>11</v>
      </c>
      <c r="O79" s="135">
        <v>13</v>
      </c>
      <c r="P79" s="218">
        <f t="shared" si="2"/>
        <v>79</v>
      </c>
    </row>
    <row r="80" spans="1:16" x14ac:dyDescent="0.35">
      <c r="A80" s="362"/>
      <c r="B80" s="362"/>
      <c r="C80" s="6" t="s">
        <v>1623</v>
      </c>
      <c r="D80" s="6" t="s">
        <v>1941</v>
      </c>
      <c r="E80" s="6" t="s">
        <v>1977</v>
      </c>
      <c r="F80" s="6" t="s">
        <v>2000</v>
      </c>
      <c r="G80" s="6" t="s">
        <v>2020</v>
      </c>
      <c r="H80" s="97">
        <v>3</v>
      </c>
      <c r="I80" s="97">
        <v>3</v>
      </c>
      <c r="J80" s="6">
        <v>9</v>
      </c>
      <c r="K80" s="6">
        <v>7</v>
      </c>
      <c r="L80" s="136">
        <v>10</v>
      </c>
      <c r="M80" s="135">
        <v>8</v>
      </c>
      <c r="N80" s="135">
        <v>5</v>
      </c>
      <c r="O80" s="135">
        <v>7</v>
      </c>
      <c r="P80" s="218">
        <f t="shared" si="2"/>
        <v>52</v>
      </c>
    </row>
    <row r="81" spans="1:16" x14ac:dyDescent="0.35">
      <c r="A81" s="362"/>
      <c r="B81" s="362"/>
      <c r="C81" s="6" t="s">
        <v>1623</v>
      </c>
      <c r="D81" s="6" t="s">
        <v>1941</v>
      </c>
      <c r="E81" s="6" t="s">
        <v>1977</v>
      </c>
      <c r="F81" s="6" t="s">
        <v>2000</v>
      </c>
      <c r="G81" s="6" t="s">
        <v>2021</v>
      </c>
      <c r="H81" s="97">
        <v>5</v>
      </c>
      <c r="I81" s="97">
        <v>5</v>
      </c>
      <c r="J81" s="6">
        <v>5</v>
      </c>
      <c r="K81" s="6">
        <v>5</v>
      </c>
      <c r="L81" s="136">
        <v>5</v>
      </c>
      <c r="M81" s="135">
        <v>7</v>
      </c>
      <c r="N81" s="135">
        <v>5</v>
      </c>
      <c r="O81" s="135">
        <v>4</v>
      </c>
      <c r="P81" s="218">
        <f t="shared" si="2"/>
        <v>41</v>
      </c>
    </row>
    <row r="82" spans="1:16" x14ac:dyDescent="0.35">
      <c r="A82" s="362"/>
      <c r="B82" s="362"/>
      <c r="C82" s="6" t="s">
        <v>1623</v>
      </c>
      <c r="D82" s="6" t="s">
        <v>1941</v>
      </c>
      <c r="E82" s="6" t="s">
        <v>1977</v>
      </c>
      <c r="F82" s="6" t="s">
        <v>2000</v>
      </c>
      <c r="G82" s="6" t="s">
        <v>2022</v>
      </c>
      <c r="H82" s="97">
        <v>0</v>
      </c>
      <c r="I82" s="97">
        <v>1</v>
      </c>
      <c r="J82" s="6">
        <v>15</v>
      </c>
      <c r="K82" s="6">
        <v>13</v>
      </c>
      <c r="L82" s="136">
        <v>4</v>
      </c>
      <c r="M82" s="135">
        <v>6</v>
      </c>
      <c r="N82" s="135">
        <v>4</v>
      </c>
      <c r="O82" s="135">
        <v>3</v>
      </c>
      <c r="P82" s="218">
        <f t="shared" si="2"/>
        <v>46</v>
      </c>
    </row>
    <row r="83" spans="1:16" x14ac:dyDescent="0.35">
      <c r="A83" s="362"/>
      <c r="B83" s="362"/>
      <c r="C83" s="140" t="s">
        <v>2</v>
      </c>
      <c r="D83" s="139"/>
      <c r="E83" s="139"/>
      <c r="F83" s="139"/>
      <c r="G83" s="139"/>
      <c r="H83" s="165">
        <f>SUM(H39:H82)</f>
        <v>181</v>
      </c>
      <c r="I83" s="165">
        <f t="shared" ref="I83:O83" si="3">SUM(I39:I82)</f>
        <v>192</v>
      </c>
      <c r="J83" s="166">
        <f t="shared" si="3"/>
        <v>546</v>
      </c>
      <c r="K83" s="166">
        <f t="shared" si="3"/>
        <v>514</v>
      </c>
      <c r="L83" s="141">
        <f t="shared" si="3"/>
        <v>309</v>
      </c>
      <c r="M83" s="141">
        <f t="shared" si="3"/>
        <v>359</v>
      </c>
      <c r="N83" s="146">
        <f t="shared" si="3"/>
        <v>365</v>
      </c>
      <c r="O83" s="146">
        <f t="shared" si="3"/>
        <v>395</v>
      </c>
      <c r="P83" s="217">
        <f t="shared" si="2"/>
        <v>2861</v>
      </c>
    </row>
    <row r="84" spans="1:16" x14ac:dyDescent="0.35">
      <c r="A84" s="362">
        <v>3</v>
      </c>
      <c r="B84" s="362" t="s">
        <v>3299</v>
      </c>
      <c r="C84" s="6" t="s">
        <v>1623</v>
      </c>
      <c r="D84" s="6" t="s">
        <v>1941</v>
      </c>
      <c r="E84" s="6" t="s">
        <v>2023</v>
      </c>
      <c r="F84" s="6" t="s">
        <v>2024</v>
      </c>
      <c r="G84" s="6" t="s">
        <v>2025</v>
      </c>
      <c r="H84" s="97">
        <v>3</v>
      </c>
      <c r="I84" s="97">
        <v>3</v>
      </c>
      <c r="J84" s="6">
        <v>17</v>
      </c>
      <c r="K84" s="6">
        <v>16</v>
      </c>
      <c r="L84" s="136">
        <v>8</v>
      </c>
      <c r="M84" s="135">
        <v>7</v>
      </c>
      <c r="N84" s="135">
        <v>10</v>
      </c>
      <c r="O84" s="135">
        <v>13</v>
      </c>
      <c r="P84" s="218">
        <f t="shared" si="2"/>
        <v>77</v>
      </c>
    </row>
    <row r="85" spans="1:16" x14ac:dyDescent="0.35">
      <c r="A85" s="362"/>
      <c r="B85" s="362"/>
      <c r="C85" s="6" t="s">
        <v>1623</v>
      </c>
      <c r="D85" s="6" t="s">
        <v>1941</v>
      </c>
      <c r="E85" s="6" t="s">
        <v>2023</v>
      </c>
      <c r="F85" s="6" t="s">
        <v>2024</v>
      </c>
      <c r="G85" s="6" t="s">
        <v>2026</v>
      </c>
      <c r="H85" s="97">
        <v>2</v>
      </c>
      <c r="I85" s="97">
        <v>2</v>
      </c>
      <c r="J85" s="6">
        <v>18</v>
      </c>
      <c r="K85" s="6">
        <v>15</v>
      </c>
      <c r="L85" s="136">
        <v>6</v>
      </c>
      <c r="M85" s="135">
        <v>5</v>
      </c>
      <c r="N85" s="135">
        <v>7</v>
      </c>
      <c r="O85" s="135">
        <v>9</v>
      </c>
      <c r="P85" s="218">
        <f t="shared" si="2"/>
        <v>64</v>
      </c>
    </row>
    <row r="86" spans="1:16" x14ac:dyDescent="0.35">
      <c r="A86" s="362"/>
      <c r="B86" s="362"/>
      <c r="C86" s="6" t="s">
        <v>1623</v>
      </c>
      <c r="D86" s="6" t="s">
        <v>1941</v>
      </c>
      <c r="E86" s="6" t="s">
        <v>2023</v>
      </c>
      <c r="F86" s="6" t="s">
        <v>2024</v>
      </c>
      <c r="G86" s="6" t="s">
        <v>2024</v>
      </c>
      <c r="H86" s="97">
        <v>6</v>
      </c>
      <c r="I86" s="97">
        <v>6</v>
      </c>
      <c r="J86" s="6">
        <v>11</v>
      </c>
      <c r="K86" s="6">
        <v>8</v>
      </c>
      <c r="L86" s="136">
        <v>13</v>
      </c>
      <c r="M86" s="135">
        <v>12</v>
      </c>
      <c r="N86" s="135">
        <v>6</v>
      </c>
      <c r="O86" s="135">
        <v>5</v>
      </c>
      <c r="P86" s="218">
        <f t="shared" si="2"/>
        <v>67</v>
      </c>
    </row>
    <row r="87" spans="1:16" x14ac:dyDescent="0.35">
      <c r="A87" s="362"/>
      <c r="B87" s="362"/>
      <c r="C87" s="6" t="s">
        <v>1623</v>
      </c>
      <c r="D87" s="6" t="s">
        <v>1941</v>
      </c>
      <c r="E87" s="6" t="s">
        <v>2023</v>
      </c>
      <c r="F87" s="6" t="s">
        <v>2024</v>
      </c>
      <c r="G87" s="6" t="s">
        <v>2027</v>
      </c>
      <c r="H87" s="97">
        <v>3</v>
      </c>
      <c r="I87" s="97">
        <v>3</v>
      </c>
      <c r="J87" s="6">
        <v>9</v>
      </c>
      <c r="K87" s="6">
        <v>12</v>
      </c>
      <c r="L87" s="136">
        <v>9</v>
      </c>
      <c r="M87" s="135">
        <v>13</v>
      </c>
      <c r="N87" s="135">
        <v>10</v>
      </c>
      <c r="O87" s="135">
        <v>12</v>
      </c>
      <c r="P87" s="218">
        <f t="shared" si="2"/>
        <v>71</v>
      </c>
    </row>
    <row r="88" spans="1:16" x14ac:dyDescent="0.35">
      <c r="A88" s="362"/>
      <c r="B88" s="362"/>
      <c r="C88" s="6" t="s">
        <v>1623</v>
      </c>
      <c r="D88" s="6" t="s">
        <v>1941</v>
      </c>
      <c r="E88" s="6" t="s">
        <v>2023</v>
      </c>
      <c r="F88" s="6" t="s">
        <v>2024</v>
      </c>
      <c r="G88" s="6" t="s">
        <v>2028</v>
      </c>
      <c r="H88" s="97">
        <v>4</v>
      </c>
      <c r="I88" s="97">
        <v>4</v>
      </c>
      <c r="J88" s="6">
        <v>4</v>
      </c>
      <c r="K88" s="6">
        <v>6</v>
      </c>
      <c r="L88" s="136">
        <v>13</v>
      </c>
      <c r="M88" s="135">
        <v>12</v>
      </c>
      <c r="N88" s="135">
        <v>7</v>
      </c>
      <c r="O88" s="135">
        <v>8</v>
      </c>
      <c r="P88" s="218">
        <f t="shared" si="2"/>
        <v>58</v>
      </c>
    </row>
    <row r="89" spans="1:16" x14ac:dyDescent="0.35">
      <c r="A89" s="362"/>
      <c r="B89" s="362"/>
      <c r="C89" s="6" t="s">
        <v>1623</v>
      </c>
      <c r="D89" s="6" t="s">
        <v>1941</v>
      </c>
      <c r="E89" s="6" t="s">
        <v>2023</v>
      </c>
      <c r="F89" s="6" t="s">
        <v>2024</v>
      </c>
      <c r="G89" s="6" t="s">
        <v>2029</v>
      </c>
      <c r="H89" s="97">
        <v>3</v>
      </c>
      <c r="I89" s="97">
        <v>3</v>
      </c>
      <c r="J89" s="6">
        <v>11</v>
      </c>
      <c r="K89" s="6">
        <v>13</v>
      </c>
      <c r="L89" s="136">
        <v>4</v>
      </c>
      <c r="M89" s="135">
        <v>8</v>
      </c>
      <c r="N89" s="135">
        <v>9</v>
      </c>
      <c r="O89" s="135">
        <v>7</v>
      </c>
      <c r="P89" s="218">
        <f t="shared" si="2"/>
        <v>58</v>
      </c>
    </row>
    <row r="90" spans="1:16" x14ac:dyDescent="0.35">
      <c r="A90" s="362"/>
      <c r="B90" s="362"/>
      <c r="C90" s="6" t="s">
        <v>1623</v>
      </c>
      <c r="D90" s="6" t="s">
        <v>1941</v>
      </c>
      <c r="E90" s="6" t="s">
        <v>2023</v>
      </c>
      <c r="F90" s="6" t="s">
        <v>2024</v>
      </c>
      <c r="G90" s="6" t="s">
        <v>2030</v>
      </c>
      <c r="H90" s="97">
        <v>7</v>
      </c>
      <c r="I90" s="97">
        <v>7</v>
      </c>
      <c r="J90" s="6">
        <v>19</v>
      </c>
      <c r="K90" s="6">
        <v>15</v>
      </c>
      <c r="L90" s="136">
        <v>23</v>
      </c>
      <c r="M90" s="135">
        <v>25</v>
      </c>
      <c r="N90" s="135">
        <v>12</v>
      </c>
      <c r="O90" s="135">
        <v>15</v>
      </c>
      <c r="P90" s="218">
        <f t="shared" si="2"/>
        <v>123</v>
      </c>
    </row>
    <row r="91" spans="1:16" x14ac:dyDescent="0.35">
      <c r="A91" s="362"/>
      <c r="B91" s="362"/>
      <c r="C91" s="6" t="s">
        <v>1623</v>
      </c>
      <c r="D91" s="6" t="s">
        <v>1941</v>
      </c>
      <c r="E91" s="6" t="s">
        <v>2023</v>
      </c>
      <c r="F91" s="6" t="s">
        <v>2024</v>
      </c>
      <c r="G91" s="6" t="s">
        <v>2031</v>
      </c>
      <c r="H91" s="97">
        <v>5</v>
      </c>
      <c r="I91" s="97">
        <v>5</v>
      </c>
      <c r="J91" s="6">
        <v>3</v>
      </c>
      <c r="K91" s="6">
        <v>1</v>
      </c>
      <c r="L91" s="136">
        <v>13</v>
      </c>
      <c r="M91" s="135">
        <v>15</v>
      </c>
      <c r="N91" s="135">
        <v>18</v>
      </c>
      <c r="O91" s="135">
        <v>16</v>
      </c>
      <c r="P91" s="218">
        <f t="shared" si="2"/>
        <v>76</v>
      </c>
    </row>
    <row r="92" spans="1:16" x14ac:dyDescent="0.35">
      <c r="A92" s="362"/>
      <c r="B92" s="362"/>
      <c r="C92" s="6" t="s">
        <v>1623</v>
      </c>
      <c r="D92" s="6" t="s">
        <v>1941</v>
      </c>
      <c r="E92" s="6" t="s">
        <v>2023</v>
      </c>
      <c r="F92" s="6" t="s">
        <v>2024</v>
      </c>
      <c r="G92" s="6" t="s">
        <v>2013</v>
      </c>
      <c r="H92" s="97">
        <v>2</v>
      </c>
      <c r="I92" s="97">
        <v>3</v>
      </c>
      <c r="J92" s="6">
        <v>11</v>
      </c>
      <c r="K92" s="6">
        <v>9</v>
      </c>
      <c r="L92" s="136">
        <v>9</v>
      </c>
      <c r="M92" s="135">
        <v>10</v>
      </c>
      <c r="N92" s="135">
        <v>11</v>
      </c>
      <c r="O92" s="135">
        <v>16</v>
      </c>
      <c r="P92" s="218">
        <f t="shared" si="2"/>
        <v>71</v>
      </c>
    </row>
    <row r="93" spans="1:16" x14ac:dyDescent="0.35">
      <c r="A93" s="362"/>
      <c r="B93" s="362"/>
      <c r="C93" s="6" t="s">
        <v>1623</v>
      </c>
      <c r="D93" s="6" t="s">
        <v>1941</v>
      </c>
      <c r="E93" s="6" t="s">
        <v>2023</v>
      </c>
      <c r="F93" s="6" t="s">
        <v>2032</v>
      </c>
      <c r="G93" s="6" t="s">
        <v>2033</v>
      </c>
      <c r="H93" s="97">
        <v>3</v>
      </c>
      <c r="I93" s="97">
        <v>3</v>
      </c>
      <c r="J93" s="6">
        <v>20</v>
      </c>
      <c r="K93" s="6">
        <v>22</v>
      </c>
      <c r="L93" s="136">
        <v>5</v>
      </c>
      <c r="M93" s="135">
        <v>7</v>
      </c>
      <c r="N93" s="135">
        <v>12</v>
      </c>
      <c r="O93" s="135">
        <v>11</v>
      </c>
      <c r="P93" s="218">
        <f t="shared" si="2"/>
        <v>83</v>
      </c>
    </row>
    <row r="94" spans="1:16" x14ac:dyDescent="0.35">
      <c r="A94" s="362"/>
      <c r="B94" s="362"/>
      <c r="C94" s="6" t="s">
        <v>1623</v>
      </c>
      <c r="D94" s="6" t="s">
        <v>1941</v>
      </c>
      <c r="E94" s="6" t="s">
        <v>2023</v>
      </c>
      <c r="F94" s="6" t="s">
        <v>2032</v>
      </c>
      <c r="G94" s="6" t="s">
        <v>5</v>
      </c>
      <c r="H94" s="97">
        <v>10</v>
      </c>
      <c r="I94" s="97">
        <v>10</v>
      </c>
      <c r="J94" s="6">
        <v>22</v>
      </c>
      <c r="K94" s="6">
        <v>25</v>
      </c>
      <c r="L94" s="136">
        <v>18</v>
      </c>
      <c r="M94" s="135">
        <v>16</v>
      </c>
      <c r="N94" s="135">
        <v>18</v>
      </c>
      <c r="O94" s="135">
        <v>20</v>
      </c>
      <c r="P94" s="218">
        <f t="shared" si="2"/>
        <v>139</v>
      </c>
    </row>
    <row r="95" spans="1:16" x14ac:dyDescent="0.35">
      <c r="A95" s="362"/>
      <c r="B95" s="362"/>
      <c r="C95" s="6" t="s">
        <v>1623</v>
      </c>
      <c r="D95" s="6" t="s">
        <v>1941</v>
      </c>
      <c r="E95" s="6" t="s">
        <v>2023</v>
      </c>
      <c r="F95" s="6" t="s">
        <v>2032</v>
      </c>
      <c r="G95" s="6" t="s">
        <v>2034</v>
      </c>
      <c r="H95" s="97">
        <v>9</v>
      </c>
      <c r="I95" s="97">
        <v>9</v>
      </c>
      <c r="J95" s="6">
        <v>21</v>
      </c>
      <c r="K95" s="6">
        <v>16</v>
      </c>
      <c r="L95" s="136">
        <v>9</v>
      </c>
      <c r="M95" s="135">
        <v>7</v>
      </c>
      <c r="N95" s="135">
        <v>12</v>
      </c>
      <c r="O95" s="135">
        <v>11</v>
      </c>
      <c r="P95" s="218">
        <f t="shared" si="2"/>
        <v>94</v>
      </c>
    </row>
    <row r="96" spans="1:16" x14ac:dyDescent="0.35">
      <c r="A96" s="362"/>
      <c r="B96" s="362"/>
      <c r="C96" s="6" t="s">
        <v>1623</v>
      </c>
      <c r="D96" s="6" t="s">
        <v>1941</v>
      </c>
      <c r="E96" s="6" t="s">
        <v>2023</v>
      </c>
      <c r="F96" s="6" t="s">
        <v>2032</v>
      </c>
      <c r="G96" s="6" t="s">
        <v>2035</v>
      </c>
      <c r="H96" s="97">
        <v>6</v>
      </c>
      <c r="I96" s="97">
        <v>7</v>
      </c>
      <c r="J96" s="6">
        <v>24</v>
      </c>
      <c r="K96" s="6">
        <v>25</v>
      </c>
      <c r="L96" s="136">
        <v>10</v>
      </c>
      <c r="M96" s="135">
        <v>9</v>
      </c>
      <c r="N96" s="135">
        <v>23</v>
      </c>
      <c r="O96" s="135">
        <v>15</v>
      </c>
      <c r="P96" s="218">
        <f t="shared" si="2"/>
        <v>119</v>
      </c>
    </row>
    <row r="97" spans="1:16" x14ac:dyDescent="0.35">
      <c r="A97" s="362"/>
      <c r="B97" s="362"/>
      <c r="C97" s="6" t="s">
        <v>1623</v>
      </c>
      <c r="D97" s="6" t="s">
        <v>1941</v>
      </c>
      <c r="E97" s="6" t="s">
        <v>2023</v>
      </c>
      <c r="F97" s="6" t="s">
        <v>2032</v>
      </c>
      <c r="G97" s="6" t="s">
        <v>2036</v>
      </c>
      <c r="H97" s="97">
        <v>3</v>
      </c>
      <c r="I97" s="97">
        <v>4</v>
      </c>
      <c r="J97" s="6">
        <v>18</v>
      </c>
      <c r="K97" s="6">
        <v>15</v>
      </c>
      <c r="L97" s="136">
        <v>8</v>
      </c>
      <c r="M97" s="135">
        <v>6</v>
      </c>
      <c r="N97" s="135">
        <v>8</v>
      </c>
      <c r="O97" s="135">
        <v>9</v>
      </c>
      <c r="P97" s="218">
        <f t="shared" si="2"/>
        <v>71</v>
      </c>
    </row>
    <row r="98" spans="1:16" x14ac:dyDescent="0.35">
      <c r="A98" s="362"/>
      <c r="B98" s="362"/>
      <c r="C98" s="6" t="s">
        <v>1623</v>
      </c>
      <c r="D98" s="6" t="s">
        <v>1941</v>
      </c>
      <c r="E98" s="6" t="s">
        <v>2023</v>
      </c>
      <c r="F98" s="6" t="s">
        <v>2032</v>
      </c>
      <c r="G98" s="6" t="s">
        <v>2020</v>
      </c>
      <c r="H98" s="97">
        <v>1</v>
      </c>
      <c r="I98" s="97">
        <v>2</v>
      </c>
      <c r="J98" s="6">
        <v>9</v>
      </c>
      <c r="K98" s="6">
        <v>13</v>
      </c>
      <c r="L98" s="136">
        <v>11</v>
      </c>
      <c r="M98" s="135">
        <v>9</v>
      </c>
      <c r="N98" s="135">
        <v>3</v>
      </c>
      <c r="O98" s="135">
        <v>5</v>
      </c>
      <c r="P98" s="218">
        <f t="shared" si="2"/>
        <v>53</v>
      </c>
    </row>
    <row r="99" spans="1:16" x14ac:dyDescent="0.35">
      <c r="A99" s="362"/>
      <c r="B99" s="362"/>
      <c r="C99" s="6" t="s">
        <v>1623</v>
      </c>
      <c r="D99" s="6" t="s">
        <v>1941</v>
      </c>
      <c r="E99" s="6" t="s">
        <v>2023</v>
      </c>
      <c r="F99" s="6" t="s">
        <v>2032</v>
      </c>
      <c r="G99" s="6" t="s">
        <v>2037</v>
      </c>
      <c r="H99" s="97">
        <v>4</v>
      </c>
      <c r="I99" s="97">
        <v>5</v>
      </c>
      <c r="J99" s="6">
        <v>16</v>
      </c>
      <c r="K99" s="6">
        <v>14</v>
      </c>
      <c r="L99" s="136">
        <v>17</v>
      </c>
      <c r="M99" s="135">
        <v>8</v>
      </c>
      <c r="N99" s="135">
        <v>21</v>
      </c>
      <c r="O99" s="135">
        <v>19</v>
      </c>
      <c r="P99" s="218">
        <f t="shared" si="2"/>
        <v>104</v>
      </c>
    </row>
    <row r="100" spans="1:16" x14ac:dyDescent="0.35">
      <c r="A100" s="362"/>
      <c r="B100" s="362"/>
      <c r="C100" s="6" t="s">
        <v>1623</v>
      </c>
      <c r="D100" s="6" t="s">
        <v>1941</v>
      </c>
      <c r="E100" s="6" t="s">
        <v>2023</v>
      </c>
      <c r="F100" s="6" t="s">
        <v>2032</v>
      </c>
      <c r="G100" s="6" t="s">
        <v>2038</v>
      </c>
      <c r="H100" s="97">
        <v>1</v>
      </c>
      <c r="I100" s="97">
        <v>1</v>
      </c>
      <c r="J100" s="6">
        <v>13</v>
      </c>
      <c r="K100" s="6">
        <v>15</v>
      </c>
      <c r="L100" s="136">
        <v>6</v>
      </c>
      <c r="M100" s="135">
        <v>7</v>
      </c>
      <c r="N100" s="135">
        <v>10</v>
      </c>
      <c r="O100" s="135">
        <v>8</v>
      </c>
      <c r="P100" s="218">
        <f t="shared" si="2"/>
        <v>61</v>
      </c>
    </row>
    <row r="101" spans="1:16" x14ac:dyDescent="0.35">
      <c r="A101" s="362"/>
      <c r="B101" s="362"/>
      <c r="C101" s="6" t="s">
        <v>1623</v>
      </c>
      <c r="D101" s="6" t="s">
        <v>1941</v>
      </c>
      <c r="E101" s="6" t="s">
        <v>2023</v>
      </c>
      <c r="F101" s="6" t="s">
        <v>2032</v>
      </c>
      <c r="G101" s="6" t="s">
        <v>1990</v>
      </c>
      <c r="H101" s="97">
        <v>4</v>
      </c>
      <c r="I101" s="97">
        <v>5</v>
      </c>
      <c r="J101" s="6">
        <v>19</v>
      </c>
      <c r="K101" s="6">
        <v>13</v>
      </c>
      <c r="L101" s="136">
        <v>3</v>
      </c>
      <c r="M101" s="135">
        <v>5</v>
      </c>
      <c r="N101" s="135">
        <v>7</v>
      </c>
      <c r="O101" s="135">
        <v>7</v>
      </c>
      <c r="P101" s="218">
        <f t="shared" si="2"/>
        <v>63</v>
      </c>
    </row>
    <row r="102" spans="1:16" x14ac:dyDescent="0.35">
      <c r="A102" s="362"/>
      <c r="B102" s="362"/>
      <c r="C102" s="6" t="s">
        <v>1623</v>
      </c>
      <c r="D102" s="6" t="s">
        <v>1941</v>
      </c>
      <c r="E102" s="6" t="s">
        <v>2023</v>
      </c>
      <c r="F102" s="6" t="s">
        <v>2032</v>
      </c>
      <c r="G102" s="6" t="s">
        <v>2039</v>
      </c>
      <c r="H102" s="97">
        <v>4</v>
      </c>
      <c r="I102" s="97">
        <v>5</v>
      </c>
      <c r="J102" s="6">
        <v>18</v>
      </c>
      <c r="K102" s="6">
        <v>20</v>
      </c>
      <c r="L102" s="136">
        <v>5</v>
      </c>
      <c r="M102" s="135">
        <v>7</v>
      </c>
      <c r="N102" s="135">
        <v>12</v>
      </c>
      <c r="O102" s="135">
        <v>14</v>
      </c>
      <c r="P102" s="218">
        <f t="shared" si="2"/>
        <v>85</v>
      </c>
    </row>
    <row r="103" spans="1:16" x14ac:dyDescent="0.35">
      <c r="A103" s="362"/>
      <c r="B103" s="362"/>
      <c r="C103" s="6" t="s">
        <v>1623</v>
      </c>
      <c r="D103" s="6" t="s">
        <v>1941</v>
      </c>
      <c r="E103" s="6" t="s">
        <v>2023</v>
      </c>
      <c r="F103" s="6" t="s">
        <v>2032</v>
      </c>
      <c r="G103" s="6" t="s">
        <v>2040</v>
      </c>
      <c r="H103" s="97">
        <v>6</v>
      </c>
      <c r="I103" s="97">
        <v>7</v>
      </c>
      <c r="J103" s="6">
        <v>16</v>
      </c>
      <c r="K103" s="6">
        <v>12</v>
      </c>
      <c r="L103" s="136">
        <v>4</v>
      </c>
      <c r="M103" s="135">
        <v>7</v>
      </c>
      <c r="N103" s="135">
        <v>7</v>
      </c>
      <c r="O103" s="135">
        <v>8</v>
      </c>
      <c r="P103" s="218">
        <f t="shared" si="2"/>
        <v>67</v>
      </c>
    </row>
    <row r="104" spans="1:16" x14ac:dyDescent="0.35">
      <c r="A104" s="362"/>
      <c r="B104" s="362"/>
      <c r="C104" s="6" t="s">
        <v>1623</v>
      </c>
      <c r="D104" s="6" t="s">
        <v>1941</v>
      </c>
      <c r="E104" s="6" t="s">
        <v>2023</v>
      </c>
      <c r="F104" s="6" t="s">
        <v>2032</v>
      </c>
      <c r="G104" s="6" t="s">
        <v>2041</v>
      </c>
      <c r="H104" s="97">
        <v>2</v>
      </c>
      <c r="I104" s="97">
        <v>2</v>
      </c>
      <c r="J104" s="6">
        <v>5</v>
      </c>
      <c r="K104" s="6">
        <v>4</v>
      </c>
      <c r="L104" s="136">
        <v>15</v>
      </c>
      <c r="M104" s="135">
        <v>16</v>
      </c>
      <c r="N104" s="135">
        <v>6</v>
      </c>
      <c r="O104" s="135">
        <v>8</v>
      </c>
      <c r="P104" s="218">
        <f t="shared" si="2"/>
        <v>58</v>
      </c>
    </row>
    <row r="105" spans="1:16" x14ac:dyDescent="0.35">
      <c r="A105" s="362"/>
      <c r="B105" s="362"/>
      <c r="C105" s="6" t="s">
        <v>1623</v>
      </c>
      <c r="D105" s="6" t="s">
        <v>1941</v>
      </c>
      <c r="E105" s="6" t="s">
        <v>2023</v>
      </c>
      <c r="F105" s="6" t="s">
        <v>2042</v>
      </c>
      <c r="G105" s="6" t="s">
        <v>2043</v>
      </c>
      <c r="H105" s="97">
        <v>6</v>
      </c>
      <c r="I105" s="97">
        <v>6</v>
      </c>
      <c r="J105" s="6">
        <v>10</v>
      </c>
      <c r="K105" s="6">
        <v>8</v>
      </c>
      <c r="L105" s="136">
        <v>4</v>
      </c>
      <c r="M105" s="135">
        <v>5</v>
      </c>
      <c r="N105" s="135">
        <v>6</v>
      </c>
      <c r="O105" s="135">
        <v>4</v>
      </c>
      <c r="P105" s="218">
        <f t="shared" si="2"/>
        <v>49</v>
      </c>
    </row>
    <row r="106" spans="1:16" x14ac:dyDescent="0.35">
      <c r="A106" s="362"/>
      <c r="B106" s="362"/>
      <c r="C106" s="6" t="s">
        <v>1623</v>
      </c>
      <c r="D106" s="6" t="s">
        <v>1941</v>
      </c>
      <c r="E106" s="6" t="s">
        <v>2023</v>
      </c>
      <c r="F106" s="6" t="s">
        <v>2042</v>
      </c>
      <c r="G106" s="6" t="s">
        <v>2042</v>
      </c>
      <c r="H106" s="97">
        <v>5</v>
      </c>
      <c r="I106" s="97">
        <v>6</v>
      </c>
      <c r="J106" s="6">
        <v>17</v>
      </c>
      <c r="K106" s="6">
        <v>23</v>
      </c>
      <c r="L106" s="136">
        <v>2</v>
      </c>
      <c r="M106" s="135">
        <v>0</v>
      </c>
      <c r="N106" s="135">
        <v>10</v>
      </c>
      <c r="O106" s="135">
        <v>6</v>
      </c>
      <c r="P106" s="218">
        <f t="shared" si="2"/>
        <v>69</v>
      </c>
    </row>
    <row r="107" spans="1:16" x14ac:dyDescent="0.35">
      <c r="A107" s="362"/>
      <c r="B107" s="362"/>
      <c r="C107" s="6" t="s">
        <v>1623</v>
      </c>
      <c r="D107" s="6" t="s">
        <v>1941</v>
      </c>
      <c r="E107" s="6" t="s">
        <v>2023</v>
      </c>
      <c r="F107" s="6" t="s">
        <v>2042</v>
      </c>
      <c r="G107" s="6" t="s">
        <v>2044</v>
      </c>
      <c r="H107" s="97">
        <v>3</v>
      </c>
      <c r="I107" s="97">
        <v>4</v>
      </c>
      <c r="J107" s="6">
        <v>11</v>
      </c>
      <c r="K107" s="6">
        <v>13</v>
      </c>
      <c r="L107" s="136">
        <v>7</v>
      </c>
      <c r="M107" s="135">
        <v>8</v>
      </c>
      <c r="N107" s="135">
        <v>9</v>
      </c>
      <c r="O107" s="135">
        <v>10</v>
      </c>
      <c r="P107" s="218">
        <f t="shared" si="2"/>
        <v>65</v>
      </c>
    </row>
    <row r="108" spans="1:16" x14ac:dyDescent="0.35">
      <c r="A108" s="362"/>
      <c r="B108" s="362"/>
      <c r="C108" s="6" t="s">
        <v>1623</v>
      </c>
      <c r="D108" s="6" t="s">
        <v>1941</v>
      </c>
      <c r="E108" s="6" t="s">
        <v>2023</v>
      </c>
      <c r="F108" s="6" t="s">
        <v>2042</v>
      </c>
      <c r="G108" s="6" t="s">
        <v>2045</v>
      </c>
      <c r="H108" s="97">
        <v>2</v>
      </c>
      <c r="I108" s="97">
        <v>3</v>
      </c>
      <c r="J108" s="6">
        <v>11</v>
      </c>
      <c r="K108" s="6">
        <v>14</v>
      </c>
      <c r="L108" s="136">
        <v>11</v>
      </c>
      <c r="M108" s="135">
        <v>15</v>
      </c>
      <c r="N108" s="135">
        <v>3</v>
      </c>
      <c r="O108" s="135">
        <v>5</v>
      </c>
      <c r="P108" s="218">
        <f t="shared" si="2"/>
        <v>64</v>
      </c>
    </row>
    <row r="109" spans="1:16" x14ac:dyDescent="0.35">
      <c r="A109" s="362"/>
      <c r="B109" s="362"/>
      <c r="C109" s="6" t="s">
        <v>1623</v>
      </c>
      <c r="D109" s="6" t="s">
        <v>1941</v>
      </c>
      <c r="E109" s="6" t="s">
        <v>2023</v>
      </c>
      <c r="F109" s="6" t="s">
        <v>2042</v>
      </c>
      <c r="G109" s="6" t="s">
        <v>1991</v>
      </c>
      <c r="H109" s="97">
        <v>10</v>
      </c>
      <c r="I109" s="97">
        <v>11</v>
      </c>
      <c r="J109" s="6">
        <v>15</v>
      </c>
      <c r="K109" s="6">
        <v>14</v>
      </c>
      <c r="L109" s="136">
        <v>6</v>
      </c>
      <c r="M109" s="135">
        <v>8</v>
      </c>
      <c r="N109" s="135">
        <v>19</v>
      </c>
      <c r="O109" s="135">
        <v>16</v>
      </c>
      <c r="P109" s="218">
        <f t="shared" si="2"/>
        <v>99</v>
      </c>
    </row>
    <row r="110" spans="1:16" x14ac:dyDescent="0.35">
      <c r="A110" s="362"/>
      <c r="B110" s="362"/>
      <c r="C110" s="140" t="s">
        <v>2</v>
      </c>
      <c r="D110" s="139"/>
      <c r="E110" s="139"/>
      <c r="F110" s="139"/>
      <c r="G110" s="139"/>
      <c r="H110" s="165">
        <f>SUM(H84:H109)</f>
        <v>114</v>
      </c>
      <c r="I110" s="165">
        <f t="shared" ref="I110:O110" si="4">SUM(I84:I109)</f>
        <v>126</v>
      </c>
      <c r="J110" s="166">
        <f t="shared" si="4"/>
        <v>368</v>
      </c>
      <c r="K110" s="166">
        <f t="shared" si="4"/>
        <v>361</v>
      </c>
      <c r="L110" s="141">
        <f t="shared" si="4"/>
        <v>239</v>
      </c>
      <c r="M110" s="141">
        <f t="shared" si="4"/>
        <v>247</v>
      </c>
      <c r="N110" s="146">
        <f t="shared" si="4"/>
        <v>276</v>
      </c>
      <c r="O110" s="146">
        <f t="shared" si="4"/>
        <v>277</v>
      </c>
      <c r="P110" s="217">
        <f t="shared" si="2"/>
        <v>2008</v>
      </c>
    </row>
    <row r="111" spans="1:16" x14ac:dyDescent="0.35">
      <c r="A111" s="362">
        <v>4</v>
      </c>
      <c r="B111" s="362" t="s">
        <v>3300</v>
      </c>
      <c r="C111" s="6" t="s">
        <v>1623</v>
      </c>
      <c r="D111" s="6" t="s">
        <v>1941</v>
      </c>
      <c r="E111" s="6" t="s">
        <v>2046</v>
      </c>
      <c r="F111" s="6" t="s">
        <v>2046</v>
      </c>
      <c r="G111" s="6" t="s">
        <v>2047</v>
      </c>
      <c r="H111" s="97">
        <v>29</v>
      </c>
      <c r="I111" s="97">
        <v>30</v>
      </c>
      <c r="J111" s="97">
        <v>93</v>
      </c>
      <c r="K111" s="6">
        <v>99</v>
      </c>
      <c r="L111" s="137">
        <v>43</v>
      </c>
      <c r="M111" s="135">
        <v>47</v>
      </c>
      <c r="N111" s="135">
        <v>55</v>
      </c>
      <c r="O111" s="135">
        <v>69</v>
      </c>
      <c r="P111" s="218">
        <f t="shared" si="2"/>
        <v>465</v>
      </c>
    </row>
    <row r="112" spans="1:16" x14ac:dyDescent="0.35">
      <c r="A112" s="362"/>
      <c r="B112" s="362"/>
      <c r="C112" s="6" t="s">
        <v>1623</v>
      </c>
      <c r="D112" s="6" t="s">
        <v>1941</v>
      </c>
      <c r="E112" s="6" t="s">
        <v>2046</v>
      </c>
      <c r="F112" s="6" t="s">
        <v>2046</v>
      </c>
      <c r="G112" s="6" t="s">
        <v>2048</v>
      </c>
      <c r="H112" s="97">
        <v>5</v>
      </c>
      <c r="I112" s="97">
        <v>5</v>
      </c>
      <c r="J112" s="97">
        <v>20</v>
      </c>
      <c r="K112" s="6">
        <v>12</v>
      </c>
      <c r="L112" s="137">
        <v>7</v>
      </c>
      <c r="M112" s="135">
        <v>8</v>
      </c>
      <c r="N112" s="135">
        <v>10</v>
      </c>
      <c r="O112" s="135">
        <v>11</v>
      </c>
      <c r="P112" s="218">
        <f t="shared" si="2"/>
        <v>78</v>
      </c>
    </row>
    <row r="113" spans="1:16" x14ac:dyDescent="0.35">
      <c r="A113" s="362"/>
      <c r="B113" s="362"/>
      <c r="C113" s="6" t="s">
        <v>1623</v>
      </c>
      <c r="D113" s="6" t="s">
        <v>1941</v>
      </c>
      <c r="E113" s="6" t="s">
        <v>2046</v>
      </c>
      <c r="F113" s="6" t="s">
        <v>2046</v>
      </c>
      <c r="G113" s="6" t="s">
        <v>2049</v>
      </c>
      <c r="H113" s="97">
        <v>1</v>
      </c>
      <c r="I113" s="97">
        <v>1</v>
      </c>
      <c r="J113" s="97">
        <v>5</v>
      </c>
      <c r="K113" s="6">
        <v>3</v>
      </c>
      <c r="L113" s="137">
        <v>1</v>
      </c>
      <c r="M113" s="135">
        <v>3</v>
      </c>
      <c r="N113" s="135">
        <v>2</v>
      </c>
      <c r="O113" s="135">
        <v>3</v>
      </c>
      <c r="P113" s="218">
        <f t="shared" si="2"/>
        <v>19</v>
      </c>
    </row>
    <row r="114" spans="1:16" x14ac:dyDescent="0.35">
      <c r="A114" s="362"/>
      <c r="B114" s="362"/>
      <c r="C114" s="6" t="s">
        <v>1623</v>
      </c>
      <c r="D114" s="6" t="s">
        <v>1941</v>
      </c>
      <c r="E114" s="6" t="s">
        <v>2046</v>
      </c>
      <c r="F114" s="6" t="s">
        <v>2046</v>
      </c>
      <c r="G114" s="6" t="s">
        <v>1953</v>
      </c>
      <c r="H114" s="97">
        <v>2</v>
      </c>
      <c r="I114" s="97">
        <v>2</v>
      </c>
      <c r="J114" s="97">
        <v>6</v>
      </c>
      <c r="K114" s="6">
        <v>7</v>
      </c>
      <c r="L114" s="137">
        <v>2</v>
      </c>
      <c r="M114" s="135">
        <v>4</v>
      </c>
      <c r="N114" s="135">
        <v>5</v>
      </c>
      <c r="O114" s="135">
        <v>3</v>
      </c>
      <c r="P114" s="218">
        <f t="shared" si="2"/>
        <v>31</v>
      </c>
    </row>
    <row r="115" spans="1:16" x14ac:dyDescent="0.35">
      <c r="A115" s="362"/>
      <c r="B115" s="362"/>
      <c r="C115" s="6" t="s">
        <v>1623</v>
      </c>
      <c r="D115" s="6" t="s">
        <v>1941</v>
      </c>
      <c r="E115" s="6" t="s">
        <v>2046</v>
      </c>
      <c r="F115" s="6" t="s">
        <v>2046</v>
      </c>
      <c r="G115" s="6" t="s">
        <v>2050</v>
      </c>
      <c r="H115" s="97">
        <v>10</v>
      </c>
      <c r="I115" s="97">
        <v>10</v>
      </c>
      <c r="J115" s="97">
        <v>33</v>
      </c>
      <c r="K115" s="6">
        <v>31</v>
      </c>
      <c r="L115" s="137">
        <v>14</v>
      </c>
      <c r="M115" s="135">
        <v>16</v>
      </c>
      <c r="N115" s="135">
        <v>20</v>
      </c>
      <c r="O115" s="135">
        <v>21</v>
      </c>
      <c r="P115" s="218">
        <f t="shared" si="2"/>
        <v>155</v>
      </c>
    </row>
    <row r="116" spans="1:16" x14ac:dyDescent="0.35">
      <c r="A116" s="362"/>
      <c r="B116" s="362"/>
      <c r="C116" s="6" t="s">
        <v>1623</v>
      </c>
      <c r="D116" s="6" t="s">
        <v>1941</v>
      </c>
      <c r="E116" s="6" t="s">
        <v>2046</v>
      </c>
      <c r="F116" s="6" t="s">
        <v>2046</v>
      </c>
      <c r="G116" s="6" t="s">
        <v>2051</v>
      </c>
      <c r="H116" s="97">
        <v>22</v>
      </c>
      <c r="I116" s="97">
        <v>22</v>
      </c>
      <c r="J116" s="97">
        <v>69</v>
      </c>
      <c r="K116" s="6">
        <v>75</v>
      </c>
      <c r="L116" s="137">
        <v>34</v>
      </c>
      <c r="M116" s="135">
        <v>33</v>
      </c>
      <c r="N116" s="135">
        <v>48</v>
      </c>
      <c r="O116" s="135">
        <v>45</v>
      </c>
      <c r="P116" s="218">
        <f t="shared" si="2"/>
        <v>348</v>
      </c>
    </row>
    <row r="117" spans="1:16" x14ac:dyDescent="0.35">
      <c r="A117" s="362"/>
      <c r="B117" s="362"/>
      <c r="C117" s="6" t="s">
        <v>1623</v>
      </c>
      <c r="D117" s="6" t="s">
        <v>1941</v>
      </c>
      <c r="E117" s="6" t="s">
        <v>2046</v>
      </c>
      <c r="F117" s="6" t="s">
        <v>2052</v>
      </c>
      <c r="G117" s="6" t="s">
        <v>2053</v>
      </c>
      <c r="H117" s="97">
        <v>2</v>
      </c>
      <c r="I117" s="97">
        <v>3</v>
      </c>
      <c r="J117" s="97">
        <v>8</v>
      </c>
      <c r="K117" s="6">
        <v>8</v>
      </c>
      <c r="L117" s="137">
        <v>3</v>
      </c>
      <c r="M117" s="135">
        <v>4</v>
      </c>
      <c r="N117" s="135">
        <v>4</v>
      </c>
      <c r="O117" s="135">
        <v>6</v>
      </c>
      <c r="P117" s="218">
        <f t="shared" si="2"/>
        <v>38</v>
      </c>
    </row>
    <row r="118" spans="1:16" x14ac:dyDescent="0.35">
      <c r="A118" s="362"/>
      <c r="B118" s="362"/>
      <c r="C118" s="6" t="s">
        <v>1623</v>
      </c>
      <c r="D118" s="6" t="s">
        <v>1941</v>
      </c>
      <c r="E118" s="6" t="s">
        <v>2046</v>
      </c>
      <c r="F118" s="6" t="s">
        <v>2052</v>
      </c>
      <c r="G118" s="6" t="s">
        <v>2052</v>
      </c>
      <c r="H118" s="97">
        <v>2</v>
      </c>
      <c r="I118" s="97">
        <v>2</v>
      </c>
      <c r="J118" s="97">
        <v>6</v>
      </c>
      <c r="K118" s="6">
        <v>7</v>
      </c>
      <c r="L118" s="137">
        <v>4</v>
      </c>
      <c r="M118" s="135">
        <v>2</v>
      </c>
      <c r="N118" s="135">
        <v>5</v>
      </c>
      <c r="O118" s="135">
        <v>3</v>
      </c>
      <c r="P118" s="218">
        <f t="shared" si="2"/>
        <v>31</v>
      </c>
    </row>
    <row r="119" spans="1:16" x14ac:dyDescent="0.35">
      <c r="A119" s="362"/>
      <c r="B119" s="362"/>
      <c r="C119" s="6" t="s">
        <v>1623</v>
      </c>
      <c r="D119" s="6" t="s">
        <v>1941</v>
      </c>
      <c r="E119" s="6" t="s">
        <v>2046</v>
      </c>
      <c r="F119" s="6" t="s">
        <v>2052</v>
      </c>
      <c r="G119" s="6" t="s">
        <v>2054</v>
      </c>
      <c r="H119" s="97">
        <v>1</v>
      </c>
      <c r="I119" s="97">
        <v>2</v>
      </c>
      <c r="J119" s="97">
        <v>4</v>
      </c>
      <c r="K119" s="6">
        <v>6</v>
      </c>
      <c r="L119" s="137">
        <v>3</v>
      </c>
      <c r="M119" s="135">
        <v>1</v>
      </c>
      <c r="N119" s="135">
        <v>2</v>
      </c>
      <c r="O119" s="135">
        <v>4</v>
      </c>
      <c r="P119" s="218">
        <f t="shared" si="2"/>
        <v>23</v>
      </c>
    </row>
    <row r="120" spans="1:16" x14ac:dyDescent="0.35">
      <c r="A120" s="362"/>
      <c r="B120" s="362"/>
      <c r="C120" s="6" t="s">
        <v>1623</v>
      </c>
      <c r="D120" s="6" t="s">
        <v>1941</v>
      </c>
      <c r="E120" s="6" t="s">
        <v>2046</v>
      </c>
      <c r="F120" s="6" t="s">
        <v>2052</v>
      </c>
      <c r="G120" s="6" t="s">
        <v>2055</v>
      </c>
      <c r="H120" s="97">
        <v>2</v>
      </c>
      <c r="I120" s="97">
        <v>3</v>
      </c>
      <c r="J120" s="97">
        <v>10</v>
      </c>
      <c r="K120" s="6">
        <v>6</v>
      </c>
      <c r="L120" s="137">
        <v>5</v>
      </c>
      <c r="M120" s="135">
        <v>2</v>
      </c>
      <c r="N120" s="135">
        <v>4</v>
      </c>
      <c r="O120" s="135">
        <v>6</v>
      </c>
      <c r="P120" s="218">
        <f t="shared" si="2"/>
        <v>38</v>
      </c>
    </row>
    <row r="121" spans="1:16" x14ac:dyDescent="0.35">
      <c r="A121" s="362"/>
      <c r="B121" s="362"/>
      <c r="C121" s="6" t="s">
        <v>1623</v>
      </c>
      <c r="D121" s="6" t="s">
        <v>1941</v>
      </c>
      <c r="E121" s="6" t="s">
        <v>2046</v>
      </c>
      <c r="F121" s="6" t="s">
        <v>2052</v>
      </c>
      <c r="G121" s="6" t="s">
        <v>2056</v>
      </c>
      <c r="H121" s="97">
        <v>7</v>
      </c>
      <c r="I121" s="97">
        <v>8</v>
      </c>
      <c r="J121" s="97">
        <v>27</v>
      </c>
      <c r="K121" s="6">
        <v>21</v>
      </c>
      <c r="L121" s="137">
        <v>10</v>
      </c>
      <c r="M121" s="135">
        <v>12</v>
      </c>
      <c r="N121" s="135">
        <v>16</v>
      </c>
      <c r="O121" s="135">
        <v>15</v>
      </c>
      <c r="P121" s="218">
        <f t="shared" si="2"/>
        <v>116</v>
      </c>
    </row>
    <row r="122" spans="1:16" x14ac:dyDescent="0.35">
      <c r="A122" s="362"/>
      <c r="B122" s="362"/>
      <c r="C122" s="6" t="s">
        <v>1623</v>
      </c>
      <c r="D122" s="6" t="s">
        <v>1941</v>
      </c>
      <c r="E122" s="6" t="s">
        <v>2046</v>
      </c>
      <c r="F122" s="6" t="s">
        <v>2057</v>
      </c>
      <c r="G122" s="6" t="s">
        <v>2058</v>
      </c>
      <c r="H122" s="97">
        <v>0</v>
      </c>
      <c r="I122" s="97">
        <v>1</v>
      </c>
      <c r="J122" s="97">
        <v>2</v>
      </c>
      <c r="K122" s="6">
        <v>0</v>
      </c>
      <c r="L122" s="137">
        <v>1</v>
      </c>
      <c r="M122" s="135">
        <v>0</v>
      </c>
      <c r="N122" s="135">
        <v>1</v>
      </c>
      <c r="O122" s="135">
        <v>1</v>
      </c>
      <c r="P122" s="218">
        <f t="shared" si="2"/>
        <v>6</v>
      </c>
    </row>
    <row r="123" spans="1:16" x14ac:dyDescent="0.35">
      <c r="A123" s="362"/>
      <c r="B123" s="362"/>
      <c r="C123" s="6" t="s">
        <v>1623</v>
      </c>
      <c r="D123" s="6" t="s">
        <v>1941</v>
      </c>
      <c r="E123" s="6" t="s">
        <v>2046</v>
      </c>
      <c r="F123" s="6" t="s">
        <v>2057</v>
      </c>
      <c r="G123" s="6" t="s">
        <v>2057</v>
      </c>
      <c r="H123" s="97">
        <v>3</v>
      </c>
      <c r="I123" s="97">
        <v>3</v>
      </c>
      <c r="J123" s="97">
        <v>10</v>
      </c>
      <c r="K123" s="6">
        <v>11</v>
      </c>
      <c r="L123" s="137">
        <v>4</v>
      </c>
      <c r="M123" s="135">
        <v>6</v>
      </c>
      <c r="N123" s="135">
        <v>6</v>
      </c>
      <c r="O123" s="135">
        <v>7</v>
      </c>
      <c r="P123" s="218">
        <f t="shared" si="2"/>
        <v>50</v>
      </c>
    </row>
    <row r="124" spans="1:16" x14ac:dyDescent="0.35">
      <c r="A124" s="362"/>
      <c r="B124" s="362"/>
      <c r="C124" s="6" t="s">
        <v>1623</v>
      </c>
      <c r="D124" s="6" t="s">
        <v>1941</v>
      </c>
      <c r="E124" s="6" t="s">
        <v>2046</v>
      </c>
      <c r="F124" s="6" t="s">
        <v>2057</v>
      </c>
      <c r="G124" s="6" t="s">
        <v>2059</v>
      </c>
      <c r="H124" s="97">
        <v>7</v>
      </c>
      <c r="I124" s="97">
        <v>8</v>
      </c>
      <c r="J124" s="97">
        <v>26</v>
      </c>
      <c r="K124" s="6">
        <v>22</v>
      </c>
      <c r="L124" s="137">
        <v>10</v>
      </c>
      <c r="M124" s="135">
        <v>12</v>
      </c>
      <c r="N124" s="135">
        <v>17</v>
      </c>
      <c r="O124" s="135">
        <v>14</v>
      </c>
      <c r="P124" s="218">
        <f t="shared" si="2"/>
        <v>116</v>
      </c>
    </row>
    <row r="125" spans="1:16" x14ac:dyDescent="0.35">
      <c r="A125" s="362"/>
      <c r="B125" s="362"/>
      <c r="C125" s="6" t="s">
        <v>1623</v>
      </c>
      <c r="D125" s="6" t="s">
        <v>1941</v>
      </c>
      <c r="E125" s="6" t="s">
        <v>2046</v>
      </c>
      <c r="F125" s="6" t="s">
        <v>2057</v>
      </c>
      <c r="G125" s="6" t="s">
        <v>2060</v>
      </c>
      <c r="H125" s="97">
        <v>3</v>
      </c>
      <c r="I125" s="97">
        <v>4</v>
      </c>
      <c r="J125" s="97">
        <v>3</v>
      </c>
      <c r="K125" s="6">
        <v>21</v>
      </c>
      <c r="L125" s="137">
        <v>6</v>
      </c>
      <c r="M125" s="135">
        <v>5</v>
      </c>
      <c r="N125" s="135">
        <v>7</v>
      </c>
      <c r="O125" s="135">
        <v>9</v>
      </c>
      <c r="P125" s="218">
        <f t="shared" si="2"/>
        <v>58</v>
      </c>
    </row>
    <row r="126" spans="1:16" x14ac:dyDescent="0.35">
      <c r="A126" s="362"/>
      <c r="B126" s="362"/>
      <c r="C126" s="6" t="s">
        <v>1623</v>
      </c>
      <c r="D126" s="6" t="s">
        <v>1941</v>
      </c>
      <c r="E126" s="6" t="s">
        <v>2061</v>
      </c>
      <c r="F126" s="6" t="s">
        <v>2062</v>
      </c>
      <c r="G126" s="6" t="s">
        <v>2063</v>
      </c>
      <c r="H126" s="97">
        <v>0</v>
      </c>
      <c r="I126" s="97">
        <v>1</v>
      </c>
      <c r="J126" s="97">
        <v>1</v>
      </c>
      <c r="K126" s="6">
        <v>1</v>
      </c>
      <c r="L126" s="137">
        <v>1</v>
      </c>
      <c r="M126" s="135">
        <v>0</v>
      </c>
      <c r="N126" s="135">
        <v>1</v>
      </c>
      <c r="O126" s="135">
        <v>0</v>
      </c>
      <c r="P126" s="218">
        <f t="shared" si="2"/>
        <v>5</v>
      </c>
    </row>
    <row r="127" spans="1:16" x14ac:dyDescent="0.35">
      <c r="A127" s="362"/>
      <c r="B127" s="362"/>
      <c r="C127" s="6" t="s">
        <v>1623</v>
      </c>
      <c r="D127" s="6" t="s">
        <v>1941</v>
      </c>
      <c r="E127" s="6" t="s">
        <v>2061</v>
      </c>
      <c r="F127" s="6" t="s">
        <v>2030</v>
      </c>
      <c r="G127" s="6" t="s">
        <v>2064</v>
      </c>
      <c r="H127" s="97">
        <v>31</v>
      </c>
      <c r="I127" s="97">
        <v>33</v>
      </c>
      <c r="J127" s="97">
        <v>147</v>
      </c>
      <c r="K127" s="6">
        <v>161</v>
      </c>
      <c r="L127" s="137">
        <v>47</v>
      </c>
      <c r="M127" s="135">
        <v>50</v>
      </c>
      <c r="N127" s="135">
        <v>59</v>
      </c>
      <c r="O127" s="135">
        <v>75</v>
      </c>
      <c r="P127" s="218">
        <f t="shared" si="2"/>
        <v>603</v>
      </c>
    </row>
    <row r="128" spans="1:16" x14ac:dyDescent="0.35">
      <c r="A128" s="362"/>
      <c r="B128" s="362"/>
      <c r="C128" s="6" t="s">
        <v>1623</v>
      </c>
      <c r="D128" s="6" t="s">
        <v>1941</v>
      </c>
      <c r="E128" s="6" t="s">
        <v>2061</v>
      </c>
      <c r="F128" s="6" t="s">
        <v>2030</v>
      </c>
      <c r="G128" s="6" t="s">
        <v>2065</v>
      </c>
      <c r="H128" s="97">
        <v>1</v>
      </c>
      <c r="I128" s="97">
        <v>2</v>
      </c>
      <c r="J128" s="97">
        <v>6</v>
      </c>
      <c r="K128" s="6">
        <v>4</v>
      </c>
      <c r="L128" s="137">
        <v>2</v>
      </c>
      <c r="M128" s="135">
        <v>2</v>
      </c>
      <c r="N128" s="135">
        <v>2</v>
      </c>
      <c r="O128" s="135">
        <v>4</v>
      </c>
      <c r="P128" s="218">
        <f t="shared" si="2"/>
        <v>23</v>
      </c>
    </row>
    <row r="129" spans="1:16" x14ac:dyDescent="0.35">
      <c r="A129" s="362"/>
      <c r="B129" s="362"/>
      <c r="C129" s="6" t="s">
        <v>1623</v>
      </c>
      <c r="D129" s="6" t="s">
        <v>1941</v>
      </c>
      <c r="E129" s="6" t="s">
        <v>2061</v>
      </c>
      <c r="F129" s="6" t="s">
        <v>2030</v>
      </c>
      <c r="G129" s="6" t="s">
        <v>2066</v>
      </c>
      <c r="H129" s="97">
        <v>6</v>
      </c>
      <c r="I129" s="97">
        <v>7</v>
      </c>
      <c r="J129" s="97">
        <v>19</v>
      </c>
      <c r="K129" s="6">
        <v>23</v>
      </c>
      <c r="L129" s="137">
        <v>10</v>
      </c>
      <c r="M129" s="135">
        <v>9</v>
      </c>
      <c r="N129" s="135">
        <v>12</v>
      </c>
      <c r="O129" s="135">
        <v>15</v>
      </c>
      <c r="P129" s="218">
        <f t="shared" si="2"/>
        <v>101</v>
      </c>
    </row>
    <row r="130" spans="1:16" x14ac:dyDescent="0.35">
      <c r="A130" s="362"/>
      <c r="B130" s="362"/>
      <c r="C130" s="6" t="s">
        <v>1623</v>
      </c>
      <c r="D130" s="6" t="s">
        <v>1941</v>
      </c>
      <c r="E130" s="6" t="s">
        <v>2067</v>
      </c>
      <c r="F130" s="6" t="s">
        <v>647</v>
      </c>
      <c r="G130" s="6" t="s">
        <v>2068</v>
      </c>
      <c r="H130" s="97">
        <v>4</v>
      </c>
      <c r="I130" s="97">
        <v>4</v>
      </c>
      <c r="J130" s="97">
        <v>13</v>
      </c>
      <c r="K130" s="6">
        <v>14</v>
      </c>
      <c r="L130" s="137">
        <v>6</v>
      </c>
      <c r="M130" s="135">
        <v>7</v>
      </c>
      <c r="N130" s="135">
        <v>8</v>
      </c>
      <c r="O130" s="135">
        <v>10</v>
      </c>
      <c r="P130" s="218">
        <f t="shared" si="2"/>
        <v>66</v>
      </c>
    </row>
    <row r="131" spans="1:16" x14ac:dyDescent="0.35">
      <c r="A131" s="362"/>
      <c r="B131" s="362"/>
      <c r="C131" s="6" t="s">
        <v>1623</v>
      </c>
      <c r="D131" s="6" t="s">
        <v>1941</v>
      </c>
      <c r="E131" s="6" t="s">
        <v>2067</v>
      </c>
      <c r="F131" s="6" t="s">
        <v>647</v>
      </c>
      <c r="G131" s="6" t="s">
        <v>2069</v>
      </c>
      <c r="H131" s="97">
        <v>1</v>
      </c>
      <c r="I131" s="97">
        <v>1</v>
      </c>
      <c r="J131" s="97">
        <v>4</v>
      </c>
      <c r="K131" s="6">
        <v>2</v>
      </c>
      <c r="L131" s="137">
        <v>2</v>
      </c>
      <c r="M131" s="135">
        <v>1</v>
      </c>
      <c r="N131" s="135">
        <v>3</v>
      </c>
      <c r="O131" s="135">
        <v>1</v>
      </c>
      <c r="P131" s="218">
        <f t="shared" si="2"/>
        <v>15</v>
      </c>
    </row>
    <row r="132" spans="1:16" x14ac:dyDescent="0.35">
      <c r="A132" s="362"/>
      <c r="B132" s="362"/>
      <c r="C132" s="6" t="s">
        <v>1623</v>
      </c>
      <c r="D132" s="6" t="s">
        <v>1941</v>
      </c>
      <c r="E132" s="6" t="s">
        <v>2067</v>
      </c>
      <c r="F132" s="6" t="s">
        <v>647</v>
      </c>
      <c r="G132" s="6" t="s">
        <v>2070</v>
      </c>
      <c r="H132" s="97">
        <v>2</v>
      </c>
      <c r="I132" s="97">
        <v>2</v>
      </c>
      <c r="J132" s="97">
        <v>6</v>
      </c>
      <c r="K132" s="6">
        <v>8</v>
      </c>
      <c r="L132" s="137">
        <v>3</v>
      </c>
      <c r="M132" s="135">
        <v>4</v>
      </c>
      <c r="N132" s="135">
        <v>5</v>
      </c>
      <c r="O132" s="135">
        <v>4</v>
      </c>
      <c r="P132" s="218">
        <f t="shared" si="2"/>
        <v>34</v>
      </c>
    </row>
    <row r="133" spans="1:16" x14ac:dyDescent="0.35">
      <c r="A133" s="362"/>
      <c r="B133" s="362"/>
      <c r="C133" s="6" t="s">
        <v>1623</v>
      </c>
      <c r="D133" s="6" t="s">
        <v>1941</v>
      </c>
      <c r="E133" s="6" t="s">
        <v>2067</v>
      </c>
      <c r="F133" s="6" t="s">
        <v>647</v>
      </c>
      <c r="G133" s="6" t="s">
        <v>2071</v>
      </c>
      <c r="H133" s="97">
        <v>0</v>
      </c>
      <c r="I133" s="97">
        <v>1</v>
      </c>
      <c r="J133" s="97">
        <v>1</v>
      </c>
      <c r="K133" s="6">
        <v>1</v>
      </c>
      <c r="L133" s="137">
        <v>0</v>
      </c>
      <c r="M133" s="135">
        <v>1</v>
      </c>
      <c r="N133" s="135">
        <v>-1</v>
      </c>
      <c r="O133" s="135">
        <v>2</v>
      </c>
      <c r="P133" s="218">
        <f t="shared" ref="P133:P196" si="5">H133+I133+J133+K133+L133+M133+N133+O133</f>
        <v>5</v>
      </c>
    </row>
    <row r="134" spans="1:16" x14ac:dyDescent="0.35">
      <c r="A134" s="362"/>
      <c r="B134" s="362"/>
      <c r="C134" s="6" t="s">
        <v>1623</v>
      </c>
      <c r="D134" s="6" t="s">
        <v>1941</v>
      </c>
      <c r="E134" s="6" t="s">
        <v>2067</v>
      </c>
      <c r="F134" s="6" t="s">
        <v>647</v>
      </c>
      <c r="G134" s="6" t="s">
        <v>1963</v>
      </c>
      <c r="H134" s="97">
        <v>1</v>
      </c>
      <c r="I134" s="97">
        <v>1</v>
      </c>
      <c r="J134" s="97">
        <v>4</v>
      </c>
      <c r="K134" s="6">
        <v>2</v>
      </c>
      <c r="L134" s="137">
        <v>2</v>
      </c>
      <c r="M134" s="135">
        <v>1</v>
      </c>
      <c r="N134" s="135">
        <v>3</v>
      </c>
      <c r="O134" s="135">
        <v>1</v>
      </c>
      <c r="P134" s="218">
        <f t="shared" si="5"/>
        <v>15</v>
      </c>
    </row>
    <row r="135" spans="1:16" x14ac:dyDescent="0.35">
      <c r="A135" s="362"/>
      <c r="B135" s="362"/>
      <c r="C135" s="6" t="s">
        <v>1623</v>
      </c>
      <c r="D135" s="6" t="s">
        <v>1941</v>
      </c>
      <c r="E135" s="6" t="s">
        <v>2067</v>
      </c>
      <c r="F135" s="6" t="s">
        <v>647</v>
      </c>
      <c r="G135" s="6" t="s">
        <v>2072</v>
      </c>
      <c r="H135" s="97">
        <v>0</v>
      </c>
      <c r="I135" s="97">
        <v>1</v>
      </c>
      <c r="J135" s="97">
        <v>2</v>
      </c>
      <c r="K135" s="6">
        <v>0</v>
      </c>
      <c r="L135" s="137">
        <v>1</v>
      </c>
      <c r="M135" s="135">
        <v>0</v>
      </c>
      <c r="N135" s="135">
        <v>1</v>
      </c>
      <c r="O135" s="135">
        <v>0</v>
      </c>
      <c r="P135" s="218">
        <f t="shared" si="5"/>
        <v>5</v>
      </c>
    </row>
    <row r="136" spans="1:16" x14ac:dyDescent="0.35">
      <c r="A136" s="362"/>
      <c r="B136" s="362"/>
      <c r="C136" s="6" t="s">
        <v>1623</v>
      </c>
      <c r="D136" s="6" t="s">
        <v>1941</v>
      </c>
      <c r="E136" s="6" t="s">
        <v>2067</v>
      </c>
      <c r="F136" s="6" t="s">
        <v>1941</v>
      </c>
      <c r="G136" s="6" t="s">
        <v>2073</v>
      </c>
      <c r="H136" s="97">
        <v>1</v>
      </c>
      <c r="I136" s="97">
        <v>1</v>
      </c>
      <c r="J136" s="97">
        <v>4</v>
      </c>
      <c r="K136" s="6">
        <v>2</v>
      </c>
      <c r="L136" s="137">
        <v>1</v>
      </c>
      <c r="M136" s="135">
        <v>2</v>
      </c>
      <c r="N136" s="135">
        <v>1</v>
      </c>
      <c r="O136" s="135">
        <v>3</v>
      </c>
      <c r="P136" s="218">
        <f t="shared" si="5"/>
        <v>15</v>
      </c>
    </row>
    <row r="137" spans="1:16" x14ac:dyDescent="0.35">
      <c r="A137" s="362"/>
      <c r="B137" s="362"/>
      <c r="C137" s="6" t="s">
        <v>1623</v>
      </c>
      <c r="D137" s="6" t="s">
        <v>1941</v>
      </c>
      <c r="E137" s="6" t="s">
        <v>2067</v>
      </c>
      <c r="F137" s="6" t="s">
        <v>1941</v>
      </c>
      <c r="G137" s="6" t="s">
        <v>2074</v>
      </c>
      <c r="H137" s="97">
        <v>4</v>
      </c>
      <c r="I137" s="97">
        <v>4</v>
      </c>
      <c r="J137" s="97">
        <v>14</v>
      </c>
      <c r="K137" s="6">
        <v>12</v>
      </c>
      <c r="L137" s="137">
        <v>5</v>
      </c>
      <c r="M137" s="135">
        <v>7</v>
      </c>
      <c r="N137" s="135">
        <v>9</v>
      </c>
      <c r="O137" s="135">
        <v>8</v>
      </c>
      <c r="P137" s="218">
        <f t="shared" si="5"/>
        <v>63</v>
      </c>
    </row>
    <row r="138" spans="1:16" x14ac:dyDescent="0.35">
      <c r="A138" s="362"/>
      <c r="B138" s="362"/>
      <c r="C138" s="6" t="s">
        <v>1623</v>
      </c>
      <c r="D138" s="6" t="s">
        <v>1941</v>
      </c>
      <c r="E138" s="6" t="s">
        <v>2067</v>
      </c>
      <c r="F138" s="6" t="s">
        <v>1941</v>
      </c>
      <c r="G138" s="6" t="s">
        <v>2075</v>
      </c>
      <c r="H138" s="97">
        <v>3</v>
      </c>
      <c r="I138" s="97">
        <v>4</v>
      </c>
      <c r="J138" s="97">
        <v>9</v>
      </c>
      <c r="K138" s="6">
        <v>15</v>
      </c>
      <c r="L138" s="137">
        <v>5</v>
      </c>
      <c r="M138" s="135">
        <v>6</v>
      </c>
      <c r="N138" s="135">
        <v>7</v>
      </c>
      <c r="O138" s="135">
        <v>9</v>
      </c>
      <c r="P138" s="218">
        <f t="shared" si="5"/>
        <v>58</v>
      </c>
    </row>
    <row r="139" spans="1:16" x14ac:dyDescent="0.35">
      <c r="A139" s="362"/>
      <c r="B139" s="362"/>
      <c r="C139" s="6" t="s">
        <v>1623</v>
      </c>
      <c r="D139" s="6" t="s">
        <v>1941</v>
      </c>
      <c r="E139" s="6" t="s">
        <v>2067</v>
      </c>
      <c r="F139" s="6" t="s">
        <v>1941</v>
      </c>
      <c r="G139" s="6" t="s">
        <v>2076</v>
      </c>
      <c r="H139" s="97">
        <v>3</v>
      </c>
      <c r="I139" s="97">
        <v>3</v>
      </c>
      <c r="J139" s="97">
        <v>10</v>
      </c>
      <c r="K139" s="6">
        <v>11</v>
      </c>
      <c r="L139" s="137">
        <v>4</v>
      </c>
      <c r="M139" s="135">
        <v>6</v>
      </c>
      <c r="N139" s="135">
        <v>6</v>
      </c>
      <c r="O139" s="135">
        <v>7</v>
      </c>
      <c r="P139" s="218">
        <f t="shared" si="5"/>
        <v>50</v>
      </c>
    </row>
    <row r="140" spans="1:16" x14ac:dyDescent="0.35">
      <c r="A140" s="362"/>
      <c r="B140" s="362"/>
      <c r="C140" s="6" t="s">
        <v>1623</v>
      </c>
      <c r="D140" s="6" t="s">
        <v>1941</v>
      </c>
      <c r="E140" s="6" t="s">
        <v>2067</v>
      </c>
      <c r="F140" s="6" t="s">
        <v>1941</v>
      </c>
      <c r="G140" s="6" t="s">
        <v>2077</v>
      </c>
      <c r="H140" s="97">
        <v>2</v>
      </c>
      <c r="I140" s="97">
        <v>2</v>
      </c>
      <c r="J140" s="97">
        <v>3</v>
      </c>
      <c r="K140" s="6">
        <v>11</v>
      </c>
      <c r="L140" s="137">
        <v>3</v>
      </c>
      <c r="M140" s="135">
        <v>4</v>
      </c>
      <c r="N140" s="135">
        <v>3</v>
      </c>
      <c r="O140" s="135">
        <v>6</v>
      </c>
      <c r="P140" s="218">
        <f t="shared" si="5"/>
        <v>34</v>
      </c>
    </row>
    <row r="141" spans="1:16" x14ac:dyDescent="0.35">
      <c r="A141" s="362"/>
      <c r="B141" s="362"/>
      <c r="C141" s="6" t="s">
        <v>1623</v>
      </c>
      <c r="D141" s="6" t="s">
        <v>1941</v>
      </c>
      <c r="E141" s="6" t="s">
        <v>2067</v>
      </c>
      <c r="F141" s="6" t="s">
        <v>2078</v>
      </c>
      <c r="G141" s="6" t="s">
        <v>2079</v>
      </c>
      <c r="H141" s="97">
        <v>1</v>
      </c>
      <c r="I141" s="97">
        <v>1</v>
      </c>
      <c r="J141" s="97">
        <v>4</v>
      </c>
      <c r="K141" s="6">
        <v>2</v>
      </c>
      <c r="L141" s="137">
        <v>2</v>
      </c>
      <c r="M141" s="135">
        <v>1</v>
      </c>
      <c r="N141" s="135">
        <v>1</v>
      </c>
      <c r="O141" s="135">
        <v>3</v>
      </c>
      <c r="P141" s="218">
        <f t="shared" si="5"/>
        <v>15</v>
      </c>
    </row>
    <row r="142" spans="1:16" x14ac:dyDescent="0.35">
      <c r="A142" s="362"/>
      <c r="B142" s="362"/>
      <c r="C142" s="6" t="s">
        <v>1623</v>
      </c>
      <c r="D142" s="6" t="s">
        <v>1941</v>
      </c>
      <c r="E142" s="6" t="s">
        <v>2067</v>
      </c>
      <c r="F142" s="6" t="s">
        <v>2078</v>
      </c>
      <c r="G142" s="6" t="s">
        <v>2080</v>
      </c>
      <c r="H142" s="97">
        <v>31</v>
      </c>
      <c r="I142" s="97">
        <v>33</v>
      </c>
      <c r="J142" s="97">
        <v>97</v>
      </c>
      <c r="K142" s="6">
        <v>111</v>
      </c>
      <c r="L142" s="137">
        <v>46</v>
      </c>
      <c r="M142" s="135">
        <v>51</v>
      </c>
      <c r="N142" s="135">
        <v>65</v>
      </c>
      <c r="O142" s="135">
        <v>69</v>
      </c>
      <c r="P142" s="218">
        <f t="shared" si="5"/>
        <v>503</v>
      </c>
    </row>
    <row r="143" spans="1:16" x14ac:dyDescent="0.35">
      <c r="A143" s="362"/>
      <c r="B143" s="362"/>
      <c r="C143" s="6" t="s">
        <v>1623</v>
      </c>
      <c r="D143" s="6" t="s">
        <v>1941</v>
      </c>
      <c r="E143" s="6" t="s">
        <v>2067</v>
      </c>
      <c r="F143" s="6" t="s">
        <v>2081</v>
      </c>
      <c r="G143" s="6" t="s">
        <v>2082</v>
      </c>
      <c r="H143" s="97">
        <v>24</v>
      </c>
      <c r="I143" s="97">
        <v>25</v>
      </c>
      <c r="J143" s="97">
        <v>59</v>
      </c>
      <c r="K143" s="6">
        <v>101</v>
      </c>
      <c r="L143" s="137">
        <v>39</v>
      </c>
      <c r="M143" s="135">
        <v>36</v>
      </c>
      <c r="N143" s="135">
        <v>52</v>
      </c>
      <c r="O143" s="135">
        <v>51</v>
      </c>
      <c r="P143" s="218">
        <f t="shared" si="5"/>
        <v>387</v>
      </c>
    </row>
    <row r="144" spans="1:16" x14ac:dyDescent="0.35">
      <c r="A144" s="362"/>
      <c r="B144" s="362"/>
      <c r="C144" s="6" t="s">
        <v>1623</v>
      </c>
      <c r="D144" s="6" t="s">
        <v>1941</v>
      </c>
      <c r="E144" s="6" t="s">
        <v>2067</v>
      </c>
      <c r="F144" s="6" t="s">
        <v>2081</v>
      </c>
      <c r="G144" s="6" t="s">
        <v>2083</v>
      </c>
      <c r="H144" s="97">
        <v>2</v>
      </c>
      <c r="I144" s="97">
        <v>2</v>
      </c>
      <c r="J144" s="97">
        <v>6</v>
      </c>
      <c r="K144" s="6">
        <v>8</v>
      </c>
      <c r="L144" s="137">
        <v>5</v>
      </c>
      <c r="M144" s="135">
        <v>2</v>
      </c>
      <c r="N144" s="135">
        <v>5</v>
      </c>
      <c r="O144" s="135">
        <v>4</v>
      </c>
      <c r="P144" s="218">
        <f t="shared" si="5"/>
        <v>34</v>
      </c>
    </row>
    <row r="145" spans="1:16" x14ac:dyDescent="0.35">
      <c r="A145" s="362"/>
      <c r="B145" s="362"/>
      <c r="C145" s="6" t="s">
        <v>1623</v>
      </c>
      <c r="D145" s="6" t="s">
        <v>1941</v>
      </c>
      <c r="E145" s="6" t="s">
        <v>2067</v>
      </c>
      <c r="F145" s="6" t="s">
        <v>2081</v>
      </c>
      <c r="G145" s="6" t="s">
        <v>2084</v>
      </c>
      <c r="H145" s="97">
        <v>19</v>
      </c>
      <c r="I145" s="97">
        <v>20</v>
      </c>
      <c r="J145" s="97">
        <v>61</v>
      </c>
      <c r="K145" s="6">
        <v>67</v>
      </c>
      <c r="L145" s="137">
        <v>28</v>
      </c>
      <c r="M145" s="135">
        <v>32</v>
      </c>
      <c r="N145" s="135">
        <v>43</v>
      </c>
      <c r="O145" s="135">
        <v>40</v>
      </c>
      <c r="P145" s="218">
        <f t="shared" si="5"/>
        <v>310</v>
      </c>
    </row>
    <row r="146" spans="1:16" x14ac:dyDescent="0.35">
      <c r="A146" s="362"/>
      <c r="B146" s="362"/>
      <c r="C146" s="6" t="s">
        <v>1623</v>
      </c>
      <c r="D146" s="6" t="s">
        <v>1941</v>
      </c>
      <c r="E146" s="6" t="s">
        <v>2067</v>
      </c>
      <c r="F146" s="6" t="s">
        <v>2081</v>
      </c>
      <c r="G146" s="6" t="s">
        <v>2081</v>
      </c>
      <c r="H146" s="97">
        <v>3</v>
      </c>
      <c r="I146" s="97">
        <v>3</v>
      </c>
      <c r="J146" s="97">
        <v>12</v>
      </c>
      <c r="K146" s="6">
        <v>9</v>
      </c>
      <c r="L146" s="137">
        <v>4</v>
      </c>
      <c r="M146" s="135">
        <v>6</v>
      </c>
      <c r="N146" s="135">
        <v>6</v>
      </c>
      <c r="O146" s="135">
        <v>7</v>
      </c>
      <c r="P146" s="218">
        <f t="shared" si="5"/>
        <v>50</v>
      </c>
    </row>
    <row r="147" spans="1:16" x14ac:dyDescent="0.35">
      <c r="A147" s="362"/>
      <c r="B147" s="362"/>
      <c r="C147" s="140" t="s">
        <v>2</v>
      </c>
      <c r="D147" s="139"/>
      <c r="E147" s="139"/>
      <c r="F147" s="139"/>
      <c r="G147" s="139"/>
      <c r="H147" s="165">
        <f>SUM(H111:H146)</f>
        <v>235</v>
      </c>
      <c r="I147" s="165">
        <f t="shared" ref="I147:O147" si="6">SUM(I111:I146)</f>
        <v>255</v>
      </c>
      <c r="J147" s="166">
        <f t="shared" si="6"/>
        <v>804</v>
      </c>
      <c r="K147" s="166">
        <f t="shared" si="6"/>
        <v>894</v>
      </c>
      <c r="L147" s="141">
        <f t="shared" si="6"/>
        <v>363</v>
      </c>
      <c r="M147" s="141">
        <f t="shared" si="6"/>
        <v>383</v>
      </c>
      <c r="N147" s="146">
        <f t="shared" si="6"/>
        <v>493</v>
      </c>
      <c r="O147" s="146">
        <f t="shared" si="6"/>
        <v>536</v>
      </c>
      <c r="P147" s="217">
        <f t="shared" si="5"/>
        <v>3963</v>
      </c>
    </row>
    <row r="148" spans="1:16" x14ac:dyDescent="0.35">
      <c r="A148" s="362">
        <v>5</v>
      </c>
      <c r="B148" s="362" t="s">
        <v>3301</v>
      </c>
      <c r="C148" s="6" t="s">
        <v>1623</v>
      </c>
      <c r="D148" s="6" t="s">
        <v>1941</v>
      </c>
      <c r="E148" s="6" t="s">
        <v>2085</v>
      </c>
      <c r="F148" s="6" t="s">
        <v>2086</v>
      </c>
      <c r="G148" s="6" t="s">
        <v>2087</v>
      </c>
      <c r="H148" s="97">
        <v>6</v>
      </c>
      <c r="I148" s="97">
        <v>7</v>
      </c>
      <c r="J148" s="6">
        <v>39</v>
      </c>
      <c r="K148" s="6">
        <v>44</v>
      </c>
      <c r="L148" s="136">
        <v>15</v>
      </c>
      <c r="M148" s="135">
        <v>17</v>
      </c>
      <c r="N148" s="135">
        <v>24</v>
      </c>
      <c r="O148" s="135">
        <v>25</v>
      </c>
      <c r="P148" s="218">
        <f t="shared" si="5"/>
        <v>177</v>
      </c>
    </row>
    <row r="149" spans="1:16" x14ac:dyDescent="0.35">
      <c r="A149" s="362"/>
      <c r="B149" s="362"/>
      <c r="C149" s="6" t="s">
        <v>1623</v>
      </c>
      <c r="D149" s="6" t="s">
        <v>1941</v>
      </c>
      <c r="E149" s="6" t="s">
        <v>2085</v>
      </c>
      <c r="F149" s="6" t="s">
        <v>2086</v>
      </c>
      <c r="G149" s="6" t="s">
        <v>2088</v>
      </c>
      <c r="H149" s="97">
        <v>3</v>
      </c>
      <c r="I149" s="97">
        <v>4</v>
      </c>
      <c r="J149" s="6">
        <v>34</v>
      </c>
      <c r="K149" s="6">
        <v>21</v>
      </c>
      <c r="L149" s="136">
        <v>7</v>
      </c>
      <c r="M149" s="135">
        <v>9</v>
      </c>
      <c r="N149" s="135">
        <v>21</v>
      </c>
      <c r="O149" s="135">
        <v>26</v>
      </c>
      <c r="P149" s="218">
        <f t="shared" si="5"/>
        <v>125</v>
      </c>
    </row>
    <row r="150" spans="1:16" x14ac:dyDescent="0.35">
      <c r="A150" s="362"/>
      <c r="B150" s="362"/>
      <c r="C150" s="6" t="s">
        <v>1623</v>
      </c>
      <c r="D150" s="6" t="s">
        <v>1941</v>
      </c>
      <c r="E150" s="6" t="s">
        <v>2085</v>
      </c>
      <c r="F150" s="6" t="s">
        <v>2086</v>
      </c>
      <c r="G150" s="6" t="s">
        <v>2089</v>
      </c>
      <c r="H150" s="97">
        <v>1</v>
      </c>
      <c r="I150" s="97">
        <v>2</v>
      </c>
      <c r="J150" s="6">
        <v>23</v>
      </c>
      <c r="K150" s="6">
        <v>24</v>
      </c>
      <c r="L150" s="136">
        <v>9</v>
      </c>
      <c r="M150" s="135">
        <v>7</v>
      </c>
      <c r="N150" s="135">
        <v>6</v>
      </c>
      <c r="O150" s="135">
        <v>4</v>
      </c>
      <c r="P150" s="218">
        <f t="shared" si="5"/>
        <v>76</v>
      </c>
    </row>
    <row r="151" spans="1:16" x14ac:dyDescent="0.35">
      <c r="A151" s="362"/>
      <c r="B151" s="362"/>
      <c r="C151" s="6" t="s">
        <v>1623</v>
      </c>
      <c r="D151" s="6" t="s">
        <v>1941</v>
      </c>
      <c r="E151" s="6" t="s">
        <v>2090</v>
      </c>
      <c r="F151" s="6" t="s">
        <v>2091</v>
      </c>
      <c r="G151" s="6" t="s">
        <v>2092</v>
      </c>
      <c r="H151" s="97">
        <v>5</v>
      </c>
      <c r="I151" s="97">
        <v>6</v>
      </c>
      <c r="J151" s="6">
        <v>20</v>
      </c>
      <c r="K151" s="6">
        <v>15</v>
      </c>
      <c r="L151" s="136">
        <v>10</v>
      </c>
      <c r="M151" s="135">
        <v>11</v>
      </c>
      <c r="N151" s="135">
        <v>21</v>
      </c>
      <c r="O151" s="135">
        <v>16</v>
      </c>
      <c r="P151" s="218">
        <f t="shared" si="5"/>
        <v>104</v>
      </c>
    </row>
    <row r="152" spans="1:16" x14ac:dyDescent="0.35">
      <c r="A152" s="362"/>
      <c r="B152" s="362"/>
      <c r="C152" s="6" t="s">
        <v>1623</v>
      </c>
      <c r="D152" s="6" t="s">
        <v>1941</v>
      </c>
      <c r="E152" s="6" t="s">
        <v>2090</v>
      </c>
      <c r="F152" s="6" t="s">
        <v>2091</v>
      </c>
      <c r="G152" s="6" t="s">
        <v>2093</v>
      </c>
      <c r="H152" s="97">
        <v>2</v>
      </c>
      <c r="I152" s="97">
        <v>2</v>
      </c>
      <c r="J152" s="6">
        <v>39</v>
      </c>
      <c r="K152" s="6">
        <v>35</v>
      </c>
      <c r="L152" s="136">
        <v>13</v>
      </c>
      <c r="M152" s="135">
        <v>12</v>
      </c>
      <c r="N152" s="135">
        <v>6</v>
      </c>
      <c r="O152" s="135">
        <v>4</v>
      </c>
      <c r="P152" s="218">
        <f t="shared" si="5"/>
        <v>113</v>
      </c>
    </row>
    <row r="153" spans="1:16" x14ac:dyDescent="0.35">
      <c r="A153" s="362"/>
      <c r="B153" s="362"/>
      <c r="C153" s="6" t="s">
        <v>1623</v>
      </c>
      <c r="D153" s="6" t="s">
        <v>1941</v>
      </c>
      <c r="E153" s="6" t="s">
        <v>2090</v>
      </c>
      <c r="F153" s="6" t="s">
        <v>2091</v>
      </c>
      <c r="G153" s="6" t="s">
        <v>2065</v>
      </c>
      <c r="H153" s="97">
        <v>4</v>
      </c>
      <c r="I153" s="97">
        <v>5</v>
      </c>
      <c r="J153" s="6">
        <v>39</v>
      </c>
      <c r="K153" s="6">
        <v>32</v>
      </c>
      <c r="L153" s="136">
        <v>24</v>
      </c>
      <c r="M153" s="135">
        <v>25</v>
      </c>
      <c r="N153" s="135">
        <v>22</v>
      </c>
      <c r="O153" s="135">
        <v>25</v>
      </c>
      <c r="P153" s="218">
        <f t="shared" si="5"/>
        <v>176</v>
      </c>
    </row>
    <row r="154" spans="1:16" x14ac:dyDescent="0.35">
      <c r="A154" s="362"/>
      <c r="B154" s="362"/>
      <c r="C154" s="6" t="s">
        <v>1623</v>
      </c>
      <c r="D154" s="6" t="s">
        <v>1941</v>
      </c>
      <c r="E154" s="6" t="s">
        <v>2090</v>
      </c>
      <c r="F154" s="6" t="s">
        <v>2091</v>
      </c>
      <c r="G154" s="6" t="s">
        <v>2066</v>
      </c>
      <c r="H154" s="97">
        <v>5</v>
      </c>
      <c r="I154" s="97">
        <v>6</v>
      </c>
      <c r="J154" s="6">
        <v>21</v>
      </c>
      <c r="K154" s="6">
        <v>14</v>
      </c>
      <c r="L154" s="136">
        <v>14</v>
      </c>
      <c r="M154" s="135">
        <v>15</v>
      </c>
      <c r="N154" s="135">
        <v>21</v>
      </c>
      <c r="O154" s="135">
        <v>22</v>
      </c>
      <c r="P154" s="218">
        <f t="shared" si="5"/>
        <v>118</v>
      </c>
    </row>
    <row r="155" spans="1:16" x14ac:dyDescent="0.35">
      <c r="A155" s="362"/>
      <c r="B155" s="362"/>
      <c r="C155" s="6" t="s">
        <v>1623</v>
      </c>
      <c r="D155" s="6" t="s">
        <v>1941</v>
      </c>
      <c r="E155" s="6" t="s">
        <v>2090</v>
      </c>
      <c r="F155" s="6" t="s">
        <v>1946</v>
      </c>
      <c r="G155" s="6" t="s">
        <v>2094</v>
      </c>
      <c r="H155" s="97">
        <v>6</v>
      </c>
      <c r="I155" s="97">
        <v>7</v>
      </c>
      <c r="J155" s="6">
        <v>19</v>
      </c>
      <c r="K155" s="6">
        <v>10</v>
      </c>
      <c r="L155" s="136">
        <v>13</v>
      </c>
      <c r="M155" s="135">
        <v>16</v>
      </c>
      <c r="N155" s="135">
        <v>21</v>
      </c>
      <c r="O155" s="135">
        <v>17</v>
      </c>
      <c r="P155" s="218">
        <f t="shared" si="5"/>
        <v>109</v>
      </c>
    </row>
    <row r="156" spans="1:16" x14ac:dyDescent="0.35">
      <c r="A156" s="362"/>
      <c r="B156" s="362"/>
      <c r="C156" s="6" t="s">
        <v>1623</v>
      </c>
      <c r="D156" s="6" t="s">
        <v>1941</v>
      </c>
      <c r="E156" s="6" t="s">
        <v>2090</v>
      </c>
      <c r="F156" s="6" t="s">
        <v>1946</v>
      </c>
      <c r="G156" s="6" t="s">
        <v>2095</v>
      </c>
      <c r="H156" s="97">
        <v>6</v>
      </c>
      <c r="I156" s="97">
        <v>7</v>
      </c>
      <c r="J156" s="6">
        <v>14</v>
      </c>
      <c r="K156" s="6">
        <v>15</v>
      </c>
      <c r="L156" s="136">
        <v>6</v>
      </c>
      <c r="M156" s="135">
        <v>7</v>
      </c>
      <c r="N156" s="135">
        <v>17</v>
      </c>
      <c r="O156" s="135">
        <v>20</v>
      </c>
      <c r="P156" s="218">
        <f t="shared" si="5"/>
        <v>92</v>
      </c>
    </row>
    <row r="157" spans="1:16" x14ac:dyDescent="0.35">
      <c r="A157" s="362"/>
      <c r="B157" s="362"/>
      <c r="C157" s="6" t="s">
        <v>1623</v>
      </c>
      <c r="D157" s="6" t="s">
        <v>1941</v>
      </c>
      <c r="E157" s="6" t="s">
        <v>2090</v>
      </c>
      <c r="F157" s="6" t="s">
        <v>1946</v>
      </c>
      <c r="G157" s="6" t="s">
        <v>2096</v>
      </c>
      <c r="H157" s="97">
        <v>5</v>
      </c>
      <c r="I157" s="97">
        <v>5</v>
      </c>
      <c r="J157" s="6">
        <v>22</v>
      </c>
      <c r="K157" s="6">
        <v>16</v>
      </c>
      <c r="L157" s="136">
        <v>3</v>
      </c>
      <c r="M157" s="135">
        <v>5</v>
      </c>
      <c r="N157" s="135">
        <v>23</v>
      </c>
      <c r="O157" s="135">
        <v>19</v>
      </c>
      <c r="P157" s="218">
        <f t="shared" si="5"/>
        <v>98</v>
      </c>
    </row>
    <row r="158" spans="1:16" x14ac:dyDescent="0.35">
      <c r="A158" s="362"/>
      <c r="B158" s="362"/>
      <c r="C158" s="6" t="s">
        <v>1623</v>
      </c>
      <c r="D158" s="6" t="s">
        <v>1941</v>
      </c>
      <c r="E158" s="6" t="s">
        <v>2090</v>
      </c>
      <c r="F158" s="6" t="s">
        <v>1946</v>
      </c>
      <c r="G158" s="6" t="s">
        <v>2097</v>
      </c>
      <c r="H158" s="97">
        <v>3</v>
      </c>
      <c r="I158" s="97">
        <v>3</v>
      </c>
      <c r="J158" s="6">
        <v>17</v>
      </c>
      <c r="K158" s="6">
        <v>18</v>
      </c>
      <c r="L158" s="136">
        <v>16</v>
      </c>
      <c r="M158" s="135">
        <v>13</v>
      </c>
      <c r="N158" s="135">
        <v>17</v>
      </c>
      <c r="O158" s="135">
        <v>13</v>
      </c>
      <c r="P158" s="218">
        <f t="shared" si="5"/>
        <v>100</v>
      </c>
    </row>
    <row r="159" spans="1:16" x14ac:dyDescent="0.35">
      <c r="A159" s="362"/>
      <c r="B159" s="362"/>
      <c r="C159" s="6" t="s">
        <v>1623</v>
      </c>
      <c r="D159" s="6" t="s">
        <v>1941</v>
      </c>
      <c r="E159" s="6" t="s">
        <v>2090</v>
      </c>
      <c r="F159" s="6" t="s">
        <v>2098</v>
      </c>
      <c r="G159" s="6" t="s">
        <v>2099</v>
      </c>
      <c r="H159" s="97">
        <v>6</v>
      </c>
      <c r="I159" s="97">
        <v>7</v>
      </c>
      <c r="J159" s="6">
        <v>23</v>
      </c>
      <c r="K159" s="6">
        <v>21</v>
      </c>
      <c r="L159" s="136">
        <v>24</v>
      </c>
      <c r="M159" s="135">
        <v>26</v>
      </c>
      <c r="N159" s="135">
        <v>6</v>
      </c>
      <c r="O159" s="135">
        <v>8</v>
      </c>
      <c r="P159" s="218">
        <f t="shared" si="5"/>
        <v>121</v>
      </c>
    </row>
    <row r="160" spans="1:16" x14ac:dyDescent="0.35">
      <c r="A160" s="362"/>
      <c r="B160" s="362"/>
      <c r="C160" s="140" t="s">
        <v>2</v>
      </c>
      <c r="D160" s="139"/>
      <c r="E160" s="139"/>
      <c r="F160" s="139"/>
      <c r="G160" s="139"/>
      <c r="H160" s="165">
        <f>SUM(H148:H159)</f>
        <v>52</v>
      </c>
      <c r="I160" s="165">
        <f t="shared" ref="I160:O160" si="7">SUM(I148:I159)</f>
        <v>61</v>
      </c>
      <c r="J160" s="166">
        <f t="shared" si="7"/>
        <v>310</v>
      </c>
      <c r="K160" s="166">
        <f t="shared" si="7"/>
        <v>265</v>
      </c>
      <c r="L160" s="141">
        <f t="shared" si="7"/>
        <v>154</v>
      </c>
      <c r="M160" s="141">
        <f t="shared" si="7"/>
        <v>163</v>
      </c>
      <c r="N160" s="146">
        <f t="shared" si="7"/>
        <v>205</v>
      </c>
      <c r="O160" s="146">
        <f t="shared" si="7"/>
        <v>199</v>
      </c>
      <c r="P160" s="217">
        <f t="shared" si="5"/>
        <v>1409</v>
      </c>
    </row>
    <row r="161" spans="1:16" x14ac:dyDescent="0.35">
      <c r="A161" s="362">
        <v>6</v>
      </c>
      <c r="B161" s="362" t="s">
        <v>3302</v>
      </c>
      <c r="C161" s="6" t="s">
        <v>1623</v>
      </c>
      <c r="D161" s="6" t="s">
        <v>1941</v>
      </c>
      <c r="E161" s="6" t="s">
        <v>1942</v>
      </c>
      <c r="F161" s="6" t="s">
        <v>1945</v>
      </c>
      <c r="G161" s="6" t="s">
        <v>2100</v>
      </c>
      <c r="H161" s="97">
        <v>20</v>
      </c>
      <c r="I161" s="97">
        <v>20</v>
      </c>
      <c r="J161" s="99">
        <v>40</v>
      </c>
      <c r="K161" s="6">
        <v>31</v>
      </c>
      <c r="L161" s="138">
        <v>40</v>
      </c>
      <c r="M161" s="135">
        <v>37</v>
      </c>
      <c r="N161" s="135">
        <v>23</v>
      </c>
      <c r="O161" s="135">
        <v>20</v>
      </c>
      <c r="P161" s="218">
        <f t="shared" si="5"/>
        <v>231</v>
      </c>
    </row>
    <row r="162" spans="1:16" x14ac:dyDescent="0.35">
      <c r="A162" s="362"/>
      <c r="B162" s="362"/>
      <c r="C162" s="6" t="s">
        <v>1623</v>
      </c>
      <c r="D162" s="6" t="s">
        <v>1941</v>
      </c>
      <c r="E162" s="6" t="s">
        <v>1942</v>
      </c>
      <c r="F162" s="6" t="s">
        <v>1945</v>
      </c>
      <c r="G162" s="6" t="s">
        <v>2101</v>
      </c>
      <c r="H162" s="97">
        <v>9</v>
      </c>
      <c r="I162" s="97">
        <v>9</v>
      </c>
      <c r="J162" s="99">
        <v>26</v>
      </c>
      <c r="K162" s="6">
        <v>30</v>
      </c>
      <c r="L162" s="138">
        <v>29</v>
      </c>
      <c r="M162" s="135">
        <v>25</v>
      </c>
      <c r="N162" s="135">
        <v>10</v>
      </c>
      <c r="O162" s="135">
        <v>17</v>
      </c>
      <c r="P162" s="218">
        <f t="shared" si="5"/>
        <v>155</v>
      </c>
    </row>
    <row r="163" spans="1:16" x14ac:dyDescent="0.35">
      <c r="A163" s="362"/>
      <c r="B163" s="362"/>
      <c r="C163" s="6" t="s">
        <v>1623</v>
      </c>
      <c r="D163" s="6" t="s">
        <v>1941</v>
      </c>
      <c r="E163" s="6" t="s">
        <v>1942</v>
      </c>
      <c r="F163" s="6" t="s">
        <v>1945</v>
      </c>
      <c r="G163" s="6" t="s">
        <v>332</v>
      </c>
      <c r="H163" s="97">
        <v>7</v>
      </c>
      <c r="I163" s="97">
        <v>8</v>
      </c>
      <c r="J163" s="99">
        <v>40</v>
      </c>
      <c r="K163" s="6">
        <v>36</v>
      </c>
      <c r="L163" s="138">
        <v>34</v>
      </c>
      <c r="M163" s="135">
        <v>35</v>
      </c>
      <c r="N163" s="135">
        <v>17</v>
      </c>
      <c r="O163" s="135">
        <v>10</v>
      </c>
      <c r="P163" s="218">
        <f t="shared" si="5"/>
        <v>187</v>
      </c>
    </row>
    <row r="164" spans="1:16" x14ac:dyDescent="0.35">
      <c r="A164" s="362"/>
      <c r="B164" s="362"/>
      <c r="C164" s="6" t="s">
        <v>1623</v>
      </c>
      <c r="D164" s="6" t="s">
        <v>1941</v>
      </c>
      <c r="E164" s="6" t="s">
        <v>1942</v>
      </c>
      <c r="F164" s="6" t="s">
        <v>1945</v>
      </c>
      <c r="G164" s="6" t="s">
        <v>2102</v>
      </c>
      <c r="H164" s="97">
        <v>12</v>
      </c>
      <c r="I164" s="97">
        <v>12</v>
      </c>
      <c r="J164" s="99">
        <v>23</v>
      </c>
      <c r="K164" s="6">
        <v>31</v>
      </c>
      <c r="L164" s="138">
        <v>9</v>
      </c>
      <c r="M164" s="135">
        <v>8</v>
      </c>
      <c r="N164" s="135">
        <v>15</v>
      </c>
      <c r="O164" s="135">
        <v>17</v>
      </c>
      <c r="P164" s="218">
        <f t="shared" si="5"/>
        <v>127</v>
      </c>
    </row>
    <row r="165" spans="1:16" x14ac:dyDescent="0.35">
      <c r="A165" s="362"/>
      <c r="B165" s="362"/>
      <c r="C165" s="6" t="s">
        <v>1623</v>
      </c>
      <c r="D165" s="6" t="s">
        <v>1941</v>
      </c>
      <c r="E165" s="6" t="s">
        <v>1942</v>
      </c>
      <c r="F165" s="6" t="s">
        <v>1945</v>
      </c>
      <c r="G165" s="6" t="s">
        <v>2103</v>
      </c>
      <c r="H165" s="97">
        <v>16</v>
      </c>
      <c r="I165" s="97">
        <v>16</v>
      </c>
      <c r="J165" s="99">
        <v>11</v>
      </c>
      <c r="K165" s="6">
        <v>13</v>
      </c>
      <c r="L165" s="138">
        <v>3</v>
      </c>
      <c r="M165" s="135">
        <v>1</v>
      </c>
      <c r="N165" s="135">
        <v>22</v>
      </c>
      <c r="O165" s="135">
        <v>24</v>
      </c>
      <c r="P165" s="218">
        <f t="shared" si="5"/>
        <v>106</v>
      </c>
    </row>
    <row r="166" spans="1:16" x14ac:dyDescent="0.35">
      <c r="A166" s="362"/>
      <c r="B166" s="362"/>
      <c r="C166" s="6" t="s">
        <v>1623</v>
      </c>
      <c r="D166" s="6" t="s">
        <v>1941</v>
      </c>
      <c r="E166" s="6" t="s">
        <v>1942</v>
      </c>
      <c r="F166" s="6" t="s">
        <v>1945</v>
      </c>
      <c r="G166" s="6" t="s">
        <v>2104</v>
      </c>
      <c r="H166" s="97">
        <v>15</v>
      </c>
      <c r="I166" s="97">
        <v>15</v>
      </c>
      <c r="J166" s="99">
        <v>19</v>
      </c>
      <c r="K166" s="6">
        <v>25</v>
      </c>
      <c r="L166" s="138">
        <v>10</v>
      </c>
      <c r="M166" s="135">
        <v>11</v>
      </c>
      <c r="N166" s="135">
        <v>12</v>
      </c>
      <c r="O166" s="135">
        <v>13</v>
      </c>
      <c r="P166" s="218">
        <f t="shared" si="5"/>
        <v>120</v>
      </c>
    </row>
    <row r="167" spans="1:16" x14ac:dyDescent="0.35">
      <c r="A167" s="362"/>
      <c r="B167" s="362"/>
      <c r="C167" s="6" t="s">
        <v>1623</v>
      </c>
      <c r="D167" s="6" t="s">
        <v>1941</v>
      </c>
      <c r="E167" s="6" t="s">
        <v>1942</v>
      </c>
      <c r="F167" s="6" t="s">
        <v>1945</v>
      </c>
      <c r="G167" s="6" t="s">
        <v>2105</v>
      </c>
      <c r="H167" s="97">
        <v>17</v>
      </c>
      <c r="I167" s="97">
        <v>18</v>
      </c>
      <c r="J167" s="99">
        <v>22</v>
      </c>
      <c r="K167" s="6">
        <v>23</v>
      </c>
      <c r="L167" s="138">
        <v>13</v>
      </c>
      <c r="M167" s="135">
        <v>12</v>
      </c>
      <c r="N167" s="135">
        <v>11</v>
      </c>
      <c r="O167" s="135">
        <v>14</v>
      </c>
      <c r="P167" s="218">
        <f t="shared" si="5"/>
        <v>130</v>
      </c>
    </row>
    <row r="168" spans="1:16" x14ac:dyDescent="0.35">
      <c r="A168" s="362"/>
      <c r="B168" s="362"/>
      <c r="C168" s="6" t="s">
        <v>1623</v>
      </c>
      <c r="D168" s="6" t="s">
        <v>1941</v>
      </c>
      <c r="E168" s="6" t="s">
        <v>1942</v>
      </c>
      <c r="F168" s="6" t="s">
        <v>1945</v>
      </c>
      <c r="G168" s="6" t="s">
        <v>1953</v>
      </c>
      <c r="H168" s="97">
        <v>7</v>
      </c>
      <c r="I168" s="97">
        <v>8</v>
      </c>
      <c r="J168" s="99">
        <v>19</v>
      </c>
      <c r="K168" s="6">
        <v>13</v>
      </c>
      <c r="L168" s="138">
        <v>12</v>
      </c>
      <c r="M168" s="135">
        <v>16</v>
      </c>
      <c r="N168" s="135">
        <v>10</v>
      </c>
      <c r="O168" s="135">
        <v>15</v>
      </c>
      <c r="P168" s="218">
        <f t="shared" si="5"/>
        <v>100</v>
      </c>
    </row>
    <row r="169" spans="1:16" x14ac:dyDescent="0.35">
      <c r="A169" s="362"/>
      <c r="B169" s="362"/>
      <c r="C169" s="6" t="s">
        <v>1623</v>
      </c>
      <c r="D169" s="6" t="s">
        <v>1941</v>
      </c>
      <c r="E169" s="6" t="s">
        <v>1942</v>
      </c>
      <c r="F169" s="6" t="s">
        <v>1945</v>
      </c>
      <c r="G169" s="6" t="s">
        <v>2013</v>
      </c>
      <c r="H169" s="97">
        <v>10</v>
      </c>
      <c r="I169" s="97">
        <v>10</v>
      </c>
      <c r="J169" s="99">
        <v>11</v>
      </c>
      <c r="K169" s="6">
        <v>13</v>
      </c>
      <c r="L169" s="138">
        <v>8</v>
      </c>
      <c r="M169" s="135">
        <v>7</v>
      </c>
      <c r="N169" s="135">
        <v>10</v>
      </c>
      <c r="O169" s="135">
        <v>8</v>
      </c>
      <c r="P169" s="218">
        <f t="shared" si="5"/>
        <v>77</v>
      </c>
    </row>
    <row r="170" spans="1:16" x14ac:dyDescent="0.35">
      <c r="A170" s="362"/>
      <c r="B170" s="362"/>
      <c r="C170" s="6" t="s">
        <v>1623</v>
      </c>
      <c r="D170" s="6" t="s">
        <v>1941</v>
      </c>
      <c r="E170" s="6" t="s">
        <v>1942</v>
      </c>
      <c r="F170" s="6" t="s">
        <v>462</v>
      </c>
      <c r="G170" s="6" t="s">
        <v>417</v>
      </c>
      <c r="H170" s="97">
        <v>10</v>
      </c>
      <c r="I170" s="97">
        <v>10</v>
      </c>
      <c r="J170" s="99">
        <v>29</v>
      </c>
      <c r="K170" s="6">
        <v>22</v>
      </c>
      <c r="L170" s="138">
        <v>11</v>
      </c>
      <c r="M170" s="135">
        <v>6</v>
      </c>
      <c r="N170" s="135">
        <v>12</v>
      </c>
      <c r="O170" s="135">
        <v>13</v>
      </c>
      <c r="P170" s="218">
        <f t="shared" si="5"/>
        <v>113</v>
      </c>
    </row>
    <row r="171" spans="1:16" x14ac:dyDescent="0.35">
      <c r="A171" s="362"/>
      <c r="B171" s="362"/>
      <c r="C171" s="6" t="s">
        <v>1623</v>
      </c>
      <c r="D171" s="6" t="s">
        <v>1941</v>
      </c>
      <c r="E171" s="6" t="s">
        <v>1942</v>
      </c>
      <c r="F171" s="6" t="s">
        <v>462</v>
      </c>
      <c r="G171" s="6" t="s">
        <v>1649</v>
      </c>
      <c r="H171" s="97">
        <v>27</v>
      </c>
      <c r="I171" s="97">
        <v>28</v>
      </c>
      <c r="J171" s="99">
        <v>49</v>
      </c>
      <c r="K171" s="6">
        <v>41</v>
      </c>
      <c r="L171" s="138">
        <v>23</v>
      </c>
      <c r="M171" s="135">
        <v>27</v>
      </c>
      <c r="N171" s="135">
        <v>18</v>
      </c>
      <c r="O171" s="135">
        <v>22</v>
      </c>
      <c r="P171" s="218">
        <f t="shared" si="5"/>
        <v>235</v>
      </c>
    </row>
    <row r="172" spans="1:16" x14ac:dyDescent="0.35">
      <c r="A172" s="362"/>
      <c r="B172" s="362"/>
      <c r="C172" s="6" t="s">
        <v>1623</v>
      </c>
      <c r="D172" s="6" t="s">
        <v>1941</v>
      </c>
      <c r="E172" s="6" t="s">
        <v>1942</v>
      </c>
      <c r="F172" s="6" t="s">
        <v>462</v>
      </c>
      <c r="G172" s="6" t="s">
        <v>462</v>
      </c>
      <c r="H172" s="97">
        <v>7</v>
      </c>
      <c r="I172" s="97">
        <v>8</v>
      </c>
      <c r="J172" s="99">
        <v>27</v>
      </c>
      <c r="K172" s="6">
        <v>23</v>
      </c>
      <c r="L172" s="138">
        <v>23</v>
      </c>
      <c r="M172" s="135">
        <v>37</v>
      </c>
      <c r="N172" s="135">
        <v>38</v>
      </c>
      <c r="O172" s="135">
        <v>32</v>
      </c>
      <c r="P172" s="218">
        <f t="shared" si="5"/>
        <v>195</v>
      </c>
    </row>
    <row r="173" spans="1:16" x14ac:dyDescent="0.35">
      <c r="A173" s="362"/>
      <c r="B173" s="362"/>
      <c r="C173" s="6" t="s">
        <v>1623</v>
      </c>
      <c r="D173" s="6" t="s">
        <v>1941</v>
      </c>
      <c r="E173" s="6" t="s">
        <v>1942</v>
      </c>
      <c r="F173" s="6" t="s">
        <v>462</v>
      </c>
      <c r="G173" s="6" t="s">
        <v>2011</v>
      </c>
      <c r="H173" s="97">
        <v>12</v>
      </c>
      <c r="I173" s="97">
        <v>13</v>
      </c>
      <c r="J173" s="99">
        <v>31</v>
      </c>
      <c r="K173" s="6">
        <v>24</v>
      </c>
      <c r="L173" s="138">
        <v>5</v>
      </c>
      <c r="M173" s="135">
        <v>6</v>
      </c>
      <c r="N173" s="135">
        <v>10</v>
      </c>
      <c r="O173" s="135">
        <v>7</v>
      </c>
      <c r="P173" s="218">
        <f t="shared" si="5"/>
        <v>108</v>
      </c>
    </row>
    <row r="174" spans="1:16" x14ac:dyDescent="0.35">
      <c r="A174" s="362"/>
      <c r="B174" s="362"/>
      <c r="C174" s="6" t="s">
        <v>1623</v>
      </c>
      <c r="D174" s="6" t="s">
        <v>1941</v>
      </c>
      <c r="E174" s="6" t="s">
        <v>1942</v>
      </c>
      <c r="F174" s="6" t="s">
        <v>462</v>
      </c>
      <c r="G174" s="6" t="s">
        <v>2106</v>
      </c>
      <c r="H174" s="97">
        <v>10</v>
      </c>
      <c r="I174" s="97">
        <v>10</v>
      </c>
      <c r="J174" s="99">
        <v>32</v>
      </c>
      <c r="K174" s="6">
        <v>33</v>
      </c>
      <c r="L174" s="138">
        <v>20</v>
      </c>
      <c r="M174" s="135">
        <v>25</v>
      </c>
      <c r="N174" s="135">
        <v>20</v>
      </c>
      <c r="O174" s="135">
        <v>25</v>
      </c>
      <c r="P174" s="218">
        <f t="shared" si="5"/>
        <v>175</v>
      </c>
    </row>
    <row r="175" spans="1:16" x14ac:dyDescent="0.35">
      <c r="A175" s="362"/>
      <c r="B175" s="362"/>
      <c r="C175" s="6" t="s">
        <v>1623</v>
      </c>
      <c r="D175" s="6" t="s">
        <v>1941</v>
      </c>
      <c r="E175" s="6" t="s">
        <v>1942</v>
      </c>
      <c r="F175" s="6" t="s">
        <v>462</v>
      </c>
      <c r="G175" s="6" t="s">
        <v>2107</v>
      </c>
      <c r="H175" s="97">
        <v>12</v>
      </c>
      <c r="I175" s="97">
        <v>13</v>
      </c>
      <c r="J175" s="99">
        <v>31</v>
      </c>
      <c r="K175" s="6">
        <v>28</v>
      </c>
      <c r="L175" s="138">
        <v>9</v>
      </c>
      <c r="M175" s="135">
        <v>8</v>
      </c>
      <c r="N175" s="135">
        <v>20</v>
      </c>
      <c r="O175" s="135">
        <v>14</v>
      </c>
      <c r="P175" s="218">
        <f t="shared" si="5"/>
        <v>135</v>
      </c>
    </row>
    <row r="176" spans="1:16" x14ac:dyDescent="0.35">
      <c r="A176" s="362"/>
      <c r="B176" s="362"/>
      <c r="C176" s="6" t="s">
        <v>1623</v>
      </c>
      <c r="D176" s="6" t="s">
        <v>1941</v>
      </c>
      <c r="E176" s="6" t="s">
        <v>1942</v>
      </c>
      <c r="F176" s="6" t="s">
        <v>462</v>
      </c>
      <c r="G176" s="6" t="s">
        <v>2108</v>
      </c>
      <c r="H176" s="97">
        <v>17</v>
      </c>
      <c r="I176" s="97">
        <v>18</v>
      </c>
      <c r="J176" s="99">
        <v>30</v>
      </c>
      <c r="K176" s="6">
        <v>35</v>
      </c>
      <c r="L176" s="138">
        <v>18</v>
      </c>
      <c r="M176" s="135">
        <v>16</v>
      </c>
      <c r="N176" s="135">
        <v>10</v>
      </c>
      <c r="O176" s="135">
        <v>15</v>
      </c>
      <c r="P176" s="218">
        <f t="shared" si="5"/>
        <v>159</v>
      </c>
    </row>
    <row r="177" spans="1:16" x14ac:dyDescent="0.35">
      <c r="A177" s="362"/>
      <c r="B177" s="362"/>
      <c r="C177" s="6" t="s">
        <v>1623</v>
      </c>
      <c r="D177" s="6" t="s">
        <v>1941</v>
      </c>
      <c r="E177" s="6" t="s">
        <v>1942</v>
      </c>
      <c r="F177" s="6" t="s">
        <v>462</v>
      </c>
      <c r="G177" s="6" t="s">
        <v>2109</v>
      </c>
      <c r="H177" s="97">
        <v>15</v>
      </c>
      <c r="I177" s="97">
        <v>15</v>
      </c>
      <c r="J177" s="99">
        <v>49</v>
      </c>
      <c r="K177" s="6">
        <v>41</v>
      </c>
      <c r="L177" s="138">
        <v>23</v>
      </c>
      <c r="M177" s="135">
        <v>27</v>
      </c>
      <c r="N177" s="135">
        <v>24</v>
      </c>
      <c r="O177" s="135">
        <v>26</v>
      </c>
      <c r="P177" s="218">
        <f t="shared" si="5"/>
        <v>220</v>
      </c>
    </row>
    <row r="178" spans="1:16" x14ac:dyDescent="0.35">
      <c r="A178" s="362"/>
      <c r="B178" s="362"/>
      <c r="C178" s="140" t="s">
        <v>2</v>
      </c>
      <c r="D178" s="139"/>
      <c r="E178" s="139"/>
      <c r="F178" s="139"/>
      <c r="G178" s="139"/>
      <c r="H178" s="165">
        <f>SUM(H161:H177)</f>
        <v>223</v>
      </c>
      <c r="I178" s="165">
        <f t="shared" ref="I178:O178" si="8">SUM(I161:I177)</f>
        <v>231</v>
      </c>
      <c r="J178" s="166">
        <f t="shared" si="8"/>
        <v>489</v>
      </c>
      <c r="K178" s="166">
        <f t="shared" si="8"/>
        <v>462</v>
      </c>
      <c r="L178" s="141">
        <f t="shared" si="8"/>
        <v>290</v>
      </c>
      <c r="M178" s="141">
        <f t="shared" si="8"/>
        <v>304</v>
      </c>
      <c r="N178" s="146">
        <f t="shared" si="8"/>
        <v>282</v>
      </c>
      <c r="O178" s="146">
        <f t="shared" si="8"/>
        <v>292</v>
      </c>
      <c r="P178" s="217">
        <f t="shared" si="5"/>
        <v>2573</v>
      </c>
    </row>
    <row r="179" spans="1:16" x14ac:dyDescent="0.35">
      <c r="A179" s="362">
        <v>7</v>
      </c>
      <c r="B179" s="362" t="s">
        <v>3303</v>
      </c>
      <c r="C179" s="6" t="s">
        <v>1623</v>
      </c>
      <c r="D179" s="6" t="s">
        <v>1941</v>
      </c>
      <c r="E179" s="6" t="s">
        <v>2110</v>
      </c>
      <c r="F179" s="6" t="s">
        <v>2110</v>
      </c>
      <c r="G179" s="6" t="s">
        <v>2111</v>
      </c>
      <c r="H179" s="97">
        <v>3</v>
      </c>
      <c r="I179" s="97">
        <v>3</v>
      </c>
      <c r="J179" s="6">
        <v>17</v>
      </c>
      <c r="K179" s="6">
        <v>23</v>
      </c>
      <c r="L179" s="136">
        <v>10</v>
      </c>
      <c r="M179" s="135">
        <v>7</v>
      </c>
      <c r="N179" s="135">
        <v>10</v>
      </c>
      <c r="O179" s="135">
        <v>18</v>
      </c>
      <c r="P179" s="218">
        <f t="shared" si="5"/>
        <v>91</v>
      </c>
    </row>
    <row r="180" spans="1:16" x14ac:dyDescent="0.35">
      <c r="A180" s="362"/>
      <c r="B180" s="362"/>
      <c r="C180" s="6" t="s">
        <v>1623</v>
      </c>
      <c r="D180" s="6" t="s">
        <v>1941</v>
      </c>
      <c r="E180" s="6" t="s">
        <v>2110</v>
      </c>
      <c r="F180" s="6" t="s">
        <v>2110</v>
      </c>
      <c r="G180" s="6" t="s">
        <v>2112</v>
      </c>
      <c r="H180" s="97">
        <v>3</v>
      </c>
      <c r="I180" s="97">
        <v>4</v>
      </c>
      <c r="J180" s="6">
        <v>14</v>
      </c>
      <c r="K180" s="6">
        <v>15</v>
      </c>
      <c r="L180" s="136">
        <v>7</v>
      </c>
      <c r="M180" s="135">
        <v>11</v>
      </c>
      <c r="N180" s="135">
        <v>10</v>
      </c>
      <c r="O180" s="135">
        <v>13</v>
      </c>
      <c r="P180" s="218">
        <f t="shared" si="5"/>
        <v>77</v>
      </c>
    </row>
    <row r="181" spans="1:16" x14ac:dyDescent="0.35">
      <c r="A181" s="362"/>
      <c r="B181" s="362"/>
      <c r="C181" s="6" t="s">
        <v>1623</v>
      </c>
      <c r="D181" s="6" t="s">
        <v>1941</v>
      </c>
      <c r="E181" s="6" t="s">
        <v>2110</v>
      </c>
      <c r="F181" s="6" t="s">
        <v>2110</v>
      </c>
      <c r="G181" s="6" t="s">
        <v>2113</v>
      </c>
      <c r="H181" s="97">
        <v>5</v>
      </c>
      <c r="I181" s="97">
        <v>6</v>
      </c>
      <c r="J181" s="6">
        <v>9</v>
      </c>
      <c r="K181" s="6">
        <v>10</v>
      </c>
      <c r="L181" s="136">
        <v>2</v>
      </c>
      <c r="M181" s="135">
        <v>2</v>
      </c>
      <c r="N181" s="135">
        <v>10</v>
      </c>
      <c r="O181" s="135">
        <v>19</v>
      </c>
      <c r="P181" s="218">
        <f t="shared" si="5"/>
        <v>63</v>
      </c>
    </row>
    <row r="182" spans="1:16" x14ac:dyDescent="0.35">
      <c r="A182" s="362"/>
      <c r="B182" s="362"/>
      <c r="C182" s="6" t="s">
        <v>1623</v>
      </c>
      <c r="D182" s="6" t="s">
        <v>1941</v>
      </c>
      <c r="E182" s="6" t="s">
        <v>2110</v>
      </c>
      <c r="F182" s="6" t="s">
        <v>2110</v>
      </c>
      <c r="G182" s="6" t="s">
        <v>2114</v>
      </c>
      <c r="H182" s="97">
        <v>5</v>
      </c>
      <c r="I182" s="97">
        <v>6</v>
      </c>
      <c r="J182" s="6">
        <v>17</v>
      </c>
      <c r="K182" s="6">
        <v>19</v>
      </c>
      <c r="L182" s="136">
        <v>10</v>
      </c>
      <c r="M182" s="135">
        <v>16</v>
      </c>
      <c r="N182" s="135">
        <v>11</v>
      </c>
      <c r="O182" s="135">
        <v>12</v>
      </c>
      <c r="P182" s="218">
        <f t="shared" si="5"/>
        <v>96</v>
      </c>
    </row>
    <row r="183" spans="1:16" x14ac:dyDescent="0.35">
      <c r="A183" s="362"/>
      <c r="B183" s="362"/>
      <c r="C183" s="6" t="s">
        <v>1623</v>
      </c>
      <c r="D183" s="6" t="s">
        <v>1941</v>
      </c>
      <c r="E183" s="6" t="s">
        <v>2110</v>
      </c>
      <c r="F183" s="6" t="s">
        <v>2110</v>
      </c>
      <c r="G183" s="6" t="s">
        <v>2115</v>
      </c>
      <c r="H183" s="97">
        <v>3</v>
      </c>
      <c r="I183" s="97">
        <v>3</v>
      </c>
      <c r="J183" s="6">
        <v>17</v>
      </c>
      <c r="K183" s="6">
        <v>14</v>
      </c>
      <c r="L183" s="136">
        <v>10</v>
      </c>
      <c r="M183" s="135">
        <v>8</v>
      </c>
      <c r="N183" s="135">
        <v>17</v>
      </c>
      <c r="O183" s="135">
        <v>15</v>
      </c>
      <c r="P183" s="218">
        <f t="shared" si="5"/>
        <v>87</v>
      </c>
    </row>
    <row r="184" spans="1:16" x14ac:dyDescent="0.35">
      <c r="A184" s="362"/>
      <c r="B184" s="362"/>
      <c r="C184" s="6" t="s">
        <v>1623</v>
      </c>
      <c r="D184" s="6" t="s">
        <v>1941</v>
      </c>
      <c r="E184" s="6" t="s">
        <v>2110</v>
      </c>
      <c r="F184" s="6" t="s">
        <v>2110</v>
      </c>
      <c r="G184" s="6" t="s">
        <v>2116</v>
      </c>
      <c r="H184" s="97">
        <v>4</v>
      </c>
      <c r="I184" s="97">
        <v>4</v>
      </c>
      <c r="J184" s="6">
        <v>21</v>
      </c>
      <c r="K184" s="6">
        <v>15</v>
      </c>
      <c r="L184" s="136">
        <v>9</v>
      </c>
      <c r="M184" s="135">
        <v>7</v>
      </c>
      <c r="N184" s="135">
        <v>15</v>
      </c>
      <c r="O184" s="135">
        <v>17</v>
      </c>
      <c r="P184" s="218">
        <f t="shared" si="5"/>
        <v>92</v>
      </c>
    </row>
    <row r="185" spans="1:16" x14ac:dyDescent="0.35">
      <c r="A185" s="362"/>
      <c r="B185" s="362"/>
      <c r="C185" s="6" t="s">
        <v>1623</v>
      </c>
      <c r="D185" s="6" t="s">
        <v>1941</v>
      </c>
      <c r="E185" s="6" t="s">
        <v>2110</v>
      </c>
      <c r="F185" s="6" t="s">
        <v>2117</v>
      </c>
      <c r="G185" s="6" t="s">
        <v>2118</v>
      </c>
      <c r="H185" s="97">
        <v>2</v>
      </c>
      <c r="I185" s="97">
        <v>2</v>
      </c>
      <c r="J185" s="6">
        <v>18</v>
      </c>
      <c r="K185" s="6">
        <v>22</v>
      </c>
      <c r="L185" s="136">
        <v>7</v>
      </c>
      <c r="M185" s="135">
        <v>9</v>
      </c>
      <c r="N185" s="135">
        <v>20</v>
      </c>
      <c r="O185" s="135">
        <v>17</v>
      </c>
      <c r="P185" s="218">
        <f t="shared" si="5"/>
        <v>97</v>
      </c>
    </row>
    <row r="186" spans="1:16" x14ac:dyDescent="0.35">
      <c r="A186" s="362"/>
      <c r="B186" s="362"/>
      <c r="C186" s="6" t="s">
        <v>1623</v>
      </c>
      <c r="D186" s="6" t="s">
        <v>1941</v>
      </c>
      <c r="E186" s="6" t="s">
        <v>2110</v>
      </c>
      <c r="F186" s="6" t="s">
        <v>2117</v>
      </c>
      <c r="G186" s="6" t="s">
        <v>2117</v>
      </c>
      <c r="H186" s="97">
        <v>6</v>
      </c>
      <c r="I186" s="97">
        <v>7</v>
      </c>
      <c r="J186" s="6">
        <v>24</v>
      </c>
      <c r="K186" s="6">
        <v>23</v>
      </c>
      <c r="L186" s="136">
        <v>6</v>
      </c>
      <c r="M186" s="135">
        <v>8</v>
      </c>
      <c r="N186" s="135">
        <v>12</v>
      </c>
      <c r="O186" s="135">
        <v>11</v>
      </c>
      <c r="P186" s="218">
        <f t="shared" si="5"/>
        <v>97</v>
      </c>
    </row>
    <row r="187" spans="1:16" x14ac:dyDescent="0.35">
      <c r="A187" s="362"/>
      <c r="B187" s="362"/>
      <c r="C187" s="6" t="s">
        <v>1623</v>
      </c>
      <c r="D187" s="6" t="s">
        <v>1941</v>
      </c>
      <c r="E187" s="6" t="s">
        <v>2110</v>
      </c>
      <c r="F187" s="6" t="s">
        <v>2117</v>
      </c>
      <c r="G187" s="6" t="s">
        <v>141</v>
      </c>
      <c r="H187" s="97">
        <v>6</v>
      </c>
      <c r="I187" s="97">
        <v>6</v>
      </c>
      <c r="J187" s="6">
        <v>30</v>
      </c>
      <c r="K187" s="6">
        <v>24</v>
      </c>
      <c r="L187" s="136">
        <v>6</v>
      </c>
      <c r="M187" s="135">
        <v>5</v>
      </c>
      <c r="N187" s="135">
        <v>15</v>
      </c>
      <c r="O187" s="135">
        <v>12</v>
      </c>
      <c r="P187" s="218">
        <f t="shared" si="5"/>
        <v>104</v>
      </c>
    </row>
    <row r="188" spans="1:16" x14ac:dyDescent="0.35">
      <c r="A188" s="362"/>
      <c r="B188" s="362"/>
      <c r="C188" s="6" t="s">
        <v>1623</v>
      </c>
      <c r="D188" s="6" t="s">
        <v>1941</v>
      </c>
      <c r="E188" s="6" t="s">
        <v>2110</v>
      </c>
      <c r="F188" s="6" t="s">
        <v>2117</v>
      </c>
      <c r="G188" s="6" t="s">
        <v>2119</v>
      </c>
      <c r="H188" s="97">
        <v>4</v>
      </c>
      <c r="I188" s="97">
        <v>4</v>
      </c>
      <c r="J188" s="6">
        <v>22</v>
      </c>
      <c r="K188" s="6">
        <v>15</v>
      </c>
      <c r="L188" s="136">
        <v>9</v>
      </c>
      <c r="M188" s="135">
        <v>8</v>
      </c>
      <c r="N188" s="135">
        <v>10</v>
      </c>
      <c r="O188" s="135">
        <v>8</v>
      </c>
      <c r="P188" s="218">
        <f t="shared" si="5"/>
        <v>80</v>
      </c>
    </row>
    <row r="189" spans="1:16" x14ac:dyDescent="0.35">
      <c r="A189" s="362"/>
      <c r="B189" s="362"/>
      <c r="C189" s="6" t="s">
        <v>1623</v>
      </c>
      <c r="D189" s="6" t="s">
        <v>1941</v>
      </c>
      <c r="E189" s="6" t="s">
        <v>2110</v>
      </c>
      <c r="F189" s="6" t="s">
        <v>2117</v>
      </c>
      <c r="G189" s="6" t="s">
        <v>2005</v>
      </c>
      <c r="H189" s="97">
        <v>2</v>
      </c>
      <c r="I189" s="97">
        <v>2</v>
      </c>
      <c r="J189" s="6">
        <v>20</v>
      </c>
      <c r="K189" s="6">
        <v>12</v>
      </c>
      <c r="L189" s="136">
        <v>11</v>
      </c>
      <c r="M189" s="135">
        <v>15</v>
      </c>
      <c r="N189" s="135">
        <v>14</v>
      </c>
      <c r="O189" s="135">
        <v>16</v>
      </c>
      <c r="P189" s="218">
        <f t="shared" si="5"/>
        <v>92</v>
      </c>
    </row>
    <row r="190" spans="1:16" x14ac:dyDescent="0.35">
      <c r="A190" s="362"/>
      <c r="B190" s="362"/>
      <c r="C190" s="6" t="s">
        <v>1623</v>
      </c>
      <c r="D190" s="6" t="s">
        <v>1941</v>
      </c>
      <c r="E190" s="6" t="s">
        <v>2110</v>
      </c>
      <c r="F190" s="6" t="s">
        <v>2117</v>
      </c>
      <c r="G190" s="6" t="s">
        <v>2120</v>
      </c>
      <c r="H190" s="97">
        <v>2</v>
      </c>
      <c r="I190" s="97">
        <v>3</v>
      </c>
      <c r="J190" s="6">
        <v>9</v>
      </c>
      <c r="K190" s="6">
        <v>11</v>
      </c>
      <c r="L190" s="136">
        <v>7</v>
      </c>
      <c r="M190" s="135">
        <v>8</v>
      </c>
      <c r="N190" s="135">
        <v>9</v>
      </c>
      <c r="O190" s="135">
        <v>13</v>
      </c>
      <c r="P190" s="218">
        <f t="shared" si="5"/>
        <v>62</v>
      </c>
    </row>
    <row r="191" spans="1:16" x14ac:dyDescent="0.35">
      <c r="A191" s="362"/>
      <c r="B191" s="362"/>
      <c r="C191" s="6" t="s">
        <v>1623</v>
      </c>
      <c r="D191" s="6" t="s">
        <v>1941</v>
      </c>
      <c r="E191" s="6" t="s">
        <v>2110</v>
      </c>
      <c r="F191" s="6" t="s">
        <v>2121</v>
      </c>
      <c r="G191" s="6" t="s">
        <v>2122</v>
      </c>
      <c r="H191" s="97">
        <v>5</v>
      </c>
      <c r="I191" s="97">
        <v>6</v>
      </c>
      <c r="J191" s="6">
        <v>21</v>
      </c>
      <c r="K191" s="6">
        <v>19</v>
      </c>
      <c r="L191" s="136">
        <v>8</v>
      </c>
      <c r="M191" s="135">
        <v>7</v>
      </c>
      <c r="N191" s="135">
        <v>21</v>
      </c>
      <c r="O191" s="135">
        <v>16</v>
      </c>
      <c r="P191" s="218">
        <f t="shared" si="5"/>
        <v>103</v>
      </c>
    </row>
    <row r="192" spans="1:16" x14ac:dyDescent="0.35">
      <c r="A192" s="362"/>
      <c r="B192" s="362"/>
      <c r="C192" s="6" t="s">
        <v>1623</v>
      </c>
      <c r="D192" s="6" t="s">
        <v>1941</v>
      </c>
      <c r="E192" s="6" t="s">
        <v>2110</v>
      </c>
      <c r="F192" s="6" t="s">
        <v>2121</v>
      </c>
      <c r="G192" s="6" t="s">
        <v>2123</v>
      </c>
      <c r="H192" s="97">
        <v>8</v>
      </c>
      <c r="I192" s="97">
        <v>9</v>
      </c>
      <c r="J192" s="6">
        <v>27</v>
      </c>
      <c r="K192" s="6">
        <v>30</v>
      </c>
      <c r="L192" s="136">
        <v>10</v>
      </c>
      <c r="M192" s="135">
        <v>9</v>
      </c>
      <c r="N192" s="135">
        <v>25</v>
      </c>
      <c r="O192" s="135">
        <v>30</v>
      </c>
      <c r="P192" s="218">
        <f t="shared" si="5"/>
        <v>148</v>
      </c>
    </row>
    <row r="193" spans="1:16" x14ac:dyDescent="0.35">
      <c r="A193" s="362"/>
      <c r="B193" s="362"/>
      <c r="C193" s="6" t="s">
        <v>1623</v>
      </c>
      <c r="D193" s="6" t="s">
        <v>1941</v>
      </c>
      <c r="E193" s="6" t="s">
        <v>2110</v>
      </c>
      <c r="F193" s="6" t="s">
        <v>2121</v>
      </c>
      <c r="G193" s="6" t="s">
        <v>2124</v>
      </c>
      <c r="H193" s="97">
        <v>4</v>
      </c>
      <c r="I193" s="97">
        <v>5</v>
      </c>
      <c r="J193" s="6">
        <v>27</v>
      </c>
      <c r="K193" s="6">
        <v>45</v>
      </c>
      <c r="L193" s="136">
        <v>7</v>
      </c>
      <c r="M193" s="135">
        <v>5</v>
      </c>
      <c r="N193" s="135">
        <v>19</v>
      </c>
      <c r="O193" s="135">
        <v>16</v>
      </c>
      <c r="P193" s="218">
        <f t="shared" si="5"/>
        <v>128</v>
      </c>
    </row>
    <row r="194" spans="1:16" x14ac:dyDescent="0.35">
      <c r="A194" s="362"/>
      <c r="B194" s="362"/>
      <c r="C194" s="6" t="s">
        <v>1623</v>
      </c>
      <c r="D194" s="6" t="s">
        <v>1941</v>
      </c>
      <c r="E194" s="6" t="s">
        <v>2110</v>
      </c>
      <c r="F194" s="6" t="s">
        <v>2121</v>
      </c>
      <c r="G194" s="6" t="s">
        <v>2125</v>
      </c>
      <c r="H194" s="97">
        <v>5</v>
      </c>
      <c r="I194" s="97">
        <v>6</v>
      </c>
      <c r="J194" s="6">
        <v>38</v>
      </c>
      <c r="K194" s="6">
        <v>32</v>
      </c>
      <c r="L194" s="136">
        <v>14</v>
      </c>
      <c r="M194" s="135">
        <v>15</v>
      </c>
      <c r="N194" s="135">
        <v>21</v>
      </c>
      <c r="O194" s="135">
        <v>22</v>
      </c>
      <c r="P194" s="218">
        <f t="shared" si="5"/>
        <v>153</v>
      </c>
    </row>
    <row r="195" spans="1:16" x14ac:dyDescent="0.35">
      <c r="A195" s="362"/>
      <c r="B195" s="362"/>
      <c r="C195" s="6" t="s">
        <v>1623</v>
      </c>
      <c r="D195" s="6" t="s">
        <v>1941</v>
      </c>
      <c r="E195" s="6" t="s">
        <v>2110</v>
      </c>
      <c r="F195" s="6" t="s">
        <v>2121</v>
      </c>
      <c r="G195" s="6" t="s">
        <v>2126</v>
      </c>
      <c r="H195" s="97">
        <v>4</v>
      </c>
      <c r="I195" s="97">
        <v>5</v>
      </c>
      <c r="J195" s="6">
        <v>38</v>
      </c>
      <c r="K195" s="6">
        <v>15</v>
      </c>
      <c r="L195" s="136">
        <v>9</v>
      </c>
      <c r="M195" s="135">
        <v>8</v>
      </c>
      <c r="N195" s="135">
        <v>20</v>
      </c>
      <c r="O195" s="135">
        <v>21</v>
      </c>
      <c r="P195" s="218">
        <f t="shared" si="5"/>
        <v>120</v>
      </c>
    </row>
    <row r="196" spans="1:16" x14ac:dyDescent="0.35">
      <c r="A196" s="362"/>
      <c r="B196" s="362"/>
      <c r="C196" s="6" t="s">
        <v>1623</v>
      </c>
      <c r="D196" s="6" t="s">
        <v>1941</v>
      </c>
      <c r="E196" s="6" t="s">
        <v>2110</v>
      </c>
      <c r="F196" s="6" t="s">
        <v>2121</v>
      </c>
      <c r="G196" s="6" t="s">
        <v>2127</v>
      </c>
      <c r="H196" s="97">
        <v>3</v>
      </c>
      <c r="I196" s="97">
        <v>4</v>
      </c>
      <c r="J196" s="6">
        <v>31</v>
      </c>
      <c r="K196" s="6">
        <v>23</v>
      </c>
      <c r="L196" s="136">
        <v>12</v>
      </c>
      <c r="M196" s="135">
        <v>15</v>
      </c>
      <c r="N196" s="135">
        <v>26</v>
      </c>
      <c r="O196" s="135">
        <v>25</v>
      </c>
      <c r="P196" s="218">
        <f t="shared" si="5"/>
        <v>139</v>
      </c>
    </row>
    <row r="197" spans="1:16" x14ac:dyDescent="0.35">
      <c r="A197" s="362"/>
      <c r="B197" s="362"/>
      <c r="C197" s="6" t="s">
        <v>1623</v>
      </c>
      <c r="D197" s="6" t="s">
        <v>1941</v>
      </c>
      <c r="E197" s="6" t="s">
        <v>2110</v>
      </c>
      <c r="F197" s="6" t="s">
        <v>2121</v>
      </c>
      <c r="G197" s="6" t="s">
        <v>2128</v>
      </c>
      <c r="H197" s="97">
        <v>4</v>
      </c>
      <c r="I197" s="97">
        <v>5</v>
      </c>
      <c r="J197" s="6">
        <v>10</v>
      </c>
      <c r="K197" s="6">
        <v>14</v>
      </c>
      <c r="L197" s="136">
        <v>1</v>
      </c>
      <c r="M197" s="135">
        <v>2</v>
      </c>
      <c r="N197" s="135">
        <v>17</v>
      </c>
      <c r="O197" s="135">
        <v>15</v>
      </c>
      <c r="P197" s="218">
        <f t="shared" ref="P197:P256" si="9">H197+I197+J197+K197+L197+M197+N197+O197</f>
        <v>68</v>
      </c>
    </row>
    <row r="198" spans="1:16" x14ac:dyDescent="0.35">
      <c r="A198" s="362"/>
      <c r="B198" s="362"/>
      <c r="C198" s="6" t="s">
        <v>1623</v>
      </c>
      <c r="D198" s="6" t="s">
        <v>1941</v>
      </c>
      <c r="E198" s="6" t="s">
        <v>2110</v>
      </c>
      <c r="F198" s="6" t="s">
        <v>2129</v>
      </c>
      <c r="G198" s="6" t="s">
        <v>2130</v>
      </c>
      <c r="H198" s="97">
        <v>0</v>
      </c>
      <c r="I198" s="97">
        <v>1</v>
      </c>
      <c r="J198" s="6">
        <v>5</v>
      </c>
      <c r="K198" s="6">
        <v>8</v>
      </c>
      <c r="L198" s="136">
        <v>5</v>
      </c>
      <c r="M198" s="135">
        <v>7</v>
      </c>
      <c r="N198" s="135">
        <v>6</v>
      </c>
      <c r="O198" s="135">
        <v>8</v>
      </c>
      <c r="P198" s="218">
        <f t="shared" si="9"/>
        <v>40</v>
      </c>
    </row>
    <row r="199" spans="1:16" x14ac:dyDescent="0.35">
      <c r="A199" s="362"/>
      <c r="B199" s="362"/>
      <c r="C199" s="6" t="s">
        <v>1623</v>
      </c>
      <c r="D199" s="6" t="s">
        <v>1941</v>
      </c>
      <c r="E199" s="6" t="s">
        <v>2110</v>
      </c>
      <c r="F199" s="6" t="s">
        <v>2129</v>
      </c>
      <c r="G199" s="6" t="s">
        <v>2131</v>
      </c>
      <c r="H199" s="97">
        <v>8</v>
      </c>
      <c r="I199" s="97">
        <v>8</v>
      </c>
      <c r="J199" s="6">
        <v>19</v>
      </c>
      <c r="K199" s="6">
        <v>22</v>
      </c>
      <c r="L199" s="136">
        <v>20</v>
      </c>
      <c r="M199" s="135">
        <v>16</v>
      </c>
      <c r="N199" s="135">
        <v>15</v>
      </c>
      <c r="O199" s="135">
        <v>13</v>
      </c>
      <c r="P199" s="218">
        <f t="shared" si="9"/>
        <v>121</v>
      </c>
    </row>
    <row r="200" spans="1:16" x14ac:dyDescent="0.35">
      <c r="A200" s="362"/>
      <c r="B200" s="362"/>
      <c r="C200" s="6" t="s">
        <v>1623</v>
      </c>
      <c r="D200" s="6" t="s">
        <v>1941</v>
      </c>
      <c r="E200" s="6" t="s">
        <v>2110</v>
      </c>
      <c r="F200" s="6" t="s">
        <v>2129</v>
      </c>
      <c r="G200" s="6" t="s">
        <v>2132</v>
      </c>
      <c r="H200" s="97">
        <v>8</v>
      </c>
      <c r="I200" s="97">
        <v>8</v>
      </c>
      <c r="J200" s="6">
        <v>21</v>
      </c>
      <c r="K200" s="6">
        <v>21</v>
      </c>
      <c r="L200" s="136">
        <v>11</v>
      </c>
      <c r="M200" s="135">
        <v>17</v>
      </c>
      <c r="N200" s="135">
        <v>16</v>
      </c>
      <c r="O200" s="135">
        <v>14</v>
      </c>
      <c r="P200" s="218">
        <f t="shared" si="9"/>
        <v>116</v>
      </c>
    </row>
    <row r="201" spans="1:16" x14ac:dyDescent="0.35">
      <c r="A201" s="362"/>
      <c r="B201" s="362"/>
      <c r="C201" s="6" t="s">
        <v>1623</v>
      </c>
      <c r="D201" s="6" t="s">
        <v>1941</v>
      </c>
      <c r="E201" s="6" t="s">
        <v>2110</v>
      </c>
      <c r="F201" s="6" t="s">
        <v>2129</v>
      </c>
      <c r="G201" s="6" t="s">
        <v>2133</v>
      </c>
      <c r="H201" s="97">
        <v>1</v>
      </c>
      <c r="I201" s="97">
        <v>1</v>
      </c>
      <c r="J201" s="6">
        <v>4</v>
      </c>
      <c r="K201" s="6">
        <v>3</v>
      </c>
      <c r="L201" s="136">
        <v>3</v>
      </c>
      <c r="M201" s="135">
        <v>4</v>
      </c>
      <c r="N201" s="135">
        <v>2</v>
      </c>
      <c r="O201" s="135">
        <v>4</v>
      </c>
      <c r="P201" s="218">
        <f t="shared" si="9"/>
        <v>22</v>
      </c>
    </row>
    <row r="202" spans="1:16" x14ac:dyDescent="0.35">
      <c r="A202" s="362"/>
      <c r="B202" s="362"/>
      <c r="C202" s="6" t="s">
        <v>1623</v>
      </c>
      <c r="D202" s="6" t="s">
        <v>1941</v>
      </c>
      <c r="E202" s="6" t="s">
        <v>2110</v>
      </c>
      <c r="F202" s="6" t="s">
        <v>2129</v>
      </c>
      <c r="G202" s="6" t="s">
        <v>1962</v>
      </c>
      <c r="H202" s="97">
        <v>4</v>
      </c>
      <c r="I202" s="97">
        <v>5</v>
      </c>
      <c r="J202" s="6">
        <v>33</v>
      </c>
      <c r="K202" s="6">
        <v>36</v>
      </c>
      <c r="L202" s="136">
        <v>6</v>
      </c>
      <c r="M202" s="135">
        <v>5</v>
      </c>
      <c r="N202" s="135">
        <v>13</v>
      </c>
      <c r="O202" s="135">
        <v>11</v>
      </c>
      <c r="P202" s="218">
        <f t="shared" si="9"/>
        <v>113</v>
      </c>
    </row>
    <row r="203" spans="1:16" x14ac:dyDescent="0.35">
      <c r="A203" s="362"/>
      <c r="B203" s="362"/>
      <c r="C203" s="6" t="s">
        <v>1623</v>
      </c>
      <c r="D203" s="6" t="s">
        <v>1941</v>
      </c>
      <c r="E203" s="6" t="s">
        <v>2110</v>
      </c>
      <c r="F203" s="6" t="s">
        <v>2129</v>
      </c>
      <c r="G203" s="6" t="s">
        <v>2134</v>
      </c>
      <c r="H203" s="97">
        <v>5</v>
      </c>
      <c r="I203" s="97">
        <v>6</v>
      </c>
      <c r="J203" s="6">
        <v>12</v>
      </c>
      <c r="K203" s="6">
        <v>17</v>
      </c>
      <c r="L203" s="136">
        <v>8</v>
      </c>
      <c r="M203" s="135">
        <v>7</v>
      </c>
      <c r="N203" s="135">
        <v>16</v>
      </c>
      <c r="O203" s="135">
        <v>14</v>
      </c>
      <c r="P203" s="218">
        <f t="shared" si="9"/>
        <v>85</v>
      </c>
    </row>
    <row r="204" spans="1:16" x14ac:dyDescent="0.35">
      <c r="A204" s="362"/>
      <c r="B204" s="362"/>
      <c r="C204" s="6" t="s">
        <v>1623</v>
      </c>
      <c r="D204" s="6" t="s">
        <v>1941</v>
      </c>
      <c r="E204" s="6" t="s">
        <v>2110</v>
      </c>
      <c r="F204" s="6" t="s">
        <v>2129</v>
      </c>
      <c r="G204" s="6" t="s">
        <v>2135</v>
      </c>
      <c r="H204" s="97">
        <v>7</v>
      </c>
      <c r="I204" s="97">
        <v>8</v>
      </c>
      <c r="J204" s="6">
        <v>35</v>
      </c>
      <c r="K204" s="6">
        <v>38</v>
      </c>
      <c r="L204" s="136">
        <v>3</v>
      </c>
      <c r="M204" s="135">
        <v>4</v>
      </c>
      <c r="N204" s="135">
        <v>15</v>
      </c>
      <c r="O204" s="135">
        <v>13</v>
      </c>
      <c r="P204" s="218">
        <f t="shared" si="9"/>
        <v>123</v>
      </c>
    </row>
    <row r="205" spans="1:16" x14ac:dyDescent="0.35">
      <c r="A205" s="362"/>
      <c r="B205" s="362"/>
      <c r="C205" s="6" t="s">
        <v>1623</v>
      </c>
      <c r="D205" s="6" t="s">
        <v>1941</v>
      </c>
      <c r="E205" s="6" t="s">
        <v>2110</v>
      </c>
      <c r="F205" s="6" t="s">
        <v>2129</v>
      </c>
      <c r="G205" s="6" t="s">
        <v>2136</v>
      </c>
      <c r="H205" s="97">
        <v>6</v>
      </c>
      <c r="I205" s="97">
        <v>6</v>
      </c>
      <c r="J205" s="6">
        <v>36</v>
      </c>
      <c r="K205" s="6">
        <v>40</v>
      </c>
      <c r="L205" s="136">
        <v>18</v>
      </c>
      <c r="M205" s="135">
        <v>17</v>
      </c>
      <c r="N205" s="135">
        <v>30</v>
      </c>
      <c r="O205" s="135">
        <v>33</v>
      </c>
      <c r="P205" s="218">
        <f t="shared" si="9"/>
        <v>186</v>
      </c>
    </row>
    <row r="206" spans="1:16" x14ac:dyDescent="0.35">
      <c r="A206" s="362"/>
      <c r="B206" s="362"/>
      <c r="C206" s="140" t="s">
        <v>2</v>
      </c>
      <c r="D206" s="139"/>
      <c r="E206" s="139"/>
      <c r="F206" s="139"/>
      <c r="G206" s="139"/>
      <c r="H206" s="165">
        <f>SUM(H179:H205)</f>
        <v>117</v>
      </c>
      <c r="I206" s="165">
        <f t="shared" ref="I206:O206" si="10">SUM(I179:I205)</f>
        <v>133</v>
      </c>
      <c r="J206" s="166">
        <f t="shared" si="10"/>
        <v>575</v>
      </c>
      <c r="K206" s="166">
        <f t="shared" si="10"/>
        <v>566</v>
      </c>
      <c r="L206" s="141">
        <f t="shared" si="10"/>
        <v>229</v>
      </c>
      <c r="M206" s="141">
        <f t="shared" si="10"/>
        <v>242</v>
      </c>
      <c r="N206" s="146">
        <f t="shared" si="10"/>
        <v>415</v>
      </c>
      <c r="O206" s="146">
        <f t="shared" si="10"/>
        <v>426</v>
      </c>
      <c r="P206" s="217">
        <f t="shared" si="9"/>
        <v>2703</v>
      </c>
    </row>
    <row r="207" spans="1:16" x14ac:dyDescent="0.35">
      <c r="A207" s="362">
        <v>8</v>
      </c>
      <c r="B207" s="362" t="s">
        <v>3304</v>
      </c>
      <c r="C207" s="6" t="s">
        <v>1623</v>
      </c>
      <c r="D207" s="6" t="s">
        <v>1941</v>
      </c>
      <c r="E207" s="6" t="s">
        <v>2085</v>
      </c>
      <c r="F207" s="6" t="s">
        <v>2085</v>
      </c>
      <c r="G207" s="6" t="s">
        <v>2137</v>
      </c>
      <c r="H207" s="97">
        <v>3</v>
      </c>
      <c r="I207" s="97">
        <v>3</v>
      </c>
      <c r="J207" s="6">
        <v>6</v>
      </c>
      <c r="K207" s="6">
        <v>5</v>
      </c>
      <c r="L207" s="136">
        <v>10</v>
      </c>
      <c r="M207" s="135">
        <v>11</v>
      </c>
      <c r="N207" s="135">
        <v>9</v>
      </c>
      <c r="O207" s="135">
        <v>13</v>
      </c>
      <c r="P207" s="218">
        <f t="shared" si="9"/>
        <v>60</v>
      </c>
    </row>
    <row r="208" spans="1:16" x14ac:dyDescent="0.35">
      <c r="A208" s="362"/>
      <c r="B208" s="362"/>
      <c r="C208" s="6" t="s">
        <v>1623</v>
      </c>
      <c r="D208" s="6" t="s">
        <v>1941</v>
      </c>
      <c r="E208" s="6" t="s">
        <v>2085</v>
      </c>
      <c r="F208" s="6" t="s">
        <v>2085</v>
      </c>
      <c r="G208" s="6" t="s">
        <v>2138</v>
      </c>
      <c r="H208" s="97">
        <v>1</v>
      </c>
      <c r="I208" s="97">
        <v>2</v>
      </c>
      <c r="J208" s="6">
        <v>3</v>
      </c>
      <c r="K208" s="6">
        <v>1</v>
      </c>
      <c r="L208" s="136">
        <v>8</v>
      </c>
      <c r="M208" s="135">
        <v>9</v>
      </c>
      <c r="N208" s="135">
        <v>18</v>
      </c>
      <c r="O208" s="135">
        <v>15</v>
      </c>
      <c r="P208" s="218">
        <f t="shared" si="9"/>
        <v>57</v>
      </c>
    </row>
    <row r="209" spans="1:16" x14ac:dyDescent="0.35">
      <c r="A209" s="362"/>
      <c r="B209" s="362"/>
      <c r="C209" s="6" t="s">
        <v>1623</v>
      </c>
      <c r="D209" s="6" t="s">
        <v>1941</v>
      </c>
      <c r="E209" s="6" t="s">
        <v>2085</v>
      </c>
      <c r="F209" s="6" t="s">
        <v>2085</v>
      </c>
      <c r="G209" s="6" t="s">
        <v>2139</v>
      </c>
      <c r="H209" s="97">
        <v>3</v>
      </c>
      <c r="I209" s="97">
        <v>4</v>
      </c>
      <c r="J209" s="6">
        <v>2</v>
      </c>
      <c r="K209" s="6">
        <v>2</v>
      </c>
      <c r="L209" s="136">
        <v>6</v>
      </c>
      <c r="M209" s="135">
        <v>7</v>
      </c>
      <c r="N209" s="135">
        <v>18</v>
      </c>
      <c r="O209" s="135">
        <v>16</v>
      </c>
      <c r="P209" s="218">
        <f t="shared" si="9"/>
        <v>58</v>
      </c>
    </row>
    <row r="210" spans="1:16" x14ac:dyDescent="0.35">
      <c r="A210" s="362"/>
      <c r="B210" s="362"/>
      <c r="C210" s="6" t="s">
        <v>1623</v>
      </c>
      <c r="D210" s="6" t="s">
        <v>1941</v>
      </c>
      <c r="E210" s="6" t="s">
        <v>2085</v>
      </c>
      <c r="F210" s="6" t="s">
        <v>2085</v>
      </c>
      <c r="G210" s="6" t="s">
        <v>2140</v>
      </c>
      <c r="H210" s="97">
        <v>4</v>
      </c>
      <c r="I210" s="97">
        <v>4</v>
      </c>
      <c r="J210" s="6">
        <v>5</v>
      </c>
      <c r="K210" s="6">
        <v>1</v>
      </c>
      <c r="L210" s="136">
        <v>12</v>
      </c>
      <c r="M210" s="135">
        <v>14</v>
      </c>
      <c r="N210" s="135">
        <v>21</v>
      </c>
      <c r="O210" s="135">
        <v>17</v>
      </c>
      <c r="P210" s="218">
        <f t="shared" si="9"/>
        <v>78</v>
      </c>
    </row>
    <row r="211" spans="1:16" x14ac:dyDescent="0.35">
      <c r="A211" s="362"/>
      <c r="B211" s="362"/>
      <c r="C211" s="6" t="s">
        <v>1623</v>
      </c>
      <c r="D211" s="6" t="s">
        <v>1941</v>
      </c>
      <c r="E211" s="6" t="s">
        <v>2085</v>
      </c>
      <c r="F211" s="6" t="s">
        <v>2085</v>
      </c>
      <c r="G211" s="6" t="s">
        <v>2141</v>
      </c>
      <c r="H211" s="97">
        <v>3</v>
      </c>
      <c r="I211" s="97">
        <v>3</v>
      </c>
      <c r="J211" s="6">
        <v>1</v>
      </c>
      <c r="K211" s="6">
        <v>0</v>
      </c>
      <c r="L211" s="136">
        <v>5</v>
      </c>
      <c r="M211" s="135">
        <v>8</v>
      </c>
      <c r="N211" s="135">
        <v>7</v>
      </c>
      <c r="O211" s="135">
        <v>10</v>
      </c>
      <c r="P211" s="218">
        <f t="shared" si="9"/>
        <v>37</v>
      </c>
    </row>
    <row r="212" spans="1:16" x14ac:dyDescent="0.35">
      <c r="A212" s="362"/>
      <c r="B212" s="362"/>
      <c r="C212" s="6" t="s">
        <v>1623</v>
      </c>
      <c r="D212" s="6" t="s">
        <v>1941</v>
      </c>
      <c r="E212" s="6" t="s">
        <v>2085</v>
      </c>
      <c r="F212" s="6" t="s">
        <v>2085</v>
      </c>
      <c r="G212" s="6" t="s">
        <v>2142</v>
      </c>
      <c r="H212" s="97">
        <v>4</v>
      </c>
      <c r="I212" s="97">
        <v>5</v>
      </c>
      <c r="J212" s="6">
        <v>4</v>
      </c>
      <c r="K212" s="6">
        <v>5</v>
      </c>
      <c r="L212" s="136">
        <v>5</v>
      </c>
      <c r="M212" s="135">
        <v>6</v>
      </c>
      <c r="N212" s="135">
        <v>6</v>
      </c>
      <c r="O212" s="135">
        <v>9</v>
      </c>
      <c r="P212" s="218">
        <f t="shared" si="9"/>
        <v>44</v>
      </c>
    </row>
    <row r="213" spans="1:16" x14ac:dyDescent="0.35">
      <c r="A213" s="362"/>
      <c r="B213" s="362"/>
      <c r="C213" s="6" t="s">
        <v>1623</v>
      </c>
      <c r="D213" s="6" t="s">
        <v>1941</v>
      </c>
      <c r="E213" s="6" t="s">
        <v>2085</v>
      </c>
      <c r="F213" s="6" t="s">
        <v>2143</v>
      </c>
      <c r="G213" s="6" t="s">
        <v>2144</v>
      </c>
      <c r="H213" s="97">
        <v>1</v>
      </c>
      <c r="I213" s="97">
        <v>1</v>
      </c>
      <c r="J213" s="6">
        <v>3</v>
      </c>
      <c r="K213" s="6">
        <v>1</v>
      </c>
      <c r="L213" s="136">
        <v>6</v>
      </c>
      <c r="M213" s="135">
        <v>5</v>
      </c>
      <c r="N213" s="135">
        <v>6</v>
      </c>
      <c r="O213" s="135">
        <v>7</v>
      </c>
      <c r="P213" s="218">
        <f t="shared" si="9"/>
        <v>30</v>
      </c>
    </row>
    <row r="214" spans="1:16" x14ac:dyDescent="0.35">
      <c r="A214" s="362"/>
      <c r="B214" s="362"/>
      <c r="C214" s="6" t="s">
        <v>1623</v>
      </c>
      <c r="D214" s="6" t="s">
        <v>1941</v>
      </c>
      <c r="E214" s="6" t="s">
        <v>2085</v>
      </c>
      <c r="F214" s="6" t="s">
        <v>2143</v>
      </c>
      <c r="G214" s="6" t="s">
        <v>2024</v>
      </c>
      <c r="H214" s="97">
        <v>1</v>
      </c>
      <c r="I214" s="97">
        <v>2</v>
      </c>
      <c r="J214" s="6">
        <v>4</v>
      </c>
      <c r="K214" s="6">
        <v>2</v>
      </c>
      <c r="L214" s="136">
        <v>4</v>
      </c>
      <c r="M214" s="135">
        <v>2</v>
      </c>
      <c r="N214" s="135">
        <v>4</v>
      </c>
      <c r="O214" s="135">
        <v>6</v>
      </c>
      <c r="P214" s="218">
        <f t="shared" si="9"/>
        <v>25</v>
      </c>
    </row>
    <row r="215" spans="1:16" x14ac:dyDescent="0.35">
      <c r="A215" s="362"/>
      <c r="B215" s="362"/>
      <c r="C215" s="6" t="s">
        <v>1623</v>
      </c>
      <c r="D215" s="6" t="s">
        <v>1941</v>
      </c>
      <c r="E215" s="6" t="s">
        <v>2085</v>
      </c>
      <c r="F215" s="6" t="s">
        <v>2143</v>
      </c>
      <c r="G215" s="6" t="s">
        <v>2145</v>
      </c>
      <c r="H215" s="97">
        <v>3</v>
      </c>
      <c r="I215" s="97">
        <v>4</v>
      </c>
      <c r="J215" s="6">
        <v>4</v>
      </c>
      <c r="K215" s="6">
        <v>2</v>
      </c>
      <c r="L215" s="136">
        <v>6</v>
      </c>
      <c r="M215" s="135">
        <v>7</v>
      </c>
      <c r="N215" s="135">
        <v>11</v>
      </c>
      <c r="O215" s="135">
        <v>7</v>
      </c>
      <c r="P215" s="218">
        <f t="shared" si="9"/>
        <v>44</v>
      </c>
    </row>
    <row r="216" spans="1:16" x14ac:dyDescent="0.35">
      <c r="A216" s="362"/>
      <c r="B216" s="362"/>
      <c r="C216" s="6" t="s">
        <v>1623</v>
      </c>
      <c r="D216" s="6" t="s">
        <v>1941</v>
      </c>
      <c r="E216" s="6" t="s">
        <v>2085</v>
      </c>
      <c r="F216" s="6" t="s">
        <v>2143</v>
      </c>
      <c r="G216" s="6" t="s">
        <v>2146</v>
      </c>
      <c r="H216" s="97">
        <v>7</v>
      </c>
      <c r="I216" s="97">
        <v>7</v>
      </c>
      <c r="J216" s="6">
        <v>7</v>
      </c>
      <c r="K216" s="6">
        <v>5</v>
      </c>
      <c r="L216" s="136">
        <v>11</v>
      </c>
      <c r="M216" s="135">
        <v>13</v>
      </c>
      <c r="N216" s="135">
        <v>25</v>
      </c>
      <c r="O216" s="135">
        <v>29</v>
      </c>
      <c r="P216" s="218">
        <f t="shared" si="9"/>
        <v>104</v>
      </c>
    </row>
    <row r="217" spans="1:16" x14ac:dyDescent="0.35">
      <c r="A217" s="362"/>
      <c r="B217" s="362"/>
      <c r="C217" s="6" t="s">
        <v>1623</v>
      </c>
      <c r="D217" s="6" t="s">
        <v>1941</v>
      </c>
      <c r="E217" s="6" t="s">
        <v>2085</v>
      </c>
      <c r="F217" s="6" t="s">
        <v>2143</v>
      </c>
      <c r="G217" s="6" t="s">
        <v>2147</v>
      </c>
      <c r="H217" s="97">
        <v>2</v>
      </c>
      <c r="I217" s="97">
        <v>2</v>
      </c>
      <c r="J217" s="6">
        <v>5</v>
      </c>
      <c r="K217" s="6">
        <v>3</v>
      </c>
      <c r="L217" s="136">
        <v>8</v>
      </c>
      <c r="M217" s="135">
        <v>9</v>
      </c>
      <c r="N217" s="135">
        <v>6</v>
      </c>
      <c r="O217" s="135">
        <v>7</v>
      </c>
      <c r="P217" s="218">
        <f t="shared" si="9"/>
        <v>42</v>
      </c>
    </row>
    <row r="218" spans="1:16" x14ac:dyDescent="0.35">
      <c r="A218" s="362"/>
      <c r="B218" s="362"/>
      <c r="C218" s="6" t="s">
        <v>1623</v>
      </c>
      <c r="D218" s="6" t="s">
        <v>1941</v>
      </c>
      <c r="E218" s="6" t="s">
        <v>2085</v>
      </c>
      <c r="F218" s="6" t="s">
        <v>2143</v>
      </c>
      <c r="G218" s="6" t="s">
        <v>2148</v>
      </c>
      <c r="H218" s="97">
        <v>3</v>
      </c>
      <c r="I218" s="97">
        <v>3</v>
      </c>
      <c r="J218" s="6">
        <v>3</v>
      </c>
      <c r="K218" s="6">
        <v>3</v>
      </c>
      <c r="L218" s="136">
        <v>9</v>
      </c>
      <c r="M218" s="135">
        <v>8</v>
      </c>
      <c r="N218" s="135">
        <v>21</v>
      </c>
      <c r="O218" s="135">
        <v>22</v>
      </c>
      <c r="P218" s="218">
        <f t="shared" si="9"/>
        <v>72</v>
      </c>
    </row>
    <row r="219" spans="1:16" x14ac:dyDescent="0.35">
      <c r="A219" s="362"/>
      <c r="B219" s="362"/>
      <c r="C219" s="6" t="s">
        <v>1623</v>
      </c>
      <c r="D219" s="6" t="s">
        <v>1941</v>
      </c>
      <c r="E219" s="6" t="s">
        <v>2085</v>
      </c>
      <c r="F219" s="6" t="s">
        <v>2143</v>
      </c>
      <c r="G219" s="6" t="s">
        <v>1989</v>
      </c>
      <c r="H219" s="97">
        <v>3</v>
      </c>
      <c r="I219" s="97">
        <v>3</v>
      </c>
      <c r="J219" s="6">
        <v>5</v>
      </c>
      <c r="K219" s="6">
        <v>4</v>
      </c>
      <c r="L219" s="136">
        <v>10</v>
      </c>
      <c r="M219" s="135">
        <v>11</v>
      </c>
      <c r="N219" s="135">
        <v>23</v>
      </c>
      <c r="O219" s="135">
        <v>21</v>
      </c>
      <c r="P219" s="218">
        <f t="shared" si="9"/>
        <v>80</v>
      </c>
    </row>
    <row r="220" spans="1:16" x14ac:dyDescent="0.35">
      <c r="A220" s="362"/>
      <c r="B220" s="362"/>
      <c r="C220" s="6" t="s">
        <v>1623</v>
      </c>
      <c r="D220" s="6" t="s">
        <v>1941</v>
      </c>
      <c r="E220" s="6" t="s">
        <v>2085</v>
      </c>
      <c r="F220" s="6" t="s">
        <v>2143</v>
      </c>
      <c r="G220" s="6" t="s">
        <v>2119</v>
      </c>
      <c r="H220" s="97">
        <v>1</v>
      </c>
      <c r="I220" s="97">
        <v>2</v>
      </c>
      <c r="J220" s="6">
        <v>1</v>
      </c>
      <c r="K220" s="6">
        <v>2</v>
      </c>
      <c r="L220" s="136">
        <v>8</v>
      </c>
      <c r="M220" s="135">
        <v>9</v>
      </c>
      <c r="N220" s="135">
        <v>18</v>
      </c>
      <c r="O220" s="135">
        <v>23</v>
      </c>
      <c r="P220" s="218">
        <f t="shared" si="9"/>
        <v>64</v>
      </c>
    </row>
    <row r="221" spans="1:16" x14ac:dyDescent="0.35">
      <c r="A221" s="362"/>
      <c r="B221" s="362"/>
      <c r="C221" s="6" t="s">
        <v>1623</v>
      </c>
      <c r="D221" s="6" t="s">
        <v>1941</v>
      </c>
      <c r="E221" s="6" t="s">
        <v>2085</v>
      </c>
      <c r="F221" s="6" t="s">
        <v>2143</v>
      </c>
      <c r="G221" s="6" t="s">
        <v>2149</v>
      </c>
      <c r="H221" s="97">
        <v>4</v>
      </c>
      <c r="I221" s="97">
        <v>4</v>
      </c>
      <c r="J221" s="6">
        <v>4</v>
      </c>
      <c r="K221" s="6">
        <v>6</v>
      </c>
      <c r="L221" s="136">
        <v>8</v>
      </c>
      <c r="M221" s="135">
        <v>6</v>
      </c>
      <c r="N221" s="135">
        <v>10</v>
      </c>
      <c r="O221" s="135">
        <v>11</v>
      </c>
      <c r="P221" s="218">
        <f t="shared" si="9"/>
        <v>53</v>
      </c>
    </row>
    <row r="222" spans="1:16" x14ac:dyDescent="0.35">
      <c r="A222" s="362"/>
      <c r="B222" s="362"/>
      <c r="C222" s="140" t="s">
        <v>2</v>
      </c>
      <c r="D222" s="139"/>
      <c r="E222" s="139"/>
      <c r="F222" s="139"/>
      <c r="G222" s="139"/>
      <c r="H222" s="165">
        <f>SUM(H207:H221)</f>
        <v>43</v>
      </c>
      <c r="I222" s="165">
        <f t="shared" ref="I222:O222" si="11">SUM(I207:I221)</f>
        <v>49</v>
      </c>
      <c r="J222" s="166">
        <f t="shared" si="11"/>
        <v>57</v>
      </c>
      <c r="K222" s="166">
        <f t="shared" si="11"/>
        <v>42</v>
      </c>
      <c r="L222" s="141">
        <f t="shared" si="11"/>
        <v>116</v>
      </c>
      <c r="M222" s="141">
        <f t="shared" si="11"/>
        <v>125</v>
      </c>
      <c r="N222" s="146">
        <f t="shared" si="11"/>
        <v>203</v>
      </c>
      <c r="O222" s="146">
        <f t="shared" si="11"/>
        <v>213</v>
      </c>
      <c r="P222" s="217">
        <f t="shared" si="9"/>
        <v>848</v>
      </c>
    </row>
    <row r="223" spans="1:16" x14ac:dyDescent="0.35">
      <c r="A223" s="362">
        <v>9</v>
      </c>
      <c r="B223" s="362" t="s">
        <v>3305</v>
      </c>
      <c r="C223" s="6" t="s">
        <v>1623</v>
      </c>
      <c r="D223" s="6" t="s">
        <v>1941</v>
      </c>
      <c r="E223" s="6" t="s">
        <v>2110</v>
      </c>
      <c r="F223" s="6" t="s">
        <v>2150</v>
      </c>
      <c r="G223" s="6" t="s">
        <v>2151</v>
      </c>
      <c r="H223" s="97">
        <v>0</v>
      </c>
      <c r="I223" s="97">
        <v>1</v>
      </c>
      <c r="J223" s="6">
        <v>12</v>
      </c>
      <c r="K223" s="6">
        <v>10</v>
      </c>
      <c r="L223" s="136">
        <v>7</v>
      </c>
      <c r="M223" s="135">
        <v>6</v>
      </c>
      <c r="N223" s="135">
        <v>12</v>
      </c>
      <c r="O223" s="135">
        <v>15</v>
      </c>
      <c r="P223" s="218">
        <f t="shared" si="9"/>
        <v>63</v>
      </c>
    </row>
    <row r="224" spans="1:16" x14ac:dyDescent="0.35">
      <c r="A224" s="362"/>
      <c r="B224" s="362"/>
      <c r="C224" s="6" t="s">
        <v>1623</v>
      </c>
      <c r="D224" s="6" t="s">
        <v>1941</v>
      </c>
      <c r="E224" s="6" t="s">
        <v>2110</v>
      </c>
      <c r="F224" s="6" t="s">
        <v>2150</v>
      </c>
      <c r="G224" s="6" t="s">
        <v>2152</v>
      </c>
      <c r="H224" s="97">
        <v>1</v>
      </c>
      <c r="I224" s="97">
        <v>1</v>
      </c>
      <c r="J224" s="6">
        <v>5</v>
      </c>
      <c r="K224" s="6">
        <v>10</v>
      </c>
      <c r="L224" s="136">
        <v>5</v>
      </c>
      <c r="M224" s="135">
        <v>3</v>
      </c>
      <c r="N224" s="135">
        <v>14</v>
      </c>
      <c r="O224" s="135">
        <v>15</v>
      </c>
      <c r="P224" s="218">
        <f t="shared" si="9"/>
        <v>54</v>
      </c>
    </row>
    <row r="225" spans="1:16" x14ac:dyDescent="0.35">
      <c r="A225" s="362"/>
      <c r="B225" s="362"/>
      <c r="C225" s="6" t="s">
        <v>1623</v>
      </c>
      <c r="D225" s="6" t="s">
        <v>1941</v>
      </c>
      <c r="E225" s="6" t="s">
        <v>2110</v>
      </c>
      <c r="F225" s="6" t="s">
        <v>2150</v>
      </c>
      <c r="G225" s="6" t="s">
        <v>2153</v>
      </c>
      <c r="H225" s="97">
        <v>3</v>
      </c>
      <c r="I225" s="97">
        <v>3</v>
      </c>
      <c r="J225" s="6">
        <v>30</v>
      </c>
      <c r="K225" s="6">
        <v>25</v>
      </c>
      <c r="L225" s="136">
        <v>11</v>
      </c>
      <c r="M225" s="135">
        <v>12</v>
      </c>
      <c r="N225" s="135">
        <v>14</v>
      </c>
      <c r="O225" s="135">
        <v>14</v>
      </c>
      <c r="P225" s="218">
        <f t="shared" si="9"/>
        <v>112</v>
      </c>
    </row>
    <row r="226" spans="1:16" x14ac:dyDescent="0.35">
      <c r="A226" s="362"/>
      <c r="B226" s="362"/>
      <c r="C226" s="6" t="s">
        <v>1623</v>
      </c>
      <c r="D226" s="6" t="s">
        <v>1941</v>
      </c>
      <c r="E226" s="6" t="s">
        <v>2110</v>
      </c>
      <c r="F226" s="6" t="s">
        <v>2150</v>
      </c>
      <c r="G226" s="6" t="s">
        <v>2154</v>
      </c>
      <c r="H226" s="97">
        <v>1</v>
      </c>
      <c r="I226" s="97">
        <v>2</v>
      </c>
      <c r="J226" s="6">
        <v>31</v>
      </c>
      <c r="K226" s="6">
        <v>23</v>
      </c>
      <c r="L226" s="136">
        <v>10</v>
      </c>
      <c r="M226" s="135">
        <v>8</v>
      </c>
      <c r="N226" s="135">
        <v>16</v>
      </c>
      <c r="O226" s="135">
        <v>15</v>
      </c>
      <c r="P226" s="218">
        <f t="shared" si="9"/>
        <v>106</v>
      </c>
    </row>
    <row r="227" spans="1:16" x14ac:dyDescent="0.35">
      <c r="A227" s="362"/>
      <c r="B227" s="362"/>
      <c r="C227" s="6" t="s">
        <v>1623</v>
      </c>
      <c r="D227" s="6" t="s">
        <v>1941</v>
      </c>
      <c r="E227" s="6" t="s">
        <v>2110</v>
      </c>
      <c r="F227" s="6" t="s">
        <v>2155</v>
      </c>
      <c r="G227" s="6" t="s">
        <v>1745</v>
      </c>
      <c r="H227" s="97">
        <v>2</v>
      </c>
      <c r="I227" s="97">
        <v>2</v>
      </c>
      <c r="J227" s="6">
        <v>31</v>
      </c>
      <c r="K227" s="6">
        <v>21</v>
      </c>
      <c r="L227" s="136">
        <v>22</v>
      </c>
      <c r="M227" s="135">
        <v>12</v>
      </c>
      <c r="N227" s="135">
        <v>22</v>
      </c>
      <c r="O227" s="135">
        <v>26</v>
      </c>
      <c r="P227" s="218">
        <f t="shared" si="9"/>
        <v>138</v>
      </c>
    </row>
    <row r="228" spans="1:16" x14ac:dyDescent="0.35">
      <c r="A228" s="362"/>
      <c r="B228" s="362"/>
      <c r="C228" s="6" t="s">
        <v>1623</v>
      </c>
      <c r="D228" s="6" t="s">
        <v>1941</v>
      </c>
      <c r="E228" s="6" t="s">
        <v>2110</v>
      </c>
      <c r="F228" s="6" t="s">
        <v>2155</v>
      </c>
      <c r="G228" s="6" t="s">
        <v>2156</v>
      </c>
      <c r="H228" s="97">
        <v>0</v>
      </c>
      <c r="I228" s="97">
        <v>1</v>
      </c>
      <c r="J228" s="6">
        <v>23</v>
      </c>
      <c r="K228" s="6">
        <v>15</v>
      </c>
      <c r="L228" s="136">
        <v>22</v>
      </c>
      <c r="M228" s="135">
        <v>15</v>
      </c>
      <c r="N228" s="135">
        <v>10</v>
      </c>
      <c r="O228" s="135">
        <v>9</v>
      </c>
      <c r="P228" s="218">
        <f t="shared" si="9"/>
        <v>95</v>
      </c>
    </row>
    <row r="229" spans="1:16" x14ac:dyDescent="0.35">
      <c r="A229" s="362"/>
      <c r="B229" s="362"/>
      <c r="C229" s="6" t="s">
        <v>1623</v>
      </c>
      <c r="D229" s="6" t="s">
        <v>1941</v>
      </c>
      <c r="E229" s="6" t="s">
        <v>2110</v>
      </c>
      <c r="F229" s="6" t="s">
        <v>2155</v>
      </c>
      <c r="G229" s="6" t="s">
        <v>2157</v>
      </c>
      <c r="H229" s="97">
        <v>1</v>
      </c>
      <c r="I229" s="97">
        <v>2</v>
      </c>
      <c r="J229" s="6">
        <v>12</v>
      </c>
      <c r="K229" s="6">
        <v>17</v>
      </c>
      <c r="L229" s="136">
        <v>5</v>
      </c>
      <c r="M229" s="135">
        <v>3</v>
      </c>
      <c r="N229" s="135">
        <v>7</v>
      </c>
      <c r="O229" s="135">
        <v>10</v>
      </c>
      <c r="P229" s="218">
        <f t="shared" si="9"/>
        <v>57</v>
      </c>
    </row>
    <row r="230" spans="1:16" x14ac:dyDescent="0.35">
      <c r="A230" s="362"/>
      <c r="B230" s="362"/>
      <c r="C230" s="6" t="s">
        <v>1623</v>
      </c>
      <c r="D230" s="6" t="s">
        <v>1941</v>
      </c>
      <c r="E230" s="6" t="s">
        <v>2110</v>
      </c>
      <c r="F230" s="6" t="s">
        <v>2155</v>
      </c>
      <c r="G230" s="6" t="s">
        <v>2158</v>
      </c>
      <c r="H230" s="97">
        <v>3</v>
      </c>
      <c r="I230" s="97">
        <v>4</v>
      </c>
      <c r="J230" s="6">
        <v>17</v>
      </c>
      <c r="K230" s="6">
        <v>13</v>
      </c>
      <c r="L230" s="136">
        <v>4</v>
      </c>
      <c r="M230" s="135">
        <v>2</v>
      </c>
      <c r="N230" s="135">
        <v>15</v>
      </c>
      <c r="O230" s="135">
        <v>13</v>
      </c>
      <c r="P230" s="218">
        <f t="shared" si="9"/>
        <v>71</v>
      </c>
    </row>
    <row r="231" spans="1:16" x14ac:dyDescent="0.35">
      <c r="A231" s="362"/>
      <c r="B231" s="362"/>
      <c r="C231" s="6" t="s">
        <v>1623</v>
      </c>
      <c r="D231" s="6" t="s">
        <v>1941</v>
      </c>
      <c r="E231" s="6" t="s">
        <v>2110</v>
      </c>
      <c r="F231" s="6" t="s">
        <v>2155</v>
      </c>
      <c r="G231" s="6" t="s">
        <v>2159</v>
      </c>
      <c r="H231" s="97">
        <v>7</v>
      </c>
      <c r="I231" s="97">
        <v>7</v>
      </c>
      <c r="J231" s="6">
        <v>52</v>
      </c>
      <c r="K231" s="6">
        <v>60</v>
      </c>
      <c r="L231" s="136">
        <v>20</v>
      </c>
      <c r="M231" s="135">
        <v>21</v>
      </c>
      <c r="N231" s="135">
        <v>55</v>
      </c>
      <c r="O231" s="135">
        <v>61</v>
      </c>
      <c r="P231" s="218">
        <f t="shared" si="9"/>
        <v>283</v>
      </c>
    </row>
    <row r="232" spans="1:16" x14ac:dyDescent="0.35">
      <c r="A232" s="362"/>
      <c r="B232" s="362"/>
      <c r="C232" s="140" t="s">
        <v>2</v>
      </c>
      <c r="D232" s="139"/>
      <c r="E232" s="139"/>
      <c r="F232" s="139"/>
      <c r="G232" s="139"/>
      <c r="H232" s="165">
        <f>SUM(H223:H231)</f>
        <v>18</v>
      </c>
      <c r="I232" s="165">
        <f t="shared" ref="I232:O232" si="12">SUM(I223:I231)</f>
        <v>23</v>
      </c>
      <c r="J232" s="166">
        <f t="shared" si="12"/>
        <v>213</v>
      </c>
      <c r="K232" s="166">
        <f t="shared" si="12"/>
        <v>194</v>
      </c>
      <c r="L232" s="141">
        <f t="shared" si="12"/>
        <v>106</v>
      </c>
      <c r="M232" s="141">
        <f t="shared" si="12"/>
        <v>82</v>
      </c>
      <c r="N232" s="146">
        <f t="shared" si="12"/>
        <v>165</v>
      </c>
      <c r="O232" s="146">
        <f t="shared" si="12"/>
        <v>178</v>
      </c>
      <c r="P232" s="217">
        <f t="shared" si="9"/>
        <v>979</v>
      </c>
    </row>
    <row r="233" spans="1:16" x14ac:dyDescent="0.35">
      <c r="A233" s="362">
        <v>10</v>
      </c>
      <c r="B233" s="362" t="s">
        <v>3306</v>
      </c>
      <c r="C233" s="6" t="s">
        <v>1623</v>
      </c>
      <c r="D233" s="6" t="s">
        <v>1941</v>
      </c>
      <c r="E233" s="6" t="s">
        <v>2032</v>
      </c>
      <c r="F233" s="6" t="s">
        <v>2160</v>
      </c>
      <c r="G233" s="6" t="s">
        <v>2160</v>
      </c>
      <c r="H233" s="97">
        <v>2</v>
      </c>
      <c r="I233" s="97">
        <v>2</v>
      </c>
      <c r="J233" s="6">
        <v>13</v>
      </c>
      <c r="K233" s="6">
        <v>14</v>
      </c>
      <c r="L233" s="136">
        <v>5</v>
      </c>
      <c r="M233" s="135">
        <v>7</v>
      </c>
      <c r="N233" s="135">
        <v>3</v>
      </c>
      <c r="O233" s="135">
        <v>5</v>
      </c>
      <c r="P233" s="218">
        <f t="shared" si="9"/>
        <v>51</v>
      </c>
    </row>
    <row r="234" spans="1:16" x14ac:dyDescent="0.35">
      <c r="A234" s="362"/>
      <c r="B234" s="362"/>
      <c r="C234" s="6" t="s">
        <v>1623</v>
      </c>
      <c r="D234" s="6" t="s">
        <v>1941</v>
      </c>
      <c r="E234" s="6" t="s">
        <v>2032</v>
      </c>
      <c r="F234" s="6" t="s">
        <v>2160</v>
      </c>
      <c r="G234" s="6" t="s">
        <v>2161</v>
      </c>
      <c r="H234" s="97">
        <v>10</v>
      </c>
      <c r="I234" s="97">
        <v>10</v>
      </c>
      <c r="J234" s="6">
        <v>20</v>
      </c>
      <c r="K234" s="6">
        <v>15</v>
      </c>
      <c r="L234" s="136">
        <v>10</v>
      </c>
      <c r="M234" s="135">
        <v>11</v>
      </c>
      <c r="N234" s="135">
        <v>20</v>
      </c>
      <c r="O234" s="135">
        <v>15</v>
      </c>
      <c r="P234" s="218">
        <f t="shared" si="9"/>
        <v>111</v>
      </c>
    </row>
    <row r="235" spans="1:16" x14ac:dyDescent="0.35">
      <c r="A235" s="362"/>
      <c r="B235" s="362"/>
      <c r="C235" s="6" t="s">
        <v>1623</v>
      </c>
      <c r="D235" s="6" t="s">
        <v>1941</v>
      </c>
      <c r="E235" s="6" t="s">
        <v>2032</v>
      </c>
      <c r="F235" s="6" t="s">
        <v>2160</v>
      </c>
      <c r="G235" s="6" t="s">
        <v>2162</v>
      </c>
      <c r="H235" s="97">
        <v>2</v>
      </c>
      <c r="I235" s="97">
        <v>3</v>
      </c>
      <c r="J235" s="6">
        <v>7</v>
      </c>
      <c r="K235" s="6">
        <v>7</v>
      </c>
      <c r="L235" s="136">
        <v>11</v>
      </c>
      <c r="M235" s="135">
        <v>9</v>
      </c>
      <c r="N235" s="135">
        <v>5</v>
      </c>
      <c r="O235" s="135">
        <v>10</v>
      </c>
      <c r="P235" s="218">
        <f t="shared" si="9"/>
        <v>54</v>
      </c>
    </row>
    <row r="236" spans="1:16" x14ac:dyDescent="0.35">
      <c r="A236" s="362"/>
      <c r="B236" s="362"/>
      <c r="C236" s="6" t="s">
        <v>1623</v>
      </c>
      <c r="D236" s="6" t="s">
        <v>1941</v>
      </c>
      <c r="E236" s="6" t="s">
        <v>2032</v>
      </c>
      <c r="F236" s="6" t="s">
        <v>2160</v>
      </c>
      <c r="G236" s="6" t="s">
        <v>2163</v>
      </c>
      <c r="H236" s="97">
        <v>4</v>
      </c>
      <c r="I236" s="97">
        <v>5</v>
      </c>
      <c r="J236" s="6">
        <v>17</v>
      </c>
      <c r="K236" s="6">
        <v>11</v>
      </c>
      <c r="L236" s="136">
        <v>9</v>
      </c>
      <c r="M236" s="135">
        <v>7</v>
      </c>
      <c r="N236" s="135">
        <v>10</v>
      </c>
      <c r="O236" s="135">
        <v>9</v>
      </c>
      <c r="P236" s="218">
        <f t="shared" si="9"/>
        <v>72</v>
      </c>
    </row>
    <row r="237" spans="1:16" x14ac:dyDescent="0.35">
      <c r="A237" s="362"/>
      <c r="B237" s="362"/>
      <c r="C237" s="6" t="s">
        <v>1623</v>
      </c>
      <c r="D237" s="6" t="s">
        <v>1941</v>
      </c>
      <c r="E237" s="6" t="s">
        <v>2032</v>
      </c>
      <c r="F237" s="6" t="s">
        <v>2160</v>
      </c>
      <c r="G237" s="6" t="s">
        <v>2164</v>
      </c>
      <c r="H237" s="97">
        <v>3</v>
      </c>
      <c r="I237" s="97">
        <v>4</v>
      </c>
      <c r="J237" s="6">
        <v>14</v>
      </c>
      <c r="K237" s="6">
        <v>15</v>
      </c>
      <c r="L237" s="136">
        <v>5</v>
      </c>
      <c r="M237" s="135">
        <v>8</v>
      </c>
      <c r="N237" s="135">
        <v>9</v>
      </c>
      <c r="O237" s="135">
        <v>11</v>
      </c>
      <c r="P237" s="218">
        <f t="shared" si="9"/>
        <v>69</v>
      </c>
    </row>
    <row r="238" spans="1:16" x14ac:dyDescent="0.35">
      <c r="A238" s="362"/>
      <c r="B238" s="362"/>
      <c r="C238" s="6" t="s">
        <v>1623</v>
      </c>
      <c r="D238" s="6" t="s">
        <v>1941</v>
      </c>
      <c r="E238" s="6" t="s">
        <v>2032</v>
      </c>
      <c r="F238" s="6" t="s">
        <v>2165</v>
      </c>
      <c r="G238" s="6" t="s">
        <v>2166</v>
      </c>
      <c r="H238" s="97">
        <v>4</v>
      </c>
      <c r="I238" s="97">
        <v>5</v>
      </c>
      <c r="J238" s="6">
        <v>3</v>
      </c>
      <c r="K238" s="6">
        <v>3</v>
      </c>
      <c r="L238" s="136">
        <v>13</v>
      </c>
      <c r="M238" s="135">
        <v>15</v>
      </c>
      <c r="N238" s="135">
        <v>13</v>
      </c>
      <c r="O238" s="135">
        <v>14</v>
      </c>
      <c r="P238" s="218">
        <f t="shared" si="9"/>
        <v>70</v>
      </c>
    </row>
    <row r="239" spans="1:16" x14ac:dyDescent="0.35">
      <c r="A239" s="362"/>
      <c r="B239" s="362"/>
      <c r="C239" s="6" t="s">
        <v>1623</v>
      </c>
      <c r="D239" s="6" t="s">
        <v>1941</v>
      </c>
      <c r="E239" s="6" t="s">
        <v>2032</v>
      </c>
      <c r="F239" s="6" t="s">
        <v>2165</v>
      </c>
      <c r="G239" s="6" t="s">
        <v>2165</v>
      </c>
      <c r="H239" s="97">
        <v>2</v>
      </c>
      <c r="I239" s="97">
        <v>3</v>
      </c>
      <c r="J239" s="6">
        <v>7</v>
      </c>
      <c r="K239" s="6">
        <v>6</v>
      </c>
      <c r="L239" s="136">
        <v>4</v>
      </c>
      <c r="M239" s="135">
        <v>9</v>
      </c>
      <c r="N239" s="135">
        <v>8</v>
      </c>
      <c r="O239" s="135">
        <v>9</v>
      </c>
      <c r="P239" s="218">
        <f t="shared" si="9"/>
        <v>48</v>
      </c>
    </row>
    <row r="240" spans="1:16" x14ac:dyDescent="0.35">
      <c r="A240" s="362"/>
      <c r="B240" s="362"/>
      <c r="C240" s="6" t="s">
        <v>1623</v>
      </c>
      <c r="D240" s="6" t="s">
        <v>1941</v>
      </c>
      <c r="E240" s="6" t="s">
        <v>2032</v>
      </c>
      <c r="F240" s="6" t="s">
        <v>2165</v>
      </c>
      <c r="G240" s="6" t="s">
        <v>2167</v>
      </c>
      <c r="H240" s="97">
        <v>3</v>
      </c>
      <c r="I240" s="97">
        <v>3</v>
      </c>
      <c r="J240" s="6">
        <v>3</v>
      </c>
      <c r="K240" s="6">
        <v>4</v>
      </c>
      <c r="L240" s="136">
        <v>11</v>
      </c>
      <c r="M240" s="135">
        <v>15</v>
      </c>
      <c r="N240" s="135">
        <v>13</v>
      </c>
      <c r="O240" s="135">
        <v>17</v>
      </c>
      <c r="P240" s="218">
        <f t="shared" si="9"/>
        <v>69</v>
      </c>
    </row>
    <row r="241" spans="1:16" x14ac:dyDescent="0.35">
      <c r="A241" s="362"/>
      <c r="B241" s="362"/>
      <c r="C241" s="6" t="s">
        <v>1623</v>
      </c>
      <c r="D241" s="6" t="s">
        <v>1941</v>
      </c>
      <c r="E241" s="6" t="s">
        <v>2032</v>
      </c>
      <c r="F241" s="6" t="s">
        <v>2165</v>
      </c>
      <c r="G241" s="6" t="s">
        <v>2168</v>
      </c>
      <c r="H241" s="97">
        <v>1</v>
      </c>
      <c r="I241" s="97">
        <v>1</v>
      </c>
      <c r="J241" s="6">
        <v>11</v>
      </c>
      <c r="K241" s="6">
        <v>13</v>
      </c>
      <c r="L241" s="136">
        <v>3</v>
      </c>
      <c r="M241" s="135">
        <v>5</v>
      </c>
      <c r="N241" s="135">
        <v>10</v>
      </c>
      <c r="O241" s="135">
        <v>12</v>
      </c>
      <c r="P241" s="218">
        <f t="shared" si="9"/>
        <v>56</v>
      </c>
    </row>
    <row r="242" spans="1:16" x14ac:dyDescent="0.35">
      <c r="A242" s="362"/>
      <c r="B242" s="362"/>
      <c r="C242" s="6" t="s">
        <v>1623</v>
      </c>
      <c r="D242" s="6" t="s">
        <v>1941</v>
      </c>
      <c r="E242" s="6" t="s">
        <v>2032</v>
      </c>
      <c r="F242" s="6" t="s">
        <v>2165</v>
      </c>
      <c r="G242" s="6" t="s">
        <v>2169</v>
      </c>
      <c r="H242" s="97">
        <v>2</v>
      </c>
      <c r="I242" s="97">
        <v>2</v>
      </c>
      <c r="J242" s="6">
        <v>24</v>
      </c>
      <c r="K242" s="6">
        <v>25</v>
      </c>
      <c r="L242" s="136">
        <v>5</v>
      </c>
      <c r="M242" s="135">
        <v>4</v>
      </c>
      <c r="N242" s="135">
        <v>7</v>
      </c>
      <c r="O242" s="135">
        <v>9</v>
      </c>
      <c r="P242" s="218">
        <f t="shared" si="9"/>
        <v>78</v>
      </c>
    </row>
    <row r="243" spans="1:16" x14ac:dyDescent="0.35">
      <c r="A243" s="362"/>
      <c r="B243" s="362"/>
      <c r="C243" s="6" t="s">
        <v>1623</v>
      </c>
      <c r="D243" s="6" t="s">
        <v>1941</v>
      </c>
      <c r="E243" s="6" t="s">
        <v>2032</v>
      </c>
      <c r="F243" s="6" t="s">
        <v>2165</v>
      </c>
      <c r="G243" s="6" t="s">
        <v>405</v>
      </c>
      <c r="H243" s="97">
        <v>3</v>
      </c>
      <c r="I243" s="97">
        <v>4</v>
      </c>
      <c r="J243" s="6">
        <v>10</v>
      </c>
      <c r="K243" s="6">
        <v>9</v>
      </c>
      <c r="L243" s="136">
        <v>9</v>
      </c>
      <c r="M243" s="135">
        <v>10</v>
      </c>
      <c r="N243" s="135">
        <v>10</v>
      </c>
      <c r="O243" s="135">
        <v>8</v>
      </c>
      <c r="P243" s="218">
        <f t="shared" si="9"/>
        <v>63</v>
      </c>
    </row>
    <row r="244" spans="1:16" x14ac:dyDescent="0.35">
      <c r="A244" s="362"/>
      <c r="B244" s="362"/>
      <c r="C244" s="6" t="s">
        <v>1623</v>
      </c>
      <c r="D244" s="6" t="s">
        <v>1941</v>
      </c>
      <c r="E244" s="6" t="s">
        <v>2032</v>
      </c>
      <c r="F244" s="6" t="s">
        <v>2165</v>
      </c>
      <c r="G244" s="6" t="s">
        <v>1989</v>
      </c>
      <c r="H244" s="97">
        <v>2</v>
      </c>
      <c r="I244" s="97">
        <v>3</v>
      </c>
      <c r="J244" s="6">
        <v>5</v>
      </c>
      <c r="K244" s="6">
        <v>8</v>
      </c>
      <c r="L244" s="136">
        <v>7</v>
      </c>
      <c r="M244" s="135">
        <v>5</v>
      </c>
      <c r="N244" s="135">
        <v>7</v>
      </c>
      <c r="O244" s="135">
        <v>10</v>
      </c>
      <c r="P244" s="218">
        <f t="shared" si="9"/>
        <v>47</v>
      </c>
    </row>
    <row r="245" spans="1:16" x14ac:dyDescent="0.35">
      <c r="A245" s="362"/>
      <c r="B245" s="362"/>
      <c r="C245" s="6" t="s">
        <v>1623</v>
      </c>
      <c r="D245" s="6" t="s">
        <v>1941</v>
      </c>
      <c r="E245" s="6" t="s">
        <v>2032</v>
      </c>
      <c r="F245" s="6" t="s">
        <v>2165</v>
      </c>
      <c r="G245" s="6" t="s">
        <v>339</v>
      </c>
      <c r="H245" s="97">
        <v>3</v>
      </c>
      <c r="I245" s="97">
        <v>4</v>
      </c>
      <c r="J245" s="6">
        <v>4</v>
      </c>
      <c r="K245" s="6">
        <v>11</v>
      </c>
      <c r="L245" s="136">
        <v>6</v>
      </c>
      <c r="M245" s="135">
        <v>7</v>
      </c>
      <c r="N245" s="135">
        <v>11</v>
      </c>
      <c r="O245" s="135">
        <v>6</v>
      </c>
      <c r="P245" s="218">
        <f t="shared" si="9"/>
        <v>52</v>
      </c>
    </row>
    <row r="246" spans="1:16" x14ac:dyDescent="0.35">
      <c r="A246" s="362"/>
      <c r="B246" s="362"/>
      <c r="C246" s="6" t="s">
        <v>1623</v>
      </c>
      <c r="D246" s="6" t="s">
        <v>1941</v>
      </c>
      <c r="E246" s="6" t="s">
        <v>2032</v>
      </c>
      <c r="F246" s="6" t="s">
        <v>2165</v>
      </c>
      <c r="G246" s="6" t="s">
        <v>2170</v>
      </c>
      <c r="H246" s="97">
        <v>3</v>
      </c>
      <c r="I246" s="97">
        <v>4</v>
      </c>
      <c r="J246" s="6">
        <v>8</v>
      </c>
      <c r="K246" s="6">
        <v>4</v>
      </c>
      <c r="L246" s="136">
        <v>9</v>
      </c>
      <c r="M246" s="135">
        <v>5</v>
      </c>
      <c r="N246" s="135">
        <v>7</v>
      </c>
      <c r="O246" s="135">
        <v>9</v>
      </c>
      <c r="P246" s="218">
        <f t="shared" si="9"/>
        <v>49</v>
      </c>
    </row>
    <row r="247" spans="1:16" x14ac:dyDescent="0.35">
      <c r="A247" s="362"/>
      <c r="B247" s="362"/>
      <c r="C247" s="6" t="s">
        <v>1623</v>
      </c>
      <c r="D247" s="6" t="s">
        <v>1941</v>
      </c>
      <c r="E247" s="6" t="s">
        <v>2032</v>
      </c>
      <c r="F247" s="6" t="s">
        <v>2171</v>
      </c>
      <c r="G247" s="6" t="s">
        <v>2172</v>
      </c>
      <c r="H247" s="97">
        <v>5</v>
      </c>
      <c r="I247" s="97">
        <v>6</v>
      </c>
      <c r="J247" s="6">
        <v>21</v>
      </c>
      <c r="K247" s="6">
        <v>12</v>
      </c>
      <c r="L247" s="136">
        <v>16</v>
      </c>
      <c r="M247" s="135">
        <v>15</v>
      </c>
      <c r="N247" s="135">
        <v>28</v>
      </c>
      <c r="O247" s="135">
        <v>30</v>
      </c>
      <c r="P247" s="218">
        <f t="shared" si="9"/>
        <v>133</v>
      </c>
    </row>
    <row r="248" spans="1:16" x14ac:dyDescent="0.35">
      <c r="A248" s="362"/>
      <c r="B248" s="362"/>
      <c r="C248" s="6" t="s">
        <v>1623</v>
      </c>
      <c r="D248" s="6" t="s">
        <v>1941</v>
      </c>
      <c r="E248" s="6" t="s">
        <v>2032</v>
      </c>
      <c r="F248" s="6" t="s">
        <v>2171</v>
      </c>
      <c r="G248" s="6" t="s">
        <v>2173</v>
      </c>
      <c r="H248" s="97">
        <v>5</v>
      </c>
      <c r="I248" s="97">
        <v>6</v>
      </c>
      <c r="J248" s="6">
        <v>11</v>
      </c>
      <c r="K248" s="6">
        <v>12</v>
      </c>
      <c r="L248" s="136">
        <v>6</v>
      </c>
      <c r="M248" s="135">
        <v>7</v>
      </c>
      <c r="N248" s="135">
        <v>8</v>
      </c>
      <c r="O248" s="135">
        <v>7</v>
      </c>
      <c r="P248" s="218">
        <f t="shared" si="9"/>
        <v>62</v>
      </c>
    </row>
    <row r="249" spans="1:16" x14ac:dyDescent="0.35">
      <c r="A249" s="362"/>
      <c r="B249" s="362"/>
      <c r="C249" s="6" t="s">
        <v>1623</v>
      </c>
      <c r="D249" s="6" t="s">
        <v>1941</v>
      </c>
      <c r="E249" s="6" t="s">
        <v>2032</v>
      </c>
      <c r="F249" s="6" t="s">
        <v>2171</v>
      </c>
      <c r="G249" s="6" t="s">
        <v>2174</v>
      </c>
      <c r="H249" s="97">
        <v>1</v>
      </c>
      <c r="I249" s="97">
        <v>1</v>
      </c>
      <c r="J249" s="6">
        <v>8</v>
      </c>
      <c r="K249" s="6">
        <v>7</v>
      </c>
      <c r="L249" s="136">
        <v>8</v>
      </c>
      <c r="M249" s="135">
        <v>7</v>
      </c>
      <c r="N249" s="135">
        <v>6</v>
      </c>
      <c r="O249" s="135">
        <v>5</v>
      </c>
      <c r="P249" s="218">
        <f t="shared" si="9"/>
        <v>43</v>
      </c>
    </row>
    <row r="250" spans="1:16" x14ac:dyDescent="0.35">
      <c r="A250" s="362"/>
      <c r="B250" s="362"/>
      <c r="C250" s="6" t="s">
        <v>1623</v>
      </c>
      <c r="D250" s="6" t="s">
        <v>1941</v>
      </c>
      <c r="E250" s="6" t="s">
        <v>2032</v>
      </c>
      <c r="F250" s="6" t="s">
        <v>2171</v>
      </c>
      <c r="G250" s="6" t="s">
        <v>2175</v>
      </c>
      <c r="H250" s="97">
        <v>4</v>
      </c>
      <c r="I250" s="97">
        <v>4</v>
      </c>
      <c r="J250" s="6">
        <v>9</v>
      </c>
      <c r="K250" s="6">
        <v>6</v>
      </c>
      <c r="L250" s="136">
        <v>10</v>
      </c>
      <c r="M250" s="135">
        <v>9</v>
      </c>
      <c r="N250" s="135">
        <v>11</v>
      </c>
      <c r="O250" s="135">
        <v>15</v>
      </c>
      <c r="P250" s="218">
        <f t="shared" si="9"/>
        <v>68</v>
      </c>
    </row>
    <row r="251" spans="1:16" x14ac:dyDescent="0.35">
      <c r="A251" s="362"/>
      <c r="B251" s="362"/>
      <c r="C251" s="6" t="s">
        <v>1623</v>
      </c>
      <c r="D251" s="6" t="s">
        <v>1941</v>
      </c>
      <c r="E251" s="6" t="s">
        <v>2032</v>
      </c>
      <c r="F251" s="6" t="s">
        <v>2171</v>
      </c>
      <c r="G251" s="6" t="s">
        <v>2176</v>
      </c>
      <c r="H251" s="97">
        <v>3</v>
      </c>
      <c r="I251" s="97">
        <v>4</v>
      </c>
      <c r="J251" s="6">
        <v>6</v>
      </c>
      <c r="K251" s="6">
        <v>4</v>
      </c>
      <c r="L251" s="136">
        <v>5</v>
      </c>
      <c r="M251" s="135">
        <v>4</v>
      </c>
      <c r="N251" s="135">
        <v>6</v>
      </c>
      <c r="O251" s="135">
        <v>8</v>
      </c>
      <c r="P251" s="218">
        <f t="shared" si="9"/>
        <v>40</v>
      </c>
    </row>
    <row r="252" spans="1:16" x14ac:dyDescent="0.35">
      <c r="A252" s="362"/>
      <c r="B252" s="362"/>
      <c r="C252" s="6" t="s">
        <v>1623</v>
      </c>
      <c r="D252" s="6" t="s">
        <v>1941</v>
      </c>
      <c r="E252" s="6" t="s">
        <v>2032</v>
      </c>
      <c r="F252" s="6" t="s">
        <v>2171</v>
      </c>
      <c r="G252" s="6" t="s">
        <v>2177</v>
      </c>
      <c r="H252" s="97">
        <v>2</v>
      </c>
      <c r="I252" s="97">
        <v>2</v>
      </c>
      <c r="J252" s="6">
        <v>12</v>
      </c>
      <c r="K252" s="6">
        <v>14</v>
      </c>
      <c r="L252" s="136">
        <v>4</v>
      </c>
      <c r="M252" s="135">
        <v>5</v>
      </c>
      <c r="N252" s="135">
        <v>9</v>
      </c>
      <c r="O252" s="135">
        <v>7</v>
      </c>
      <c r="P252" s="218">
        <f t="shared" si="9"/>
        <v>55</v>
      </c>
    </row>
    <row r="253" spans="1:16" x14ac:dyDescent="0.35">
      <c r="A253" s="362"/>
      <c r="B253" s="362"/>
      <c r="C253" s="6" t="s">
        <v>1623</v>
      </c>
      <c r="D253" s="6" t="s">
        <v>1941</v>
      </c>
      <c r="E253" s="6" t="s">
        <v>2032</v>
      </c>
      <c r="F253" s="6" t="s">
        <v>2171</v>
      </c>
      <c r="G253" s="6" t="s">
        <v>2178</v>
      </c>
      <c r="H253" s="97">
        <v>1</v>
      </c>
      <c r="I253" s="97">
        <v>1</v>
      </c>
      <c r="J253" s="6">
        <v>5</v>
      </c>
      <c r="K253" s="6">
        <v>4</v>
      </c>
      <c r="L253" s="136">
        <v>2</v>
      </c>
      <c r="M253" s="135">
        <v>1</v>
      </c>
      <c r="N253" s="135">
        <v>3</v>
      </c>
      <c r="O253" s="135">
        <v>4</v>
      </c>
      <c r="P253" s="218">
        <f t="shared" si="9"/>
        <v>21</v>
      </c>
    </row>
    <row r="254" spans="1:16" x14ac:dyDescent="0.35">
      <c r="A254" s="362"/>
      <c r="B254" s="362"/>
      <c r="C254" s="6" t="s">
        <v>1623</v>
      </c>
      <c r="D254" s="6" t="s">
        <v>1941</v>
      </c>
      <c r="E254" s="6" t="s">
        <v>2032</v>
      </c>
      <c r="F254" s="6" t="s">
        <v>2171</v>
      </c>
      <c r="G254" s="6" t="s">
        <v>2179</v>
      </c>
      <c r="H254" s="97">
        <v>2</v>
      </c>
      <c r="I254" s="97">
        <v>2</v>
      </c>
      <c r="J254" s="6">
        <v>5</v>
      </c>
      <c r="K254" s="6">
        <v>6</v>
      </c>
      <c r="L254" s="136">
        <v>3</v>
      </c>
      <c r="M254" s="135">
        <v>5</v>
      </c>
      <c r="N254" s="135">
        <v>7</v>
      </c>
      <c r="O254" s="135">
        <v>9</v>
      </c>
      <c r="P254" s="218">
        <f t="shared" si="9"/>
        <v>39</v>
      </c>
    </row>
    <row r="255" spans="1:16" x14ac:dyDescent="0.35">
      <c r="A255" s="362"/>
      <c r="B255" s="362"/>
      <c r="C255" s="140" t="s">
        <v>2</v>
      </c>
      <c r="D255" s="139"/>
      <c r="E255" s="139"/>
      <c r="F255" s="139"/>
      <c r="G255" s="139"/>
      <c r="H255" s="165">
        <f>SUM(H233:H254)</f>
        <v>67</v>
      </c>
      <c r="I255" s="165">
        <f t="shared" ref="I255:O255" si="13">SUM(I233:I254)</f>
        <v>79</v>
      </c>
      <c r="J255" s="166">
        <f t="shared" si="13"/>
        <v>223</v>
      </c>
      <c r="K255" s="166">
        <f t="shared" si="13"/>
        <v>210</v>
      </c>
      <c r="L255" s="141">
        <f t="shared" si="13"/>
        <v>161</v>
      </c>
      <c r="M255" s="141">
        <f t="shared" si="13"/>
        <v>170</v>
      </c>
      <c r="N255" s="146">
        <f t="shared" si="13"/>
        <v>211</v>
      </c>
      <c r="O255" s="146">
        <f t="shared" si="13"/>
        <v>229</v>
      </c>
      <c r="P255" s="217">
        <f t="shared" si="9"/>
        <v>1350</v>
      </c>
    </row>
    <row r="256" spans="1:16" x14ac:dyDescent="0.35">
      <c r="C256" s="142" t="s">
        <v>2637</v>
      </c>
      <c r="D256" s="142"/>
      <c r="E256" s="143"/>
      <c r="F256" s="143"/>
      <c r="G256" s="143"/>
      <c r="H256" s="144">
        <f>SUM(H38+H83+H110+H147+H160+H178+H206+H222+H232+H255)</f>
        <v>1315</v>
      </c>
      <c r="I256" s="144">
        <f t="shared" ref="I256:O256" si="14">SUM(I38+I83+I110+I147+I160+I178+I206+I222+I232+I255)</f>
        <v>1427</v>
      </c>
      <c r="J256" s="144">
        <f t="shared" si="14"/>
        <v>4110</v>
      </c>
      <c r="K256" s="144">
        <f t="shared" si="14"/>
        <v>4083</v>
      </c>
      <c r="L256" s="144">
        <f t="shared" si="14"/>
        <v>2330</v>
      </c>
      <c r="M256" s="144">
        <f t="shared" si="14"/>
        <v>2432</v>
      </c>
      <c r="N256" s="144">
        <f t="shared" si="14"/>
        <v>2994</v>
      </c>
      <c r="O256" s="144">
        <f t="shared" si="14"/>
        <v>3166</v>
      </c>
      <c r="P256" s="217">
        <f t="shared" si="9"/>
        <v>21857</v>
      </c>
    </row>
  </sheetData>
  <mergeCells count="29">
    <mergeCell ref="N2:O2"/>
    <mergeCell ref="H2:I2"/>
    <mergeCell ref="J2:K2"/>
    <mergeCell ref="C2:C3"/>
    <mergeCell ref="D2:D3"/>
    <mergeCell ref="E2:E3"/>
    <mergeCell ref="F2:F3"/>
    <mergeCell ref="G2:G3"/>
    <mergeCell ref="A207:A222"/>
    <mergeCell ref="B207:B222"/>
    <mergeCell ref="A223:A232"/>
    <mergeCell ref="B223:B232"/>
    <mergeCell ref="L2:M2"/>
    <mergeCell ref="A233:A255"/>
    <mergeCell ref="B233:B255"/>
    <mergeCell ref="A4:A38"/>
    <mergeCell ref="B4:B38"/>
    <mergeCell ref="A39:A83"/>
    <mergeCell ref="B39:B83"/>
    <mergeCell ref="A84:A110"/>
    <mergeCell ref="B84:B110"/>
    <mergeCell ref="A111:A147"/>
    <mergeCell ref="B111:B147"/>
    <mergeCell ref="A148:A160"/>
    <mergeCell ref="B148:B160"/>
    <mergeCell ref="A161:A178"/>
    <mergeCell ref="B161:B178"/>
    <mergeCell ref="A179:A206"/>
    <mergeCell ref="B179:B20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D686-E983-4719-80BE-B8779017602A}">
  <dimension ref="A1:P583"/>
  <sheetViews>
    <sheetView zoomScale="80" zoomScaleNormal="80" workbookViewId="0">
      <selection activeCell="P5" sqref="P5"/>
    </sheetView>
  </sheetViews>
  <sheetFormatPr defaultColWidth="7.7265625" defaultRowHeight="14.5" x14ac:dyDescent="0.35"/>
  <cols>
    <col min="1" max="1" width="6.7265625" style="3" customWidth="1"/>
    <col min="2" max="2" width="27.54296875" style="3" bestFit="1" customWidth="1"/>
    <col min="3" max="3" width="10.26953125" style="3" bestFit="1" customWidth="1"/>
    <col min="4" max="4" width="11.453125" style="3" bestFit="1" customWidth="1"/>
    <col min="5" max="5" width="22.1796875" style="3" bestFit="1" customWidth="1"/>
    <col min="6" max="6" width="18.1796875" style="3" bestFit="1" customWidth="1"/>
    <col min="7" max="7" width="27.81640625" style="3" bestFit="1" customWidth="1"/>
    <col min="8" max="8" width="13.1796875" style="3" bestFit="1" customWidth="1"/>
    <col min="9" max="9" width="12.81640625" style="3" customWidth="1"/>
    <col min="10" max="10" width="13.453125" style="3" customWidth="1"/>
    <col min="11" max="11" width="17.1796875" style="3" customWidth="1"/>
    <col min="12" max="14" width="7.7265625" style="3"/>
    <col min="15" max="15" width="11" style="3" customWidth="1"/>
    <col min="16" max="16" width="10.54296875" style="3" customWidth="1"/>
    <col min="17" max="16384" width="7.7265625" style="3"/>
  </cols>
  <sheetData>
    <row r="1" spans="1:16" ht="39" customHeight="1" x14ac:dyDescent="0.35">
      <c r="A1" s="35"/>
      <c r="B1" s="279" t="s">
        <v>0</v>
      </c>
      <c r="C1" s="279"/>
      <c r="D1" s="279"/>
      <c r="E1" s="279"/>
      <c r="F1" s="279"/>
      <c r="G1" s="279"/>
      <c r="H1" s="279"/>
      <c r="I1" s="279"/>
      <c r="J1" s="279"/>
      <c r="K1" s="279"/>
    </row>
    <row r="2" spans="1:16" ht="22" customHeight="1" x14ac:dyDescent="0.35">
      <c r="A2" s="240" t="s">
        <v>1872</v>
      </c>
      <c r="B2" s="239" t="s">
        <v>1893</v>
      </c>
      <c r="C2" s="237" t="s">
        <v>1622</v>
      </c>
      <c r="D2" s="237" t="s">
        <v>1621</v>
      </c>
      <c r="E2" s="237" t="s">
        <v>1620</v>
      </c>
      <c r="F2" s="237" t="s">
        <v>1619</v>
      </c>
      <c r="G2" s="239" t="s">
        <v>344</v>
      </c>
      <c r="H2" s="240" t="s">
        <v>694</v>
      </c>
      <c r="I2" s="240"/>
      <c r="J2" s="240"/>
      <c r="K2" s="240"/>
    </row>
    <row r="3" spans="1:16" x14ac:dyDescent="0.35">
      <c r="A3" s="240"/>
      <c r="B3" s="239"/>
      <c r="C3" s="237"/>
      <c r="D3" s="237"/>
      <c r="E3" s="237"/>
      <c r="F3" s="237"/>
      <c r="G3" s="239"/>
      <c r="H3" s="47" t="s">
        <v>3</v>
      </c>
      <c r="I3" s="47" t="s">
        <v>4</v>
      </c>
      <c r="J3" s="48" t="s">
        <v>3</v>
      </c>
      <c r="K3" s="48" t="s">
        <v>4</v>
      </c>
      <c r="L3" s="47" t="s">
        <v>3</v>
      </c>
      <c r="M3" s="47" t="s">
        <v>4</v>
      </c>
      <c r="N3" s="47" t="s">
        <v>3</v>
      </c>
      <c r="O3" s="47" t="s">
        <v>4</v>
      </c>
      <c r="P3" s="216" t="s">
        <v>2</v>
      </c>
    </row>
    <row r="4" spans="1:16" x14ac:dyDescent="0.35">
      <c r="A4" s="240"/>
      <c r="B4" s="239"/>
      <c r="C4" s="237"/>
      <c r="D4" s="237"/>
      <c r="E4" s="237"/>
      <c r="F4" s="237"/>
      <c r="G4" s="239"/>
      <c r="H4" s="47" t="s">
        <v>345</v>
      </c>
      <c r="I4" s="47" t="s">
        <v>345</v>
      </c>
      <c r="J4" s="48" t="s">
        <v>346</v>
      </c>
      <c r="K4" s="48" t="s">
        <v>346</v>
      </c>
      <c r="L4" s="122" t="s">
        <v>2633</v>
      </c>
      <c r="M4" s="122" t="s">
        <v>2633</v>
      </c>
      <c r="N4" s="123" t="s">
        <v>2634</v>
      </c>
      <c r="O4" s="123" t="s">
        <v>2634</v>
      </c>
      <c r="P4" s="216" t="s">
        <v>3296</v>
      </c>
    </row>
    <row r="5" spans="1:16" x14ac:dyDescent="0.35">
      <c r="A5" s="287">
        <v>1</v>
      </c>
      <c r="B5" s="287" t="s">
        <v>1894</v>
      </c>
      <c r="C5" s="32" t="s">
        <v>1623</v>
      </c>
      <c r="D5" s="32" t="s">
        <v>1773</v>
      </c>
      <c r="E5" s="32" t="s">
        <v>1774</v>
      </c>
      <c r="F5" s="32" t="s">
        <v>1775</v>
      </c>
      <c r="G5" s="33" t="s">
        <v>1101</v>
      </c>
      <c r="H5" s="34">
        <v>5</v>
      </c>
      <c r="I5" s="34">
        <v>5</v>
      </c>
      <c r="J5" s="34">
        <v>58</v>
      </c>
      <c r="K5" s="34">
        <v>87</v>
      </c>
      <c r="L5" s="135">
        <v>6</v>
      </c>
      <c r="M5" s="135">
        <v>4</v>
      </c>
      <c r="N5" s="135">
        <v>4</v>
      </c>
      <c r="O5" s="135">
        <v>3</v>
      </c>
      <c r="P5" s="218">
        <f>H5+I5+J5+K5+L5+M5+N5+O5</f>
        <v>172</v>
      </c>
    </row>
    <row r="6" spans="1:16" x14ac:dyDescent="0.35">
      <c r="A6" s="287"/>
      <c r="B6" s="287"/>
      <c r="C6" s="32" t="s">
        <v>1623</v>
      </c>
      <c r="D6" s="32" t="s">
        <v>1773</v>
      </c>
      <c r="E6" s="32" t="s">
        <v>1774</v>
      </c>
      <c r="F6" s="32" t="s">
        <v>1776</v>
      </c>
      <c r="G6" s="33" t="s">
        <v>1102</v>
      </c>
      <c r="H6" s="34">
        <v>5</v>
      </c>
      <c r="I6" s="34">
        <v>8</v>
      </c>
      <c r="J6" s="34">
        <v>39</v>
      </c>
      <c r="K6" s="34">
        <v>63</v>
      </c>
      <c r="L6" s="135">
        <v>11</v>
      </c>
      <c r="M6" s="135">
        <v>9</v>
      </c>
      <c r="N6" s="135">
        <v>7</v>
      </c>
      <c r="O6" s="135">
        <v>9</v>
      </c>
      <c r="P6" s="218">
        <f t="shared" ref="P6:P69" si="0">H6+I6+J6+K6+L6+M6+N6+O6</f>
        <v>151</v>
      </c>
    </row>
    <row r="7" spans="1:16" x14ac:dyDescent="0.35">
      <c r="A7" s="287"/>
      <c r="B7" s="287"/>
      <c r="C7" s="32" t="s">
        <v>1623</v>
      </c>
      <c r="D7" s="32" t="s">
        <v>1773</v>
      </c>
      <c r="E7" s="32" t="s">
        <v>1774</v>
      </c>
      <c r="F7" s="32" t="s">
        <v>1776</v>
      </c>
      <c r="G7" s="33" t="s">
        <v>1103</v>
      </c>
      <c r="H7" s="34">
        <v>3</v>
      </c>
      <c r="I7" s="34">
        <v>4</v>
      </c>
      <c r="J7" s="34">
        <v>45</v>
      </c>
      <c r="K7" s="34">
        <v>60</v>
      </c>
      <c r="L7" s="135">
        <v>14</v>
      </c>
      <c r="M7" s="135">
        <v>13</v>
      </c>
      <c r="N7" s="135">
        <v>10</v>
      </c>
      <c r="O7" s="135">
        <v>14</v>
      </c>
      <c r="P7" s="218">
        <f t="shared" si="0"/>
        <v>163</v>
      </c>
    </row>
    <row r="8" spans="1:16" x14ac:dyDescent="0.35">
      <c r="A8" s="287"/>
      <c r="B8" s="287"/>
      <c r="C8" s="32" t="s">
        <v>1623</v>
      </c>
      <c r="D8" s="32" t="s">
        <v>1773</v>
      </c>
      <c r="E8" s="32" t="s">
        <v>1774</v>
      </c>
      <c r="F8" s="32" t="s">
        <v>1776</v>
      </c>
      <c r="G8" s="33" t="s">
        <v>1104</v>
      </c>
      <c r="H8" s="34">
        <v>6</v>
      </c>
      <c r="I8" s="34">
        <v>7</v>
      </c>
      <c r="J8" s="34">
        <v>42</v>
      </c>
      <c r="K8" s="34">
        <v>56</v>
      </c>
      <c r="L8" s="135">
        <v>5</v>
      </c>
      <c r="M8" s="135">
        <v>3</v>
      </c>
      <c r="N8" s="135">
        <v>6</v>
      </c>
      <c r="O8" s="135">
        <v>3</v>
      </c>
      <c r="P8" s="218">
        <f t="shared" si="0"/>
        <v>128</v>
      </c>
    </row>
    <row r="9" spans="1:16" x14ac:dyDescent="0.35">
      <c r="A9" s="287"/>
      <c r="B9" s="287"/>
      <c r="C9" s="32" t="s">
        <v>1623</v>
      </c>
      <c r="D9" s="32" t="s">
        <v>1773</v>
      </c>
      <c r="E9" s="32" t="s">
        <v>1774</v>
      </c>
      <c r="F9" s="32" t="s">
        <v>1775</v>
      </c>
      <c r="G9" s="33" t="s">
        <v>1105</v>
      </c>
      <c r="H9" s="34">
        <v>8</v>
      </c>
      <c r="I9" s="34">
        <v>10</v>
      </c>
      <c r="J9" s="34">
        <v>51</v>
      </c>
      <c r="K9" s="34">
        <v>48</v>
      </c>
      <c r="L9" s="135">
        <v>4</v>
      </c>
      <c r="M9" s="135">
        <v>5</v>
      </c>
      <c r="N9" s="135">
        <v>6</v>
      </c>
      <c r="O9" s="135">
        <v>4</v>
      </c>
      <c r="P9" s="218">
        <f t="shared" si="0"/>
        <v>136</v>
      </c>
    </row>
    <row r="10" spans="1:16" x14ac:dyDescent="0.35">
      <c r="A10" s="287"/>
      <c r="B10" s="287"/>
      <c r="C10" s="32" t="s">
        <v>1623</v>
      </c>
      <c r="D10" s="32" t="s">
        <v>1773</v>
      </c>
      <c r="E10" s="32" t="s">
        <v>1774</v>
      </c>
      <c r="F10" s="32" t="s">
        <v>1776</v>
      </c>
      <c r="G10" s="33" t="s">
        <v>1106</v>
      </c>
      <c r="H10" s="34">
        <v>7</v>
      </c>
      <c r="I10" s="34">
        <v>3</v>
      </c>
      <c r="J10" s="34">
        <v>53</v>
      </c>
      <c r="K10" s="34">
        <v>46</v>
      </c>
      <c r="L10" s="135">
        <v>5</v>
      </c>
      <c r="M10" s="135">
        <v>6</v>
      </c>
      <c r="N10" s="135">
        <v>13</v>
      </c>
      <c r="O10" s="135">
        <v>12</v>
      </c>
      <c r="P10" s="218">
        <f t="shared" si="0"/>
        <v>145</v>
      </c>
    </row>
    <row r="11" spans="1:16" x14ac:dyDescent="0.35">
      <c r="A11" s="287"/>
      <c r="B11" s="287"/>
      <c r="C11" s="32" t="s">
        <v>1623</v>
      </c>
      <c r="D11" s="32" t="s">
        <v>1773</v>
      </c>
      <c r="E11" s="32" t="s">
        <v>1774</v>
      </c>
      <c r="F11" s="32" t="s">
        <v>1775</v>
      </c>
      <c r="G11" s="33" t="s">
        <v>1107</v>
      </c>
      <c r="H11" s="34">
        <v>6</v>
      </c>
      <c r="I11" s="34">
        <v>6</v>
      </c>
      <c r="J11" s="34">
        <v>46</v>
      </c>
      <c r="K11" s="34">
        <v>52</v>
      </c>
      <c r="L11" s="135">
        <v>4</v>
      </c>
      <c r="M11" s="135">
        <v>6</v>
      </c>
      <c r="N11" s="135">
        <v>7</v>
      </c>
      <c r="O11" s="135">
        <v>9</v>
      </c>
      <c r="P11" s="218">
        <f t="shared" si="0"/>
        <v>136</v>
      </c>
    </row>
    <row r="12" spans="1:16" x14ac:dyDescent="0.35">
      <c r="A12" s="287"/>
      <c r="B12" s="287"/>
      <c r="C12" s="32" t="s">
        <v>1623</v>
      </c>
      <c r="D12" s="32" t="s">
        <v>1773</v>
      </c>
      <c r="E12" s="32" t="s">
        <v>1774</v>
      </c>
      <c r="F12" s="32" t="s">
        <v>1777</v>
      </c>
      <c r="G12" s="33" t="s">
        <v>1108</v>
      </c>
      <c r="H12" s="34">
        <v>8</v>
      </c>
      <c r="I12" s="34">
        <v>7</v>
      </c>
      <c r="J12" s="34">
        <v>61</v>
      </c>
      <c r="K12" s="34">
        <v>60</v>
      </c>
      <c r="L12" s="135">
        <v>8</v>
      </c>
      <c r="M12" s="135">
        <v>11</v>
      </c>
      <c r="N12" s="135">
        <v>8</v>
      </c>
      <c r="O12" s="135">
        <v>12</v>
      </c>
      <c r="P12" s="218">
        <f t="shared" si="0"/>
        <v>175</v>
      </c>
    </row>
    <row r="13" spans="1:16" x14ac:dyDescent="0.35">
      <c r="A13" s="287"/>
      <c r="B13" s="287"/>
      <c r="C13" s="32" t="s">
        <v>1623</v>
      </c>
      <c r="D13" s="32" t="s">
        <v>1773</v>
      </c>
      <c r="E13" s="32" t="s">
        <v>1774</v>
      </c>
      <c r="F13" s="32" t="s">
        <v>1775</v>
      </c>
      <c r="G13" s="33" t="s">
        <v>1109</v>
      </c>
      <c r="H13" s="34">
        <v>8</v>
      </c>
      <c r="I13" s="34">
        <v>4</v>
      </c>
      <c r="J13" s="34">
        <v>44</v>
      </c>
      <c r="K13" s="34">
        <v>58</v>
      </c>
      <c r="L13" s="135">
        <v>4</v>
      </c>
      <c r="M13" s="135">
        <v>5</v>
      </c>
      <c r="N13" s="135">
        <v>7</v>
      </c>
      <c r="O13" s="135">
        <v>6</v>
      </c>
      <c r="P13" s="218">
        <f t="shared" si="0"/>
        <v>136</v>
      </c>
    </row>
    <row r="14" spans="1:16" x14ac:dyDescent="0.35">
      <c r="A14" s="287"/>
      <c r="B14" s="287"/>
      <c r="C14" s="32" t="s">
        <v>1623</v>
      </c>
      <c r="D14" s="32" t="s">
        <v>1773</v>
      </c>
      <c r="E14" s="32" t="s">
        <v>1774</v>
      </c>
      <c r="F14" s="32" t="s">
        <v>1774</v>
      </c>
      <c r="G14" s="33" t="s">
        <v>1110</v>
      </c>
      <c r="H14" s="34">
        <v>6</v>
      </c>
      <c r="I14" s="34">
        <v>8</v>
      </c>
      <c r="J14" s="34">
        <v>41</v>
      </c>
      <c r="K14" s="34">
        <v>61</v>
      </c>
      <c r="L14" s="135">
        <v>9</v>
      </c>
      <c r="M14" s="135">
        <v>7</v>
      </c>
      <c r="N14" s="135">
        <v>3</v>
      </c>
      <c r="O14" s="135">
        <v>6</v>
      </c>
      <c r="P14" s="218">
        <f t="shared" si="0"/>
        <v>141</v>
      </c>
    </row>
    <row r="15" spans="1:16" x14ac:dyDescent="0.35">
      <c r="A15" s="287"/>
      <c r="B15" s="287"/>
      <c r="C15" s="32" t="s">
        <v>1623</v>
      </c>
      <c r="D15" s="32" t="s">
        <v>1773</v>
      </c>
      <c r="E15" s="32" t="s">
        <v>1774</v>
      </c>
      <c r="F15" s="32" t="s">
        <v>1775</v>
      </c>
      <c r="G15" s="33" t="s">
        <v>1111</v>
      </c>
      <c r="H15" s="34">
        <v>4</v>
      </c>
      <c r="I15" s="34">
        <v>6</v>
      </c>
      <c r="J15" s="34">
        <v>32</v>
      </c>
      <c r="K15" s="34">
        <v>48</v>
      </c>
      <c r="L15" s="135">
        <v>10</v>
      </c>
      <c r="M15" s="135">
        <v>12</v>
      </c>
      <c r="N15" s="135">
        <v>2</v>
      </c>
      <c r="O15" s="135">
        <v>7</v>
      </c>
      <c r="P15" s="218">
        <f t="shared" si="0"/>
        <v>121</v>
      </c>
    </row>
    <row r="16" spans="1:16" x14ac:dyDescent="0.35">
      <c r="A16" s="287"/>
      <c r="B16" s="287"/>
      <c r="C16" s="32" t="s">
        <v>1623</v>
      </c>
      <c r="D16" s="32" t="s">
        <v>1773</v>
      </c>
      <c r="E16" s="32" t="s">
        <v>1774</v>
      </c>
      <c r="F16" s="32" t="s">
        <v>1774</v>
      </c>
      <c r="G16" s="33" t="s">
        <v>1112</v>
      </c>
      <c r="H16" s="34">
        <v>4</v>
      </c>
      <c r="I16" s="34">
        <v>12</v>
      </c>
      <c r="J16" s="34">
        <v>46</v>
      </c>
      <c r="K16" s="34">
        <v>52</v>
      </c>
      <c r="L16" s="135">
        <v>2</v>
      </c>
      <c r="M16" s="135">
        <v>3</v>
      </c>
      <c r="N16" s="135">
        <v>6</v>
      </c>
      <c r="O16" s="135">
        <v>10</v>
      </c>
      <c r="P16" s="218">
        <f t="shared" si="0"/>
        <v>135</v>
      </c>
    </row>
    <row r="17" spans="1:16" x14ac:dyDescent="0.35">
      <c r="A17" s="287"/>
      <c r="B17" s="287"/>
      <c r="C17" s="32" t="s">
        <v>1623</v>
      </c>
      <c r="D17" s="32" t="s">
        <v>1773</v>
      </c>
      <c r="E17" s="32" t="s">
        <v>1774</v>
      </c>
      <c r="F17" s="32" t="s">
        <v>1774</v>
      </c>
      <c r="G17" s="33" t="s">
        <v>1113</v>
      </c>
      <c r="H17" s="34">
        <v>4</v>
      </c>
      <c r="I17" s="34">
        <v>11</v>
      </c>
      <c r="J17" s="34">
        <v>37</v>
      </c>
      <c r="K17" s="34">
        <v>49</v>
      </c>
      <c r="L17" s="135">
        <v>8</v>
      </c>
      <c r="M17" s="135">
        <v>3</v>
      </c>
      <c r="N17" s="135">
        <v>2</v>
      </c>
      <c r="O17" s="135">
        <v>4</v>
      </c>
      <c r="P17" s="218">
        <f t="shared" si="0"/>
        <v>118</v>
      </c>
    </row>
    <row r="18" spans="1:16" x14ac:dyDescent="0.35">
      <c r="A18" s="287"/>
      <c r="B18" s="287"/>
      <c r="C18" s="32" t="s">
        <v>1623</v>
      </c>
      <c r="D18" s="32" t="s">
        <v>1773</v>
      </c>
      <c r="E18" s="32" t="s">
        <v>1774</v>
      </c>
      <c r="F18" s="32" t="s">
        <v>1775</v>
      </c>
      <c r="G18" s="33" t="s">
        <v>1114</v>
      </c>
      <c r="H18" s="34">
        <v>8</v>
      </c>
      <c r="I18" s="34">
        <v>7</v>
      </c>
      <c r="J18" s="34">
        <v>46</v>
      </c>
      <c r="K18" s="34">
        <v>32</v>
      </c>
      <c r="L18" s="135">
        <v>11</v>
      </c>
      <c r="M18" s="135">
        <v>3</v>
      </c>
      <c r="N18" s="135">
        <v>4</v>
      </c>
      <c r="O18" s="135">
        <v>10</v>
      </c>
      <c r="P18" s="218">
        <f t="shared" si="0"/>
        <v>121</v>
      </c>
    </row>
    <row r="19" spans="1:16" x14ac:dyDescent="0.35">
      <c r="A19" s="287"/>
      <c r="B19" s="287"/>
      <c r="C19" s="32" t="s">
        <v>1623</v>
      </c>
      <c r="D19" s="32" t="s">
        <v>1773</v>
      </c>
      <c r="E19" s="32" t="s">
        <v>1774</v>
      </c>
      <c r="F19" s="32" t="s">
        <v>1774</v>
      </c>
      <c r="G19" s="33" t="s">
        <v>1115</v>
      </c>
      <c r="H19" s="34">
        <v>5</v>
      </c>
      <c r="I19" s="34">
        <v>2</v>
      </c>
      <c r="J19" s="34">
        <v>50</v>
      </c>
      <c r="K19" s="34">
        <v>38</v>
      </c>
      <c r="L19" s="135">
        <v>5</v>
      </c>
      <c r="M19" s="135">
        <v>6</v>
      </c>
      <c r="N19" s="135">
        <v>3</v>
      </c>
      <c r="O19" s="135">
        <v>2</v>
      </c>
      <c r="P19" s="218">
        <f t="shared" si="0"/>
        <v>111</v>
      </c>
    </row>
    <row r="20" spans="1:16" x14ac:dyDescent="0.35">
      <c r="A20" s="287"/>
      <c r="B20" s="287"/>
      <c r="C20" s="32" t="s">
        <v>1623</v>
      </c>
      <c r="D20" s="32" t="s">
        <v>1773</v>
      </c>
      <c r="E20" s="32" t="s">
        <v>1774</v>
      </c>
      <c r="F20" s="32" t="s">
        <v>1775</v>
      </c>
      <c r="G20" s="33" t="s">
        <v>1116</v>
      </c>
      <c r="H20" s="34">
        <v>5</v>
      </c>
      <c r="I20" s="34">
        <v>6</v>
      </c>
      <c r="J20" s="34">
        <v>36</v>
      </c>
      <c r="K20" s="34">
        <v>40</v>
      </c>
      <c r="L20" s="135">
        <v>9</v>
      </c>
      <c r="M20" s="135">
        <v>11</v>
      </c>
      <c r="N20" s="135">
        <v>8</v>
      </c>
      <c r="O20" s="135">
        <v>12</v>
      </c>
      <c r="P20" s="218">
        <f t="shared" si="0"/>
        <v>127</v>
      </c>
    </row>
    <row r="21" spans="1:16" x14ac:dyDescent="0.35">
      <c r="A21" s="287"/>
      <c r="B21" s="287"/>
      <c r="C21" s="32" t="s">
        <v>1623</v>
      </c>
      <c r="D21" s="32" t="s">
        <v>1773</v>
      </c>
      <c r="E21" s="32" t="s">
        <v>1774</v>
      </c>
      <c r="F21" s="32" t="s">
        <v>1775</v>
      </c>
      <c r="G21" s="33" t="s">
        <v>1117</v>
      </c>
      <c r="H21" s="34">
        <v>9</v>
      </c>
      <c r="I21" s="34">
        <v>7</v>
      </c>
      <c r="J21" s="34">
        <v>29</v>
      </c>
      <c r="K21" s="34">
        <v>28</v>
      </c>
      <c r="L21" s="135">
        <v>3</v>
      </c>
      <c r="M21" s="135">
        <v>4</v>
      </c>
      <c r="N21" s="135">
        <v>8</v>
      </c>
      <c r="O21" s="135">
        <v>3</v>
      </c>
      <c r="P21" s="218">
        <f t="shared" si="0"/>
        <v>91</v>
      </c>
    </row>
    <row r="22" spans="1:16" x14ac:dyDescent="0.35">
      <c r="A22" s="287"/>
      <c r="B22" s="287"/>
      <c r="C22" s="32" t="s">
        <v>1623</v>
      </c>
      <c r="D22" s="32" t="s">
        <v>1773</v>
      </c>
      <c r="E22" s="32" t="s">
        <v>1774</v>
      </c>
      <c r="F22" s="32" t="s">
        <v>1775</v>
      </c>
      <c r="G22" s="33" t="s">
        <v>1118</v>
      </c>
      <c r="H22" s="34">
        <v>8</v>
      </c>
      <c r="I22" s="34">
        <v>9</v>
      </c>
      <c r="J22" s="34">
        <v>46</v>
      </c>
      <c r="K22" s="34">
        <v>42</v>
      </c>
      <c r="L22" s="135">
        <v>6</v>
      </c>
      <c r="M22" s="135">
        <v>5</v>
      </c>
      <c r="N22" s="135">
        <v>7</v>
      </c>
      <c r="O22" s="135">
        <v>3</v>
      </c>
      <c r="P22" s="218">
        <f t="shared" si="0"/>
        <v>126</v>
      </c>
    </row>
    <row r="23" spans="1:16" x14ac:dyDescent="0.35">
      <c r="A23" s="287"/>
      <c r="B23" s="287"/>
      <c r="C23" s="32" t="s">
        <v>1623</v>
      </c>
      <c r="D23" s="32" t="s">
        <v>1773</v>
      </c>
      <c r="E23" s="32" t="s">
        <v>1774</v>
      </c>
      <c r="F23" s="32" t="s">
        <v>1776</v>
      </c>
      <c r="G23" s="33" t="s">
        <v>1119</v>
      </c>
      <c r="H23" s="34">
        <v>13</v>
      </c>
      <c r="I23" s="34">
        <v>15</v>
      </c>
      <c r="J23" s="34">
        <v>46</v>
      </c>
      <c r="K23" s="34">
        <v>50</v>
      </c>
      <c r="L23" s="135">
        <v>11</v>
      </c>
      <c r="M23" s="135">
        <v>16</v>
      </c>
      <c r="N23" s="135">
        <v>17</v>
      </c>
      <c r="O23" s="135">
        <v>22</v>
      </c>
      <c r="P23" s="218">
        <f t="shared" si="0"/>
        <v>190</v>
      </c>
    </row>
    <row r="24" spans="1:16" x14ac:dyDescent="0.35">
      <c r="A24" s="287"/>
      <c r="B24" s="287"/>
      <c r="C24" s="32" t="s">
        <v>1623</v>
      </c>
      <c r="D24" s="32" t="s">
        <v>1773</v>
      </c>
      <c r="E24" s="32" t="s">
        <v>1774</v>
      </c>
      <c r="F24" s="32" t="s">
        <v>1776</v>
      </c>
      <c r="G24" s="33" t="s">
        <v>1120</v>
      </c>
      <c r="H24" s="34">
        <v>4</v>
      </c>
      <c r="I24" s="34">
        <v>6</v>
      </c>
      <c r="J24" s="34">
        <v>42</v>
      </c>
      <c r="K24" s="34">
        <v>61</v>
      </c>
      <c r="L24" s="135">
        <v>12</v>
      </c>
      <c r="M24" s="135">
        <v>7</v>
      </c>
      <c r="N24" s="135">
        <v>8</v>
      </c>
      <c r="O24" s="135">
        <v>5</v>
      </c>
      <c r="P24" s="218">
        <f t="shared" si="0"/>
        <v>145</v>
      </c>
    </row>
    <row r="25" spans="1:16" x14ac:dyDescent="0.35">
      <c r="A25" s="52"/>
      <c r="B25" s="52"/>
      <c r="C25" s="52"/>
      <c r="D25" s="52"/>
      <c r="E25" s="52"/>
      <c r="F25" s="52"/>
      <c r="G25" s="52" t="s">
        <v>2</v>
      </c>
      <c r="H25" s="195">
        <f t="shared" ref="H25:K25" si="1">SUM(H5:H24)</f>
        <v>126</v>
      </c>
      <c r="I25" s="195">
        <f t="shared" si="1"/>
        <v>143</v>
      </c>
      <c r="J25" s="196">
        <f t="shared" si="1"/>
        <v>890</v>
      </c>
      <c r="K25" s="196">
        <f t="shared" si="1"/>
        <v>1031</v>
      </c>
      <c r="L25" s="104">
        <f>SUM(L5:L24)</f>
        <v>147</v>
      </c>
      <c r="M25" s="104">
        <f>SUM(M5:M24)</f>
        <v>139</v>
      </c>
      <c r="N25" s="147">
        <f>SUM(N5:N24)</f>
        <v>136</v>
      </c>
      <c r="O25" s="147">
        <f>SUM(O5:O24)</f>
        <v>156</v>
      </c>
      <c r="P25" s="217">
        <f t="shared" si="0"/>
        <v>2768</v>
      </c>
    </row>
    <row r="26" spans="1:16" x14ac:dyDescent="0.35">
      <c r="A26" s="287">
        <v>2</v>
      </c>
      <c r="B26" s="287" t="s">
        <v>1895</v>
      </c>
      <c r="C26" s="32" t="s">
        <v>1623</v>
      </c>
      <c r="D26" s="32" t="s">
        <v>1773</v>
      </c>
      <c r="E26" s="32" t="s">
        <v>1779</v>
      </c>
      <c r="F26" s="32" t="s">
        <v>1780</v>
      </c>
      <c r="G26" s="36" t="s">
        <v>1121</v>
      </c>
      <c r="H26" s="34">
        <v>2</v>
      </c>
      <c r="I26" s="34">
        <v>3</v>
      </c>
      <c r="J26" s="34">
        <v>45</v>
      </c>
      <c r="K26" s="34">
        <v>53</v>
      </c>
      <c r="L26" s="135">
        <v>13</v>
      </c>
      <c r="M26" s="135">
        <v>17</v>
      </c>
      <c r="N26" s="135">
        <v>28</v>
      </c>
      <c r="O26" s="135">
        <v>30</v>
      </c>
      <c r="P26" s="218">
        <f t="shared" si="0"/>
        <v>191</v>
      </c>
    </row>
    <row r="27" spans="1:16" x14ac:dyDescent="0.35">
      <c r="A27" s="287"/>
      <c r="B27" s="287"/>
      <c r="C27" s="32" t="s">
        <v>1623</v>
      </c>
      <c r="D27" s="32" t="s">
        <v>1773</v>
      </c>
      <c r="E27" s="32" t="s">
        <v>1779</v>
      </c>
      <c r="F27" s="42" t="s">
        <v>1780</v>
      </c>
      <c r="G27" s="70" t="s">
        <v>1122</v>
      </c>
      <c r="H27" s="71">
        <v>1</v>
      </c>
      <c r="I27" s="71">
        <v>2</v>
      </c>
      <c r="J27" s="71">
        <v>14</v>
      </c>
      <c r="K27" s="71">
        <v>19</v>
      </c>
      <c r="L27" s="135">
        <v>4</v>
      </c>
      <c r="M27" s="135">
        <v>6</v>
      </c>
      <c r="N27" s="135">
        <v>25</v>
      </c>
      <c r="O27" s="135">
        <v>29</v>
      </c>
      <c r="P27" s="218">
        <f t="shared" si="0"/>
        <v>100</v>
      </c>
    </row>
    <row r="28" spans="1:16" x14ac:dyDescent="0.35">
      <c r="A28" s="287"/>
      <c r="B28" s="287"/>
      <c r="C28" s="32" t="s">
        <v>1623</v>
      </c>
      <c r="D28" s="32" t="s">
        <v>1773</v>
      </c>
      <c r="E28" s="32" t="s">
        <v>1779</v>
      </c>
      <c r="F28" s="32" t="s">
        <v>1778</v>
      </c>
      <c r="G28" s="36" t="s">
        <v>1123</v>
      </c>
      <c r="H28" s="34">
        <v>5</v>
      </c>
      <c r="I28" s="34">
        <v>12</v>
      </c>
      <c r="J28" s="34">
        <v>32</v>
      </c>
      <c r="K28" s="34">
        <v>38</v>
      </c>
      <c r="L28" s="135">
        <v>10</v>
      </c>
      <c r="M28" s="135">
        <v>12</v>
      </c>
      <c r="N28" s="135">
        <v>4</v>
      </c>
      <c r="O28" s="135">
        <v>6</v>
      </c>
      <c r="P28" s="218">
        <f t="shared" si="0"/>
        <v>119</v>
      </c>
    </row>
    <row r="29" spans="1:16" x14ac:dyDescent="0.35">
      <c r="A29" s="287"/>
      <c r="B29" s="287"/>
      <c r="C29" s="32" t="s">
        <v>1623</v>
      </c>
      <c r="D29" s="32" t="s">
        <v>1773</v>
      </c>
      <c r="E29" s="32" t="s">
        <v>1779</v>
      </c>
      <c r="F29" s="32" t="s">
        <v>1778</v>
      </c>
      <c r="G29" s="36" t="s">
        <v>1124</v>
      </c>
      <c r="H29" s="34">
        <v>3</v>
      </c>
      <c r="I29" s="34">
        <v>4</v>
      </c>
      <c r="J29" s="34">
        <v>38</v>
      </c>
      <c r="K29" s="34">
        <v>33</v>
      </c>
      <c r="L29" s="135">
        <v>7</v>
      </c>
      <c r="M29" s="135">
        <v>5</v>
      </c>
      <c r="N29" s="135">
        <v>11</v>
      </c>
      <c r="O29" s="135">
        <v>9</v>
      </c>
      <c r="P29" s="218">
        <f t="shared" si="0"/>
        <v>110</v>
      </c>
    </row>
    <row r="30" spans="1:16" x14ac:dyDescent="0.35">
      <c r="A30" s="287"/>
      <c r="B30" s="287"/>
      <c r="C30" s="32" t="s">
        <v>1623</v>
      </c>
      <c r="D30" s="32" t="s">
        <v>1773</v>
      </c>
      <c r="E30" s="32" t="s">
        <v>1779</v>
      </c>
      <c r="F30" s="32" t="s">
        <v>1781</v>
      </c>
      <c r="G30" s="36" t="s">
        <v>1125</v>
      </c>
      <c r="H30" s="34">
        <v>1</v>
      </c>
      <c r="I30" s="34">
        <v>1</v>
      </c>
      <c r="J30" s="34">
        <v>15</v>
      </c>
      <c r="K30" s="34">
        <v>15</v>
      </c>
      <c r="L30" s="135">
        <v>2</v>
      </c>
      <c r="M30" s="135">
        <v>2</v>
      </c>
      <c r="N30" s="135">
        <v>9</v>
      </c>
      <c r="O30" s="135">
        <v>10</v>
      </c>
      <c r="P30" s="218">
        <f t="shared" si="0"/>
        <v>55</v>
      </c>
    </row>
    <row r="31" spans="1:16" x14ac:dyDescent="0.35">
      <c r="A31" s="287"/>
      <c r="B31" s="287"/>
      <c r="C31" s="32" t="s">
        <v>1623</v>
      </c>
      <c r="D31" s="32" t="s">
        <v>1773</v>
      </c>
      <c r="E31" s="32" t="s">
        <v>1779</v>
      </c>
      <c r="F31" s="32" t="s">
        <v>1778</v>
      </c>
      <c r="G31" s="36" t="s">
        <v>1126</v>
      </c>
      <c r="H31" s="34">
        <v>12</v>
      </c>
      <c r="I31" s="34">
        <v>14</v>
      </c>
      <c r="J31" s="34">
        <v>17</v>
      </c>
      <c r="K31" s="34">
        <v>20</v>
      </c>
      <c r="L31" s="135">
        <v>4</v>
      </c>
      <c r="M31" s="135">
        <v>8</v>
      </c>
      <c r="N31" s="135">
        <v>8</v>
      </c>
      <c r="O31" s="135">
        <v>6</v>
      </c>
      <c r="P31" s="218">
        <f t="shared" si="0"/>
        <v>89</v>
      </c>
    </row>
    <row r="32" spans="1:16" x14ac:dyDescent="0.35">
      <c r="A32" s="287"/>
      <c r="B32" s="287"/>
      <c r="C32" s="32" t="s">
        <v>1623</v>
      </c>
      <c r="D32" s="32" t="s">
        <v>1773</v>
      </c>
      <c r="E32" s="32" t="s">
        <v>1782</v>
      </c>
      <c r="F32" s="32" t="s">
        <v>1783</v>
      </c>
      <c r="G32" s="36" t="s">
        <v>1127</v>
      </c>
      <c r="H32" s="34">
        <v>6</v>
      </c>
      <c r="I32" s="34">
        <v>2</v>
      </c>
      <c r="J32" s="34">
        <v>37</v>
      </c>
      <c r="K32" s="34">
        <v>39</v>
      </c>
      <c r="L32" s="135">
        <v>3</v>
      </c>
      <c r="M32" s="135">
        <v>6</v>
      </c>
      <c r="N32" s="135">
        <v>17</v>
      </c>
      <c r="O32" s="135">
        <v>22</v>
      </c>
      <c r="P32" s="218">
        <f t="shared" si="0"/>
        <v>132</v>
      </c>
    </row>
    <row r="33" spans="1:16" x14ac:dyDescent="0.35">
      <c r="A33" s="287"/>
      <c r="B33" s="287"/>
      <c r="C33" s="32" t="s">
        <v>1623</v>
      </c>
      <c r="D33" s="32" t="s">
        <v>1773</v>
      </c>
      <c r="E33" s="32" t="s">
        <v>1779</v>
      </c>
      <c r="F33" s="32" t="s">
        <v>1778</v>
      </c>
      <c r="G33" s="36" t="s">
        <v>1128</v>
      </c>
      <c r="H33" s="34">
        <v>5</v>
      </c>
      <c r="I33" s="34">
        <v>2</v>
      </c>
      <c r="J33" s="34">
        <v>23</v>
      </c>
      <c r="K33" s="34">
        <v>31</v>
      </c>
      <c r="L33" s="135">
        <v>5</v>
      </c>
      <c r="M33" s="135">
        <v>7</v>
      </c>
      <c r="N33" s="135">
        <v>8</v>
      </c>
      <c r="O33" s="135">
        <v>12</v>
      </c>
      <c r="P33" s="218">
        <f t="shared" si="0"/>
        <v>93</v>
      </c>
    </row>
    <row r="34" spans="1:16" x14ac:dyDescent="0.35">
      <c r="A34" s="287"/>
      <c r="B34" s="287"/>
      <c r="C34" s="32" t="s">
        <v>1623</v>
      </c>
      <c r="D34" s="32" t="s">
        <v>1773</v>
      </c>
      <c r="E34" s="32" t="s">
        <v>1794</v>
      </c>
      <c r="F34" s="32" t="s">
        <v>1798</v>
      </c>
      <c r="G34" s="36" t="s">
        <v>1129</v>
      </c>
      <c r="H34" s="34">
        <v>10</v>
      </c>
      <c r="I34" s="34">
        <v>5</v>
      </c>
      <c r="J34" s="34">
        <v>55</v>
      </c>
      <c r="K34" s="34">
        <v>134</v>
      </c>
      <c r="L34" s="135">
        <v>50</v>
      </c>
      <c r="M34" s="135">
        <v>15</v>
      </c>
      <c r="N34" s="135">
        <v>27</v>
      </c>
      <c r="O34" s="135">
        <v>20</v>
      </c>
      <c r="P34" s="218">
        <f t="shared" si="0"/>
        <v>316</v>
      </c>
    </row>
    <row r="35" spans="1:16" x14ac:dyDescent="0.35">
      <c r="A35" s="287"/>
      <c r="B35" s="287"/>
      <c r="C35" s="32" t="s">
        <v>1623</v>
      </c>
      <c r="D35" s="32" t="s">
        <v>1773</v>
      </c>
      <c r="E35" s="32" t="s">
        <v>1794</v>
      </c>
      <c r="F35" s="32" t="s">
        <v>1798</v>
      </c>
      <c r="G35" s="36" t="s">
        <v>1130</v>
      </c>
      <c r="H35" s="34">
        <v>18</v>
      </c>
      <c r="I35" s="34">
        <v>20</v>
      </c>
      <c r="J35" s="34">
        <v>90</v>
      </c>
      <c r="K35" s="34">
        <v>143</v>
      </c>
      <c r="L35" s="135">
        <v>7</v>
      </c>
      <c r="M35" s="135">
        <v>13</v>
      </c>
      <c r="N35" s="135">
        <v>28</v>
      </c>
      <c r="O35" s="135">
        <v>47</v>
      </c>
      <c r="P35" s="218">
        <f t="shared" si="0"/>
        <v>366</v>
      </c>
    </row>
    <row r="36" spans="1:16" x14ac:dyDescent="0.35">
      <c r="A36" s="287"/>
      <c r="B36" s="287"/>
      <c r="C36" s="32" t="s">
        <v>1623</v>
      </c>
      <c r="D36" s="32" t="s">
        <v>1773</v>
      </c>
      <c r="E36" s="32" t="s">
        <v>1779</v>
      </c>
      <c r="F36" s="32" t="s">
        <v>1781</v>
      </c>
      <c r="G36" s="36" t="s">
        <v>1131</v>
      </c>
      <c r="H36" s="34">
        <v>1</v>
      </c>
      <c r="I36" s="34">
        <v>2</v>
      </c>
      <c r="J36" s="34">
        <v>40</v>
      </c>
      <c r="K36" s="34">
        <v>45</v>
      </c>
      <c r="L36" s="135">
        <v>6</v>
      </c>
      <c r="M36" s="135">
        <v>7</v>
      </c>
      <c r="N36" s="135">
        <v>14</v>
      </c>
      <c r="O36" s="135">
        <v>18</v>
      </c>
      <c r="P36" s="218">
        <f t="shared" si="0"/>
        <v>133</v>
      </c>
    </row>
    <row r="37" spans="1:16" x14ac:dyDescent="0.35">
      <c r="A37" s="287"/>
      <c r="B37" s="287"/>
      <c r="C37" s="32" t="s">
        <v>1623</v>
      </c>
      <c r="D37" s="32" t="s">
        <v>1773</v>
      </c>
      <c r="E37" s="32" t="s">
        <v>1779</v>
      </c>
      <c r="F37" s="32" t="s">
        <v>1781</v>
      </c>
      <c r="G37" s="36" t="s">
        <v>1132</v>
      </c>
      <c r="H37" s="34">
        <v>3</v>
      </c>
      <c r="I37" s="34">
        <v>5</v>
      </c>
      <c r="J37" s="34">
        <v>30</v>
      </c>
      <c r="K37" s="34">
        <v>28</v>
      </c>
      <c r="L37" s="135">
        <v>2</v>
      </c>
      <c r="M37" s="135">
        <v>2</v>
      </c>
      <c r="N37" s="135">
        <v>10</v>
      </c>
      <c r="O37" s="135">
        <v>5</v>
      </c>
      <c r="P37" s="218">
        <f t="shared" si="0"/>
        <v>85</v>
      </c>
    </row>
    <row r="38" spans="1:16" x14ac:dyDescent="0.35">
      <c r="A38" s="287"/>
      <c r="B38" s="287"/>
      <c r="C38" s="32" t="s">
        <v>1623</v>
      </c>
      <c r="D38" s="32" t="s">
        <v>1773</v>
      </c>
      <c r="E38" s="32" t="s">
        <v>1779</v>
      </c>
      <c r="F38" s="32" t="s">
        <v>1780</v>
      </c>
      <c r="G38" s="36" t="s">
        <v>1133</v>
      </c>
      <c r="H38" s="34">
        <v>5</v>
      </c>
      <c r="I38" s="34">
        <v>6</v>
      </c>
      <c r="J38" s="34">
        <v>28</v>
      </c>
      <c r="K38" s="34">
        <v>42</v>
      </c>
      <c r="L38" s="135">
        <v>1</v>
      </c>
      <c r="M38" s="135">
        <v>2</v>
      </c>
      <c r="N38" s="135">
        <v>13</v>
      </c>
      <c r="O38" s="135">
        <v>19</v>
      </c>
      <c r="P38" s="218">
        <f t="shared" si="0"/>
        <v>116</v>
      </c>
    </row>
    <row r="39" spans="1:16" x14ac:dyDescent="0.35">
      <c r="A39" s="287"/>
      <c r="B39" s="287"/>
      <c r="C39" s="32" t="s">
        <v>1623</v>
      </c>
      <c r="D39" s="32" t="s">
        <v>1773</v>
      </c>
      <c r="E39" s="32" t="s">
        <v>1779</v>
      </c>
      <c r="F39" s="32" t="s">
        <v>1781</v>
      </c>
      <c r="G39" s="36" t="s">
        <v>1134</v>
      </c>
      <c r="H39" s="34">
        <v>7</v>
      </c>
      <c r="I39" s="34">
        <v>9</v>
      </c>
      <c r="J39" s="34">
        <v>35</v>
      </c>
      <c r="K39" s="34">
        <v>53</v>
      </c>
      <c r="L39" s="135">
        <v>13</v>
      </c>
      <c r="M39" s="135">
        <v>14</v>
      </c>
      <c r="N39" s="135">
        <v>24</v>
      </c>
      <c r="O39" s="135">
        <v>30</v>
      </c>
      <c r="P39" s="218">
        <f t="shared" si="0"/>
        <v>185</v>
      </c>
    </row>
    <row r="40" spans="1:16" x14ac:dyDescent="0.35">
      <c r="A40" s="287"/>
      <c r="B40" s="287"/>
      <c r="C40" s="32" t="s">
        <v>1623</v>
      </c>
      <c r="D40" s="32" t="s">
        <v>1773</v>
      </c>
      <c r="E40" s="32" t="s">
        <v>1794</v>
      </c>
      <c r="F40" s="32" t="s">
        <v>1798</v>
      </c>
      <c r="G40" s="36" t="s">
        <v>1135</v>
      </c>
      <c r="H40" s="21">
        <v>8</v>
      </c>
      <c r="I40" s="21">
        <v>10</v>
      </c>
      <c r="J40" s="34">
        <v>64</v>
      </c>
      <c r="K40" s="34">
        <v>62</v>
      </c>
      <c r="L40" s="135">
        <v>9</v>
      </c>
      <c r="M40" s="135">
        <v>10</v>
      </c>
      <c r="N40" s="135">
        <v>16</v>
      </c>
      <c r="O40" s="135">
        <v>19</v>
      </c>
      <c r="P40" s="218">
        <f t="shared" si="0"/>
        <v>198</v>
      </c>
    </row>
    <row r="41" spans="1:16" x14ac:dyDescent="0.35">
      <c r="A41" s="287"/>
      <c r="B41" s="287"/>
      <c r="C41" s="32" t="s">
        <v>1623</v>
      </c>
      <c r="D41" s="32" t="s">
        <v>1773</v>
      </c>
      <c r="E41" s="32" t="s">
        <v>1779</v>
      </c>
      <c r="F41" s="32" t="s">
        <v>1780</v>
      </c>
      <c r="G41" s="36" t="s">
        <v>1136</v>
      </c>
      <c r="H41" s="34">
        <v>4</v>
      </c>
      <c r="I41" s="34">
        <v>6</v>
      </c>
      <c r="J41" s="34">
        <v>14</v>
      </c>
      <c r="K41" s="34">
        <v>21</v>
      </c>
      <c r="L41" s="135">
        <v>4</v>
      </c>
      <c r="M41" s="135">
        <v>6</v>
      </c>
      <c r="N41" s="135">
        <v>3</v>
      </c>
      <c r="O41" s="135">
        <v>7</v>
      </c>
      <c r="P41" s="218">
        <f t="shared" si="0"/>
        <v>65</v>
      </c>
    </row>
    <row r="42" spans="1:16" x14ac:dyDescent="0.35">
      <c r="A42" s="287"/>
      <c r="B42" s="287"/>
      <c r="C42" s="32" t="s">
        <v>1623</v>
      </c>
      <c r="D42" s="32" t="s">
        <v>1773</v>
      </c>
      <c r="E42" s="32" t="s">
        <v>1779</v>
      </c>
      <c r="F42" s="32" t="s">
        <v>1781</v>
      </c>
      <c r="G42" s="36" t="s">
        <v>1137</v>
      </c>
      <c r="H42" s="34">
        <v>5</v>
      </c>
      <c r="I42" s="34">
        <v>8</v>
      </c>
      <c r="J42" s="34">
        <v>32</v>
      </c>
      <c r="K42" s="34">
        <v>47</v>
      </c>
      <c r="L42" s="135">
        <v>0</v>
      </c>
      <c r="M42" s="135">
        <v>0</v>
      </c>
      <c r="N42" s="135">
        <v>10</v>
      </c>
      <c r="O42" s="135">
        <v>18</v>
      </c>
      <c r="P42" s="218">
        <f t="shared" si="0"/>
        <v>120</v>
      </c>
    </row>
    <row r="43" spans="1:16" x14ac:dyDescent="0.35">
      <c r="A43" s="287"/>
      <c r="B43" s="287"/>
      <c r="C43" s="32" t="s">
        <v>1623</v>
      </c>
      <c r="D43" s="32" t="s">
        <v>1773</v>
      </c>
      <c r="E43" s="32" t="s">
        <v>1779</v>
      </c>
      <c r="F43" s="42" t="s">
        <v>1781</v>
      </c>
      <c r="G43" s="70" t="s">
        <v>1138</v>
      </c>
      <c r="H43" s="71">
        <v>10</v>
      </c>
      <c r="I43" s="71">
        <v>7</v>
      </c>
      <c r="J43" s="71">
        <v>43</v>
      </c>
      <c r="K43" s="71">
        <v>80</v>
      </c>
      <c r="L43" s="135">
        <v>10</v>
      </c>
      <c r="M43" s="135">
        <v>20</v>
      </c>
      <c r="N43" s="135">
        <v>13</v>
      </c>
      <c r="O43" s="135">
        <v>30</v>
      </c>
      <c r="P43" s="218">
        <f t="shared" si="0"/>
        <v>213</v>
      </c>
    </row>
    <row r="44" spans="1:16" x14ac:dyDescent="0.35">
      <c r="A44" s="287"/>
      <c r="B44" s="287"/>
      <c r="C44" s="32" t="s">
        <v>1623</v>
      </c>
      <c r="D44" s="32" t="s">
        <v>1773</v>
      </c>
      <c r="E44" s="32" t="s">
        <v>1779</v>
      </c>
      <c r="F44" s="32" t="s">
        <v>1780</v>
      </c>
      <c r="G44" s="36" t="s">
        <v>1139</v>
      </c>
      <c r="H44" s="34">
        <v>4</v>
      </c>
      <c r="I44" s="34">
        <v>6</v>
      </c>
      <c r="J44" s="34">
        <v>18</v>
      </c>
      <c r="K44" s="34">
        <v>23</v>
      </c>
      <c r="L44" s="135">
        <v>4</v>
      </c>
      <c r="M44" s="135">
        <v>6</v>
      </c>
      <c r="N44" s="135">
        <v>11</v>
      </c>
      <c r="O44" s="135">
        <v>12</v>
      </c>
      <c r="P44" s="218">
        <f t="shared" si="0"/>
        <v>84</v>
      </c>
    </row>
    <row r="45" spans="1:16" x14ac:dyDescent="0.35">
      <c r="A45" s="287"/>
      <c r="B45" s="287"/>
      <c r="C45" s="32" t="s">
        <v>1623</v>
      </c>
      <c r="D45" s="32" t="s">
        <v>1773</v>
      </c>
      <c r="E45" s="32" t="s">
        <v>1779</v>
      </c>
      <c r="F45" s="32" t="s">
        <v>1780</v>
      </c>
      <c r="G45" s="36" t="s">
        <v>1140</v>
      </c>
      <c r="H45" s="34">
        <v>5</v>
      </c>
      <c r="I45" s="34">
        <v>7</v>
      </c>
      <c r="J45" s="34">
        <v>36</v>
      </c>
      <c r="K45" s="34">
        <v>40</v>
      </c>
      <c r="L45" s="135">
        <v>6</v>
      </c>
      <c r="M45" s="135">
        <v>8</v>
      </c>
      <c r="N45" s="135">
        <v>17</v>
      </c>
      <c r="O45" s="135">
        <v>18</v>
      </c>
      <c r="P45" s="218">
        <f t="shared" si="0"/>
        <v>137</v>
      </c>
    </row>
    <row r="46" spans="1:16" x14ac:dyDescent="0.35">
      <c r="A46" s="287"/>
      <c r="B46" s="287"/>
      <c r="C46" s="32" t="s">
        <v>1623</v>
      </c>
      <c r="D46" s="32" t="s">
        <v>1773</v>
      </c>
      <c r="E46" s="32" t="s">
        <v>1779</v>
      </c>
      <c r="F46" s="32" t="s">
        <v>1781</v>
      </c>
      <c r="G46" s="36" t="s">
        <v>1141</v>
      </c>
      <c r="H46" s="34">
        <v>2</v>
      </c>
      <c r="I46" s="34">
        <v>4</v>
      </c>
      <c r="J46" s="34">
        <v>32</v>
      </c>
      <c r="K46" s="34">
        <v>37</v>
      </c>
      <c r="L46" s="135">
        <v>10</v>
      </c>
      <c r="M46" s="135">
        <v>8</v>
      </c>
      <c r="N46" s="135">
        <v>9</v>
      </c>
      <c r="O46" s="135">
        <v>8</v>
      </c>
      <c r="P46" s="218">
        <f t="shared" si="0"/>
        <v>110</v>
      </c>
    </row>
    <row r="47" spans="1:16" x14ac:dyDescent="0.35">
      <c r="A47" s="287"/>
      <c r="B47" s="287"/>
      <c r="C47" s="32" t="s">
        <v>1623</v>
      </c>
      <c r="D47" s="32" t="s">
        <v>1773</v>
      </c>
      <c r="E47" s="32" t="s">
        <v>1779</v>
      </c>
      <c r="F47" s="43" t="s">
        <v>1780</v>
      </c>
      <c r="G47" s="36" t="s">
        <v>1142</v>
      </c>
      <c r="H47" s="34">
        <v>0</v>
      </c>
      <c r="I47" s="34">
        <v>1</v>
      </c>
      <c r="J47" s="34">
        <v>6</v>
      </c>
      <c r="K47" s="34">
        <v>12</v>
      </c>
      <c r="L47" s="135">
        <v>0</v>
      </c>
      <c r="M47" s="135">
        <v>1</v>
      </c>
      <c r="N47" s="135">
        <v>6</v>
      </c>
      <c r="O47" s="135">
        <v>4</v>
      </c>
      <c r="P47" s="218">
        <f t="shared" si="0"/>
        <v>30</v>
      </c>
    </row>
    <row r="48" spans="1:16" x14ac:dyDescent="0.35">
      <c r="A48" s="287"/>
      <c r="B48" s="287"/>
      <c r="C48" s="32" t="s">
        <v>1623</v>
      </c>
      <c r="D48" s="32" t="s">
        <v>1773</v>
      </c>
      <c r="E48" s="32" t="s">
        <v>1782</v>
      </c>
      <c r="F48" s="32" t="s">
        <v>1783</v>
      </c>
      <c r="G48" s="36" t="s">
        <v>1143</v>
      </c>
      <c r="H48" s="34">
        <v>4</v>
      </c>
      <c r="I48" s="34">
        <v>3</v>
      </c>
      <c r="J48" s="34">
        <v>14</v>
      </c>
      <c r="K48" s="34">
        <v>15</v>
      </c>
      <c r="L48" s="135">
        <v>3</v>
      </c>
      <c r="M48" s="135">
        <v>5</v>
      </c>
      <c r="N48" s="135">
        <v>10</v>
      </c>
      <c r="O48" s="135">
        <v>11</v>
      </c>
      <c r="P48" s="218">
        <f t="shared" si="0"/>
        <v>65</v>
      </c>
    </row>
    <row r="49" spans="1:16" x14ac:dyDescent="0.35">
      <c r="A49" s="287"/>
      <c r="B49" s="287"/>
      <c r="C49" s="32" t="s">
        <v>1623</v>
      </c>
      <c r="D49" s="32" t="s">
        <v>1773</v>
      </c>
      <c r="E49" s="32" t="s">
        <v>1782</v>
      </c>
      <c r="F49" s="32" t="s">
        <v>1783</v>
      </c>
      <c r="G49" s="36" t="s">
        <v>1144</v>
      </c>
      <c r="H49" s="34">
        <v>2</v>
      </c>
      <c r="I49" s="34">
        <v>3</v>
      </c>
      <c r="J49" s="34">
        <v>22</v>
      </c>
      <c r="K49" s="34">
        <v>37</v>
      </c>
      <c r="L49" s="135">
        <v>6</v>
      </c>
      <c r="M49" s="135">
        <v>8</v>
      </c>
      <c r="N49" s="135">
        <v>12</v>
      </c>
      <c r="O49" s="135">
        <v>13</v>
      </c>
      <c r="P49" s="218">
        <f t="shared" si="0"/>
        <v>103</v>
      </c>
    </row>
    <row r="50" spans="1:16" x14ac:dyDescent="0.35">
      <c r="A50" s="287"/>
      <c r="B50" s="287"/>
      <c r="C50" s="32" t="s">
        <v>1623</v>
      </c>
      <c r="D50" s="32" t="s">
        <v>1773</v>
      </c>
      <c r="E50" s="32" t="s">
        <v>1779</v>
      </c>
      <c r="F50" s="32" t="s">
        <v>1781</v>
      </c>
      <c r="G50" s="36" t="s">
        <v>1145</v>
      </c>
      <c r="H50" s="34">
        <v>1</v>
      </c>
      <c r="I50" s="34">
        <v>1</v>
      </c>
      <c r="J50" s="34">
        <v>24</v>
      </c>
      <c r="K50" s="34">
        <v>28</v>
      </c>
      <c r="L50" s="135">
        <v>8</v>
      </c>
      <c r="M50" s="135">
        <v>5</v>
      </c>
      <c r="N50" s="135">
        <v>7</v>
      </c>
      <c r="O50" s="135">
        <v>9</v>
      </c>
      <c r="P50" s="218">
        <f t="shared" si="0"/>
        <v>83</v>
      </c>
    </row>
    <row r="51" spans="1:16" x14ac:dyDescent="0.35">
      <c r="A51" s="287"/>
      <c r="B51" s="287"/>
      <c r="C51" s="32" t="s">
        <v>1623</v>
      </c>
      <c r="D51" s="32" t="s">
        <v>1773</v>
      </c>
      <c r="E51" s="32" t="s">
        <v>1779</v>
      </c>
      <c r="F51" s="32" t="s">
        <v>1780</v>
      </c>
      <c r="G51" s="36" t="s">
        <v>1146</v>
      </c>
      <c r="H51" s="34">
        <v>2</v>
      </c>
      <c r="I51" s="34">
        <v>2</v>
      </c>
      <c r="J51" s="34">
        <v>17</v>
      </c>
      <c r="K51" s="34">
        <v>23</v>
      </c>
      <c r="L51" s="135">
        <v>3</v>
      </c>
      <c r="M51" s="135">
        <v>5</v>
      </c>
      <c r="N51" s="135">
        <v>28</v>
      </c>
      <c r="O51" s="135">
        <v>24</v>
      </c>
      <c r="P51" s="218">
        <f t="shared" si="0"/>
        <v>104</v>
      </c>
    </row>
    <row r="52" spans="1:16" x14ac:dyDescent="0.35">
      <c r="A52" s="287"/>
      <c r="B52" s="287"/>
      <c r="C52" s="32" t="s">
        <v>1623</v>
      </c>
      <c r="D52" s="32" t="s">
        <v>1773</v>
      </c>
      <c r="E52" s="32" t="s">
        <v>1779</v>
      </c>
      <c r="F52" s="43" t="s">
        <v>1780</v>
      </c>
      <c r="G52" s="36" t="s">
        <v>1147</v>
      </c>
      <c r="H52" s="34">
        <v>0</v>
      </c>
      <c r="I52" s="34">
        <v>0</v>
      </c>
      <c r="J52" s="34">
        <v>12</v>
      </c>
      <c r="K52" s="34">
        <v>18</v>
      </c>
      <c r="L52" s="135">
        <v>4</v>
      </c>
      <c r="M52" s="135">
        <v>5</v>
      </c>
      <c r="N52" s="135">
        <v>3</v>
      </c>
      <c r="O52" s="135">
        <v>9</v>
      </c>
      <c r="P52" s="218">
        <f t="shared" si="0"/>
        <v>51</v>
      </c>
    </row>
    <row r="53" spans="1:16" x14ac:dyDescent="0.35">
      <c r="A53" s="287"/>
      <c r="B53" s="287"/>
      <c r="C53" s="32" t="s">
        <v>1623</v>
      </c>
      <c r="D53" s="32" t="s">
        <v>1773</v>
      </c>
      <c r="E53" s="32" t="s">
        <v>1779</v>
      </c>
      <c r="F53" s="43" t="s">
        <v>1780</v>
      </c>
      <c r="G53" s="36" t="s">
        <v>1148</v>
      </c>
      <c r="H53" s="34">
        <v>3</v>
      </c>
      <c r="I53" s="34">
        <v>5</v>
      </c>
      <c r="J53" s="34">
        <v>31</v>
      </c>
      <c r="K53" s="34">
        <v>41</v>
      </c>
      <c r="L53" s="135">
        <v>4</v>
      </c>
      <c r="M53" s="135">
        <v>5</v>
      </c>
      <c r="N53" s="135">
        <v>10</v>
      </c>
      <c r="O53" s="135">
        <v>12</v>
      </c>
      <c r="P53" s="218">
        <f t="shared" si="0"/>
        <v>111</v>
      </c>
    </row>
    <row r="54" spans="1:16" x14ac:dyDescent="0.35">
      <c r="A54" s="52"/>
      <c r="B54" s="52"/>
      <c r="C54" s="52"/>
      <c r="D54" s="52"/>
      <c r="E54" s="52"/>
      <c r="F54" s="52"/>
      <c r="G54" s="52" t="s">
        <v>2</v>
      </c>
      <c r="H54" s="195">
        <f t="shared" ref="H54:K54" si="2">SUM(H26:H53)</f>
        <v>129</v>
      </c>
      <c r="I54" s="195">
        <f t="shared" si="2"/>
        <v>150</v>
      </c>
      <c r="J54" s="196">
        <f t="shared" si="2"/>
        <v>864</v>
      </c>
      <c r="K54" s="196">
        <f t="shared" si="2"/>
        <v>1177</v>
      </c>
      <c r="L54" s="104">
        <f>SUM(L26:L53)</f>
        <v>198</v>
      </c>
      <c r="M54" s="104">
        <f>SUM(M26:M53)</f>
        <v>208</v>
      </c>
      <c r="N54" s="147">
        <f>SUM(N26:N53)</f>
        <v>381</v>
      </c>
      <c r="O54" s="147">
        <f>SUM(O26:O53)</f>
        <v>457</v>
      </c>
      <c r="P54" s="217">
        <f t="shared" si="0"/>
        <v>3564</v>
      </c>
    </row>
    <row r="55" spans="1:16" x14ac:dyDescent="0.35">
      <c r="A55" s="287">
        <v>3</v>
      </c>
      <c r="B55" s="287" t="s">
        <v>1896</v>
      </c>
      <c r="C55" s="32" t="s">
        <v>1623</v>
      </c>
      <c r="D55" s="32" t="s">
        <v>1773</v>
      </c>
      <c r="E55" s="32" t="s">
        <v>1791</v>
      </c>
      <c r="F55" s="32" t="s">
        <v>1792</v>
      </c>
      <c r="G55" s="33" t="s">
        <v>1149</v>
      </c>
      <c r="H55" s="34">
        <v>4</v>
      </c>
      <c r="I55" s="34">
        <v>6</v>
      </c>
      <c r="J55" s="34">
        <v>35</v>
      </c>
      <c r="K55" s="34">
        <v>23</v>
      </c>
      <c r="L55" s="135">
        <v>2</v>
      </c>
      <c r="M55" s="135">
        <v>3</v>
      </c>
      <c r="N55" s="135">
        <v>10</v>
      </c>
      <c r="O55" s="135">
        <v>8</v>
      </c>
      <c r="P55" s="218">
        <f t="shared" si="0"/>
        <v>91</v>
      </c>
    </row>
    <row r="56" spans="1:16" x14ac:dyDescent="0.35">
      <c r="A56" s="287"/>
      <c r="B56" s="287"/>
      <c r="C56" s="32" t="s">
        <v>1623</v>
      </c>
      <c r="D56" s="32" t="s">
        <v>1773</v>
      </c>
      <c r="E56" s="32" t="s">
        <v>1791</v>
      </c>
      <c r="F56" s="32" t="s">
        <v>1790</v>
      </c>
      <c r="G56" s="33" t="s">
        <v>1150</v>
      </c>
      <c r="H56" s="34">
        <v>6</v>
      </c>
      <c r="I56" s="34">
        <v>10</v>
      </c>
      <c r="J56" s="34">
        <v>51</v>
      </c>
      <c r="K56" s="34">
        <v>44</v>
      </c>
      <c r="L56" s="135">
        <v>4</v>
      </c>
      <c r="M56" s="135">
        <v>6</v>
      </c>
      <c r="N56" s="135">
        <v>11</v>
      </c>
      <c r="O56" s="135">
        <v>19</v>
      </c>
      <c r="P56" s="218">
        <f t="shared" si="0"/>
        <v>151</v>
      </c>
    </row>
    <row r="57" spans="1:16" x14ac:dyDescent="0.35">
      <c r="A57" s="287"/>
      <c r="B57" s="287"/>
      <c r="C57" s="32" t="s">
        <v>1623</v>
      </c>
      <c r="D57" s="32" t="s">
        <v>1773</v>
      </c>
      <c r="E57" s="32" t="s">
        <v>1791</v>
      </c>
      <c r="F57" s="32" t="s">
        <v>1793</v>
      </c>
      <c r="G57" s="33" t="s">
        <v>1052</v>
      </c>
      <c r="H57" s="34">
        <v>2</v>
      </c>
      <c r="I57" s="34">
        <v>1</v>
      </c>
      <c r="J57" s="34">
        <v>25</v>
      </c>
      <c r="K57" s="34">
        <v>32</v>
      </c>
      <c r="L57" s="135">
        <v>3</v>
      </c>
      <c r="M57" s="135">
        <v>5</v>
      </c>
      <c r="N57" s="135">
        <v>10</v>
      </c>
      <c r="O57" s="135">
        <v>12</v>
      </c>
      <c r="P57" s="218">
        <f t="shared" si="0"/>
        <v>90</v>
      </c>
    </row>
    <row r="58" spans="1:16" x14ac:dyDescent="0.35">
      <c r="A58" s="287"/>
      <c r="B58" s="287"/>
      <c r="C58" s="32" t="s">
        <v>1623</v>
      </c>
      <c r="D58" s="32" t="s">
        <v>1773</v>
      </c>
      <c r="E58" s="32" t="s">
        <v>1791</v>
      </c>
      <c r="F58" s="32" t="s">
        <v>1793</v>
      </c>
      <c r="G58" s="33" t="s">
        <v>1144</v>
      </c>
      <c r="H58" s="34">
        <v>12</v>
      </c>
      <c r="I58" s="34">
        <v>13</v>
      </c>
      <c r="J58" s="34">
        <v>65</v>
      </c>
      <c r="K58" s="34">
        <v>69</v>
      </c>
      <c r="L58" s="135">
        <v>15</v>
      </c>
      <c r="M58" s="135">
        <v>11</v>
      </c>
      <c r="N58" s="135">
        <v>25</v>
      </c>
      <c r="O58" s="135">
        <v>13</v>
      </c>
      <c r="P58" s="218">
        <f t="shared" si="0"/>
        <v>223</v>
      </c>
    </row>
    <row r="59" spans="1:16" x14ac:dyDescent="0.35">
      <c r="A59" s="287"/>
      <c r="B59" s="287"/>
      <c r="C59" s="32" t="s">
        <v>1623</v>
      </c>
      <c r="D59" s="32" t="s">
        <v>1773</v>
      </c>
      <c r="E59" s="32" t="s">
        <v>1791</v>
      </c>
      <c r="F59" s="32" t="s">
        <v>1793</v>
      </c>
      <c r="G59" s="33" t="s">
        <v>1151</v>
      </c>
      <c r="H59" s="34">
        <v>6</v>
      </c>
      <c r="I59" s="34">
        <v>8</v>
      </c>
      <c r="J59" s="34">
        <v>39</v>
      </c>
      <c r="K59" s="34">
        <v>33</v>
      </c>
      <c r="L59" s="135">
        <v>6</v>
      </c>
      <c r="M59" s="135">
        <v>4</v>
      </c>
      <c r="N59" s="135">
        <v>12</v>
      </c>
      <c r="O59" s="135">
        <v>10</v>
      </c>
      <c r="P59" s="218">
        <f t="shared" si="0"/>
        <v>118</v>
      </c>
    </row>
    <row r="60" spans="1:16" x14ac:dyDescent="0.35">
      <c r="A60" s="287"/>
      <c r="B60" s="287"/>
      <c r="C60" s="32" t="s">
        <v>1623</v>
      </c>
      <c r="D60" s="32" t="s">
        <v>1773</v>
      </c>
      <c r="E60" s="32" t="s">
        <v>1791</v>
      </c>
      <c r="F60" s="32" t="s">
        <v>1793</v>
      </c>
      <c r="G60" s="33" t="s">
        <v>1152</v>
      </c>
      <c r="H60" s="34">
        <v>6</v>
      </c>
      <c r="I60" s="34">
        <v>4</v>
      </c>
      <c r="J60" s="34">
        <v>59</v>
      </c>
      <c r="K60" s="34">
        <v>71</v>
      </c>
      <c r="L60" s="135">
        <v>4</v>
      </c>
      <c r="M60" s="135">
        <v>4</v>
      </c>
      <c r="N60" s="135">
        <v>12</v>
      </c>
      <c r="O60" s="135">
        <v>13</v>
      </c>
      <c r="P60" s="218">
        <f t="shared" si="0"/>
        <v>173</v>
      </c>
    </row>
    <row r="61" spans="1:16" x14ac:dyDescent="0.35">
      <c r="A61" s="287"/>
      <c r="B61" s="287"/>
      <c r="C61" s="32" t="s">
        <v>1623</v>
      </c>
      <c r="D61" s="32" t="s">
        <v>1773</v>
      </c>
      <c r="E61" s="32" t="s">
        <v>1791</v>
      </c>
      <c r="F61" s="32" t="s">
        <v>1792</v>
      </c>
      <c r="G61" s="33" t="s">
        <v>1153</v>
      </c>
      <c r="H61" s="34">
        <v>2</v>
      </c>
      <c r="I61" s="34">
        <v>6</v>
      </c>
      <c r="J61" s="34">
        <v>21</v>
      </c>
      <c r="K61" s="34">
        <v>27</v>
      </c>
      <c r="L61" s="135">
        <v>0</v>
      </c>
      <c r="M61" s="135">
        <v>1</v>
      </c>
      <c r="N61" s="135">
        <v>14</v>
      </c>
      <c r="O61" s="135">
        <v>14</v>
      </c>
      <c r="P61" s="218">
        <f t="shared" si="0"/>
        <v>85</v>
      </c>
    </row>
    <row r="62" spans="1:16" x14ac:dyDescent="0.35">
      <c r="A62" s="287"/>
      <c r="B62" s="287"/>
      <c r="C62" s="32" t="s">
        <v>1623</v>
      </c>
      <c r="D62" s="32" t="s">
        <v>1773</v>
      </c>
      <c r="E62" s="32" t="s">
        <v>1791</v>
      </c>
      <c r="F62" s="32" t="s">
        <v>1790</v>
      </c>
      <c r="G62" s="33" t="s">
        <v>1154</v>
      </c>
      <c r="H62" s="34">
        <v>1</v>
      </c>
      <c r="I62" s="34">
        <v>4</v>
      </c>
      <c r="J62" s="34">
        <v>32</v>
      </c>
      <c r="K62" s="34">
        <v>34</v>
      </c>
      <c r="L62" s="135">
        <v>2</v>
      </c>
      <c r="M62" s="135">
        <v>3</v>
      </c>
      <c r="N62" s="135">
        <v>19</v>
      </c>
      <c r="O62" s="135">
        <v>9</v>
      </c>
      <c r="P62" s="218">
        <f t="shared" si="0"/>
        <v>104</v>
      </c>
    </row>
    <row r="63" spans="1:16" x14ac:dyDescent="0.35">
      <c r="A63" s="287"/>
      <c r="B63" s="287"/>
      <c r="C63" s="32" t="s">
        <v>1623</v>
      </c>
      <c r="D63" s="32" t="s">
        <v>1773</v>
      </c>
      <c r="E63" s="32" t="s">
        <v>1791</v>
      </c>
      <c r="F63" s="32" t="s">
        <v>1793</v>
      </c>
      <c r="G63" s="33" t="s">
        <v>1155</v>
      </c>
      <c r="H63" s="34">
        <v>1</v>
      </c>
      <c r="I63" s="34">
        <v>3</v>
      </c>
      <c r="J63" s="34">
        <v>43</v>
      </c>
      <c r="K63" s="34">
        <v>44</v>
      </c>
      <c r="L63" s="135">
        <v>5</v>
      </c>
      <c r="M63" s="135">
        <v>4</v>
      </c>
      <c r="N63" s="135">
        <v>13</v>
      </c>
      <c r="O63" s="135">
        <v>12</v>
      </c>
      <c r="P63" s="218">
        <f t="shared" si="0"/>
        <v>125</v>
      </c>
    </row>
    <row r="64" spans="1:16" x14ac:dyDescent="0.35">
      <c r="A64" s="287"/>
      <c r="B64" s="287"/>
      <c r="C64" s="32" t="s">
        <v>1623</v>
      </c>
      <c r="D64" s="32" t="s">
        <v>1773</v>
      </c>
      <c r="E64" s="32" t="s">
        <v>1791</v>
      </c>
      <c r="F64" s="32" t="s">
        <v>1792</v>
      </c>
      <c r="G64" s="33" t="s">
        <v>1156</v>
      </c>
      <c r="H64" s="34">
        <v>6</v>
      </c>
      <c r="I64" s="34">
        <v>2</v>
      </c>
      <c r="J64" s="34">
        <v>51</v>
      </c>
      <c r="K64" s="34">
        <v>37</v>
      </c>
      <c r="L64" s="135">
        <v>10</v>
      </c>
      <c r="M64" s="135">
        <v>10</v>
      </c>
      <c r="N64" s="135">
        <v>17</v>
      </c>
      <c r="O64" s="135">
        <v>17</v>
      </c>
      <c r="P64" s="218">
        <f t="shared" si="0"/>
        <v>150</v>
      </c>
    </row>
    <row r="65" spans="1:16" x14ac:dyDescent="0.35">
      <c r="A65" s="287"/>
      <c r="B65" s="287"/>
      <c r="C65" s="32" t="s">
        <v>1623</v>
      </c>
      <c r="D65" s="32" t="s">
        <v>1773</v>
      </c>
      <c r="E65" s="32" t="s">
        <v>1791</v>
      </c>
      <c r="F65" s="32" t="s">
        <v>1793</v>
      </c>
      <c r="G65" s="33" t="s">
        <v>1157</v>
      </c>
      <c r="H65" s="34">
        <v>4</v>
      </c>
      <c r="I65" s="34">
        <v>12</v>
      </c>
      <c r="J65" s="34">
        <v>41</v>
      </c>
      <c r="K65" s="34">
        <v>54</v>
      </c>
      <c r="L65" s="135">
        <v>10</v>
      </c>
      <c r="M65" s="135">
        <v>12</v>
      </c>
      <c r="N65" s="135">
        <v>15</v>
      </c>
      <c r="O65" s="135">
        <v>13</v>
      </c>
      <c r="P65" s="218">
        <f t="shared" si="0"/>
        <v>161</v>
      </c>
    </row>
    <row r="66" spans="1:16" x14ac:dyDescent="0.35">
      <c r="A66" s="287"/>
      <c r="B66" s="287"/>
      <c r="C66" s="32" t="s">
        <v>1623</v>
      </c>
      <c r="D66" s="32" t="s">
        <v>1773</v>
      </c>
      <c r="E66" s="32" t="s">
        <v>1791</v>
      </c>
      <c r="F66" s="32" t="s">
        <v>1792</v>
      </c>
      <c r="G66" s="33" t="s">
        <v>1158</v>
      </c>
      <c r="H66" s="34">
        <v>9</v>
      </c>
      <c r="I66" s="34">
        <v>3</v>
      </c>
      <c r="J66" s="34">
        <v>33</v>
      </c>
      <c r="K66" s="34">
        <v>43</v>
      </c>
      <c r="L66" s="135">
        <v>4</v>
      </c>
      <c r="M66" s="135">
        <v>6</v>
      </c>
      <c r="N66" s="135">
        <v>11</v>
      </c>
      <c r="O66" s="135">
        <v>9</v>
      </c>
      <c r="P66" s="218">
        <f t="shared" si="0"/>
        <v>118</v>
      </c>
    </row>
    <row r="67" spans="1:16" x14ac:dyDescent="0.35">
      <c r="A67" s="287"/>
      <c r="B67" s="287"/>
      <c r="C67" s="32" t="s">
        <v>1623</v>
      </c>
      <c r="D67" s="32" t="s">
        <v>1773</v>
      </c>
      <c r="E67" s="32" t="s">
        <v>1791</v>
      </c>
      <c r="F67" s="32" t="s">
        <v>1793</v>
      </c>
      <c r="G67" s="33" t="s">
        <v>1159</v>
      </c>
      <c r="H67" s="34">
        <v>7</v>
      </c>
      <c r="I67" s="34">
        <v>3</v>
      </c>
      <c r="J67" s="34">
        <v>56</v>
      </c>
      <c r="K67" s="34">
        <v>49</v>
      </c>
      <c r="L67" s="135">
        <v>5</v>
      </c>
      <c r="M67" s="135">
        <v>3</v>
      </c>
      <c r="N67" s="135">
        <v>15</v>
      </c>
      <c r="O67" s="135">
        <v>21</v>
      </c>
      <c r="P67" s="218">
        <f t="shared" si="0"/>
        <v>159</v>
      </c>
    </row>
    <row r="68" spans="1:16" x14ac:dyDescent="0.35">
      <c r="A68" s="287"/>
      <c r="B68" s="287"/>
      <c r="C68" s="32" t="s">
        <v>1623</v>
      </c>
      <c r="D68" s="32" t="s">
        <v>1773</v>
      </c>
      <c r="E68" s="32" t="s">
        <v>1791</v>
      </c>
      <c r="F68" s="32" t="s">
        <v>1792</v>
      </c>
      <c r="G68" s="33" t="s">
        <v>1160</v>
      </c>
      <c r="H68" s="34">
        <v>6</v>
      </c>
      <c r="I68" s="34">
        <v>4</v>
      </c>
      <c r="J68" s="34">
        <v>62</v>
      </c>
      <c r="K68" s="34">
        <v>58</v>
      </c>
      <c r="L68" s="135">
        <v>5</v>
      </c>
      <c r="M68" s="135">
        <v>15</v>
      </c>
      <c r="N68" s="135">
        <v>5</v>
      </c>
      <c r="O68" s="135">
        <v>25</v>
      </c>
      <c r="P68" s="218">
        <f t="shared" si="0"/>
        <v>180</v>
      </c>
    </row>
    <row r="69" spans="1:16" x14ac:dyDescent="0.35">
      <c r="A69" s="287"/>
      <c r="B69" s="287"/>
      <c r="C69" s="32" t="s">
        <v>1623</v>
      </c>
      <c r="D69" s="32" t="s">
        <v>1773</v>
      </c>
      <c r="E69" s="32" t="s">
        <v>1791</v>
      </c>
      <c r="F69" s="32" t="s">
        <v>1790</v>
      </c>
      <c r="G69" s="33" t="s">
        <v>1161</v>
      </c>
      <c r="H69" s="34">
        <v>2</v>
      </c>
      <c r="I69" s="34">
        <v>4</v>
      </c>
      <c r="J69" s="34">
        <v>43</v>
      </c>
      <c r="K69" s="34">
        <v>51</v>
      </c>
      <c r="L69" s="135">
        <v>5</v>
      </c>
      <c r="M69" s="135">
        <v>5</v>
      </c>
      <c r="N69" s="135">
        <v>10</v>
      </c>
      <c r="O69" s="135">
        <v>14</v>
      </c>
      <c r="P69" s="218">
        <f t="shared" si="0"/>
        <v>134</v>
      </c>
    </row>
    <row r="70" spans="1:16" x14ac:dyDescent="0.35">
      <c r="A70" s="287"/>
      <c r="B70" s="287"/>
      <c r="C70" s="32" t="s">
        <v>1623</v>
      </c>
      <c r="D70" s="32" t="s">
        <v>1773</v>
      </c>
      <c r="E70" s="32" t="s">
        <v>1791</v>
      </c>
      <c r="F70" s="32" t="s">
        <v>1790</v>
      </c>
      <c r="G70" s="33" t="s">
        <v>1162</v>
      </c>
      <c r="H70" s="34">
        <v>2</v>
      </c>
      <c r="I70" s="34">
        <v>3</v>
      </c>
      <c r="J70" s="34">
        <v>28</v>
      </c>
      <c r="K70" s="34">
        <v>32</v>
      </c>
      <c r="L70" s="135">
        <v>4</v>
      </c>
      <c r="M70" s="135">
        <v>6</v>
      </c>
      <c r="N70" s="135">
        <v>9</v>
      </c>
      <c r="O70" s="135">
        <v>21</v>
      </c>
      <c r="P70" s="218">
        <f t="shared" ref="P70:P133" si="3">H70+I70+J70+K70+L70+M70+N70+O70</f>
        <v>105</v>
      </c>
    </row>
    <row r="71" spans="1:16" x14ac:dyDescent="0.35">
      <c r="A71" s="287"/>
      <c r="B71" s="287"/>
      <c r="C71" s="32" t="s">
        <v>1623</v>
      </c>
      <c r="D71" s="32" t="s">
        <v>1773</v>
      </c>
      <c r="E71" s="32" t="s">
        <v>1791</v>
      </c>
      <c r="F71" s="32" t="s">
        <v>1790</v>
      </c>
      <c r="G71" s="33" t="s">
        <v>1163</v>
      </c>
      <c r="H71" s="34">
        <v>3</v>
      </c>
      <c r="I71" s="34">
        <v>5</v>
      </c>
      <c r="J71" s="34">
        <v>43</v>
      </c>
      <c r="K71" s="34">
        <v>52</v>
      </c>
      <c r="L71" s="135">
        <v>7</v>
      </c>
      <c r="M71" s="135">
        <v>6</v>
      </c>
      <c r="N71" s="135">
        <v>13</v>
      </c>
      <c r="O71" s="135">
        <v>10</v>
      </c>
      <c r="P71" s="218">
        <f t="shared" si="3"/>
        <v>139</v>
      </c>
    </row>
    <row r="72" spans="1:16" x14ac:dyDescent="0.35">
      <c r="A72" s="287"/>
      <c r="B72" s="287"/>
      <c r="C72" s="32" t="s">
        <v>1623</v>
      </c>
      <c r="D72" s="32" t="s">
        <v>1773</v>
      </c>
      <c r="E72" s="32" t="s">
        <v>1791</v>
      </c>
      <c r="F72" s="32" t="s">
        <v>1790</v>
      </c>
      <c r="G72" s="33" t="s">
        <v>1164</v>
      </c>
      <c r="H72" s="34">
        <v>7</v>
      </c>
      <c r="I72" s="34">
        <v>3</v>
      </c>
      <c r="J72" s="34">
        <v>51</v>
      </c>
      <c r="K72" s="34">
        <v>56</v>
      </c>
      <c r="L72" s="135">
        <v>19</v>
      </c>
      <c r="M72" s="135">
        <v>21</v>
      </c>
      <c r="N72" s="135">
        <v>13</v>
      </c>
      <c r="O72" s="135">
        <v>12</v>
      </c>
      <c r="P72" s="218">
        <f t="shared" si="3"/>
        <v>182</v>
      </c>
    </row>
    <row r="73" spans="1:16" x14ac:dyDescent="0.35">
      <c r="A73" s="287"/>
      <c r="B73" s="287"/>
      <c r="C73" s="32" t="s">
        <v>1623</v>
      </c>
      <c r="D73" s="32" t="s">
        <v>1773</v>
      </c>
      <c r="E73" s="32" t="s">
        <v>1791</v>
      </c>
      <c r="F73" s="32" t="s">
        <v>1790</v>
      </c>
      <c r="G73" s="33" t="s">
        <v>1046</v>
      </c>
      <c r="H73" s="34">
        <v>5</v>
      </c>
      <c r="I73" s="34">
        <v>5</v>
      </c>
      <c r="J73" s="34">
        <v>42</v>
      </c>
      <c r="K73" s="34">
        <v>58</v>
      </c>
      <c r="L73" s="135">
        <v>4</v>
      </c>
      <c r="M73" s="135">
        <v>6</v>
      </c>
      <c r="N73" s="135">
        <v>17</v>
      </c>
      <c r="O73" s="135">
        <v>13</v>
      </c>
      <c r="P73" s="218">
        <f t="shared" si="3"/>
        <v>150</v>
      </c>
    </row>
    <row r="74" spans="1:16" x14ac:dyDescent="0.35">
      <c r="A74" s="287"/>
      <c r="B74" s="287"/>
      <c r="C74" s="32" t="s">
        <v>1623</v>
      </c>
      <c r="D74" s="32" t="s">
        <v>1773</v>
      </c>
      <c r="E74" s="32" t="s">
        <v>1791</v>
      </c>
      <c r="F74" s="32" t="s">
        <v>1793</v>
      </c>
      <c r="G74" s="33" t="s">
        <v>1165</v>
      </c>
      <c r="H74" s="34">
        <v>12</v>
      </c>
      <c r="I74" s="34">
        <v>8</v>
      </c>
      <c r="J74" s="34">
        <v>43</v>
      </c>
      <c r="K74" s="34">
        <v>32</v>
      </c>
      <c r="L74" s="135">
        <v>4</v>
      </c>
      <c r="M74" s="135">
        <v>3</v>
      </c>
      <c r="N74" s="135">
        <v>9</v>
      </c>
      <c r="O74" s="135">
        <v>8</v>
      </c>
      <c r="P74" s="218">
        <f t="shared" si="3"/>
        <v>119</v>
      </c>
    </row>
    <row r="75" spans="1:16" x14ac:dyDescent="0.35">
      <c r="A75" s="287"/>
      <c r="B75" s="287"/>
      <c r="C75" s="32" t="s">
        <v>1623</v>
      </c>
      <c r="D75" s="32" t="s">
        <v>1773</v>
      </c>
      <c r="E75" s="32" t="s">
        <v>1791</v>
      </c>
      <c r="F75" s="32" t="s">
        <v>1793</v>
      </c>
      <c r="G75" s="33" t="s">
        <v>1166</v>
      </c>
      <c r="H75" s="34">
        <v>1</v>
      </c>
      <c r="I75" s="34">
        <v>3</v>
      </c>
      <c r="J75" s="34">
        <v>23</v>
      </c>
      <c r="K75" s="34">
        <v>29</v>
      </c>
      <c r="L75" s="135">
        <v>5</v>
      </c>
      <c r="M75" s="135">
        <v>5</v>
      </c>
      <c r="N75" s="135">
        <v>10</v>
      </c>
      <c r="O75" s="135">
        <v>12</v>
      </c>
      <c r="P75" s="218">
        <f t="shared" si="3"/>
        <v>88</v>
      </c>
    </row>
    <row r="76" spans="1:16" x14ac:dyDescent="0.35">
      <c r="A76" s="287"/>
      <c r="B76" s="287"/>
      <c r="C76" s="32" t="s">
        <v>1623</v>
      </c>
      <c r="D76" s="32" t="s">
        <v>1773</v>
      </c>
      <c r="E76" s="32" t="s">
        <v>1791</v>
      </c>
      <c r="F76" s="32" t="s">
        <v>1792</v>
      </c>
      <c r="G76" s="33" t="s">
        <v>1167</v>
      </c>
      <c r="H76" s="34">
        <v>6</v>
      </c>
      <c r="I76" s="34">
        <v>7</v>
      </c>
      <c r="J76" s="34">
        <v>23</v>
      </c>
      <c r="K76" s="34">
        <v>33</v>
      </c>
      <c r="L76" s="135">
        <v>2</v>
      </c>
      <c r="M76" s="135">
        <v>1</v>
      </c>
      <c r="N76" s="135">
        <v>10</v>
      </c>
      <c r="O76" s="135">
        <v>9</v>
      </c>
      <c r="P76" s="218">
        <f t="shared" si="3"/>
        <v>91</v>
      </c>
    </row>
    <row r="77" spans="1:16" x14ac:dyDescent="0.35">
      <c r="A77" s="287"/>
      <c r="B77" s="287"/>
      <c r="C77" s="32" t="s">
        <v>1623</v>
      </c>
      <c r="D77" s="32" t="s">
        <v>1773</v>
      </c>
      <c r="E77" s="32" t="s">
        <v>1791</v>
      </c>
      <c r="F77" s="32" t="s">
        <v>1792</v>
      </c>
      <c r="G77" s="33" t="s">
        <v>1168</v>
      </c>
      <c r="H77" s="34">
        <v>2</v>
      </c>
      <c r="I77" s="34">
        <v>4</v>
      </c>
      <c r="J77" s="34">
        <v>41</v>
      </c>
      <c r="K77" s="34">
        <v>37</v>
      </c>
      <c r="L77" s="135">
        <v>4</v>
      </c>
      <c r="M77" s="135">
        <v>6</v>
      </c>
      <c r="N77" s="135">
        <v>15</v>
      </c>
      <c r="O77" s="135">
        <v>10</v>
      </c>
      <c r="P77" s="218">
        <f t="shared" si="3"/>
        <v>119</v>
      </c>
    </row>
    <row r="78" spans="1:16" x14ac:dyDescent="0.35">
      <c r="A78" s="287"/>
      <c r="B78" s="287"/>
      <c r="C78" s="32" t="s">
        <v>1623</v>
      </c>
      <c r="D78" s="32" t="s">
        <v>1773</v>
      </c>
      <c r="E78" s="32" t="s">
        <v>1791</v>
      </c>
      <c r="F78" s="32" t="s">
        <v>1790</v>
      </c>
      <c r="G78" s="33" t="s">
        <v>1169</v>
      </c>
      <c r="H78" s="34">
        <v>3</v>
      </c>
      <c r="I78" s="34">
        <v>5</v>
      </c>
      <c r="J78" s="34">
        <v>49</v>
      </c>
      <c r="K78" s="34">
        <v>38</v>
      </c>
      <c r="L78" s="135">
        <v>8</v>
      </c>
      <c r="M78" s="135">
        <v>6</v>
      </c>
      <c r="N78" s="135">
        <v>10</v>
      </c>
      <c r="O78" s="135">
        <v>15</v>
      </c>
      <c r="P78" s="218">
        <f t="shared" si="3"/>
        <v>134</v>
      </c>
    </row>
    <row r="79" spans="1:16" x14ac:dyDescent="0.35">
      <c r="A79" s="287"/>
      <c r="B79" s="287"/>
      <c r="C79" s="32" t="s">
        <v>1623</v>
      </c>
      <c r="D79" s="32" t="s">
        <v>1773</v>
      </c>
      <c r="E79" s="32" t="s">
        <v>1791</v>
      </c>
      <c r="F79" s="32" t="s">
        <v>1790</v>
      </c>
      <c r="G79" s="33" t="s">
        <v>1170</v>
      </c>
      <c r="H79" s="34">
        <v>1</v>
      </c>
      <c r="I79" s="34">
        <v>3</v>
      </c>
      <c r="J79" s="34">
        <v>26</v>
      </c>
      <c r="K79" s="34">
        <v>31</v>
      </c>
      <c r="L79" s="135">
        <v>6</v>
      </c>
      <c r="M79" s="135">
        <v>8</v>
      </c>
      <c r="N79" s="135">
        <v>6</v>
      </c>
      <c r="O79" s="135">
        <v>11</v>
      </c>
      <c r="P79" s="218">
        <f t="shared" si="3"/>
        <v>92</v>
      </c>
    </row>
    <row r="80" spans="1:16" x14ac:dyDescent="0.35">
      <c r="A80" s="287"/>
      <c r="B80" s="287"/>
      <c r="C80" s="32" t="s">
        <v>1623</v>
      </c>
      <c r="D80" s="32" t="s">
        <v>1773</v>
      </c>
      <c r="E80" s="32" t="s">
        <v>1791</v>
      </c>
      <c r="F80" s="32" t="s">
        <v>1792</v>
      </c>
      <c r="G80" s="33" t="s">
        <v>1171</v>
      </c>
      <c r="H80" s="34">
        <v>5</v>
      </c>
      <c r="I80" s="34">
        <v>3</v>
      </c>
      <c r="J80" s="34">
        <v>32</v>
      </c>
      <c r="K80" s="34">
        <v>41</v>
      </c>
      <c r="L80" s="135">
        <v>8</v>
      </c>
      <c r="M80" s="135">
        <v>4</v>
      </c>
      <c r="N80" s="135">
        <v>9</v>
      </c>
      <c r="O80" s="135">
        <v>11</v>
      </c>
      <c r="P80" s="218">
        <f t="shared" si="3"/>
        <v>113</v>
      </c>
    </row>
    <row r="81" spans="1:16" x14ac:dyDescent="0.35">
      <c r="A81" s="287"/>
      <c r="B81" s="287"/>
      <c r="C81" s="32" t="s">
        <v>1623</v>
      </c>
      <c r="D81" s="32" t="s">
        <v>1773</v>
      </c>
      <c r="E81" s="32" t="s">
        <v>1791</v>
      </c>
      <c r="F81" s="32" t="s">
        <v>1790</v>
      </c>
      <c r="G81" s="33" t="s">
        <v>1172</v>
      </c>
      <c r="H81" s="34">
        <v>4</v>
      </c>
      <c r="I81" s="34">
        <v>4</v>
      </c>
      <c r="J81" s="34">
        <v>39</v>
      </c>
      <c r="K81" s="34">
        <v>32</v>
      </c>
      <c r="L81" s="135">
        <v>15</v>
      </c>
      <c r="M81" s="135">
        <v>15</v>
      </c>
      <c r="N81" s="135">
        <v>15</v>
      </c>
      <c r="O81" s="135">
        <v>15</v>
      </c>
      <c r="P81" s="218">
        <f t="shared" si="3"/>
        <v>139</v>
      </c>
    </row>
    <row r="82" spans="1:16" x14ac:dyDescent="0.35">
      <c r="A82" s="287"/>
      <c r="B82" s="287"/>
      <c r="C82" s="32" t="s">
        <v>1623</v>
      </c>
      <c r="D82" s="32" t="s">
        <v>1773</v>
      </c>
      <c r="E82" s="32" t="s">
        <v>1791</v>
      </c>
      <c r="F82" s="32" t="s">
        <v>1790</v>
      </c>
      <c r="G82" s="33" t="s">
        <v>1173</v>
      </c>
      <c r="H82" s="34">
        <v>2</v>
      </c>
      <c r="I82" s="34">
        <v>0</v>
      </c>
      <c r="J82" s="34">
        <v>52</v>
      </c>
      <c r="K82" s="34">
        <v>68</v>
      </c>
      <c r="L82" s="135">
        <v>10</v>
      </c>
      <c r="M82" s="135">
        <v>9</v>
      </c>
      <c r="N82" s="135">
        <v>10</v>
      </c>
      <c r="O82" s="135">
        <v>16</v>
      </c>
      <c r="P82" s="218">
        <f t="shared" si="3"/>
        <v>167</v>
      </c>
    </row>
    <row r="83" spans="1:16" x14ac:dyDescent="0.35">
      <c r="A83" s="287"/>
      <c r="B83" s="287"/>
      <c r="C83" s="32" t="s">
        <v>1623</v>
      </c>
      <c r="D83" s="32" t="s">
        <v>1773</v>
      </c>
      <c r="E83" s="32" t="s">
        <v>1791</v>
      </c>
      <c r="F83" s="32" t="s">
        <v>1792</v>
      </c>
      <c r="G83" s="33" t="s">
        <v>1174</v>
      </c>
      <c r="H83" s="34">
        <v>12</v>
      </c>
      <c r="I83" s="34">
        <v>8</v>
      </c>
      <c r="J83" s="34">
        <v>52</v>
      </c>
      <c r="K83" s="34">
        <v>53</v>
      </c>
      <c r="L83" s="135">
        <v>11</v>
      </c>
      <c r="M83" s="135">
        <v>10</v>
      </c>
      <c r="N83" s="135">
        <v>13</v>
      </c>
      <c r="O83" s="135">
        <v>12</v>
      </c>
      <c r="P83" s="218">
        <f t="shared" si="3"/>
        <v>171</v>
      </c>
    </row>
    <row r="84" spans="1:16" x14ac:dyDescent="0.35">
      <c r="A84" s="287"/>
      <c r="B84" s="287"/>
      <c r="C84" s="32" t="s">
        <v>1623</v>
      </c>
      <c r="D84" s="32" t="s">
        <v>1773</v>
      </c>
      <c r="E84" s="32" t="s">
        <v>1791</v>
      </c>
      <c r="F84" s="32" t="s">
        <v>1790</v>
      </c>
      <c r="G84" s="33" t="s">
        <v>1175</v>
      </c>
      <c r="H84" s="34">
        <v>9</v>
      </c>
      <c r="I84" s="34">
        <v>5</v>
      </c>
      <c r="J84" s="34">
        <v>35</v>
      </c>
      <c r="K84" s="34">
        <v>40</v>
      </c>
      <c r="L84" s="135">
        <v>10</v>
      </c>
      <c r="M84" s="135">
        <v>12</v>
      </c>
      <c r="N84" s="135">
        <v>10</v>
      </c>
      <c r="O84" s="135">
        <v>14</v>
      </c>
      <c r="P84" s="218">
        <f t="shared" si="3"/>
        <v>135</v>
      </c>
    </row>
    <row r="85" spans="1:16" x14ac:dyDescent="0.35">
      <c r="A85" s="287"/>
      <c r="B85" s="287"/>
      <c r="C85" s="32" t="s">
        <v>1623</v>
      </c>
      <c r="D85" s="32" t="s">
        <v>1773</v>
      </c>
      <c r="E85" s="32" t="s">
        <v>1791</v>
      </c>
      <c r="F85" s="32" t="s">
        <v>1792</v>
      </c>
      <c r="G85" s="33" t="s">
        <v>1176</v>
      </c>
      <c r="H85" s="34">
        <v>6</v>
      </c>
      <c r="I85" s="34">
        <v>12</v>
      </c>
      <c r="J85" s="34">
        <v>67</v>
      </c>
      <c r="K85" s="34">
        <v>49</v>
      </c>
      <c r="L85" s="135">
        <v>7</v>
      </c>
      <c r="M85" s="135">
        <v>8</v>
      </c>
      <c r="N85" s="135">
        <v>18</v>
      </c>
      <c r="O85" s="135">
        <v>22</v>
      </c>
      <c r="P85" s="218">
        <f t="shared" si="3"/>
        <v>189</v>
      </c>
    </row>
    <row r="86" spans="1:16" x14ac:dyDescent="0.35">
      <c r="A86" s="287"/>
      <c r="B86" s="287"/>
      <c r="C86" s="32" t="s">
        <v>1623</v>
      </c>
      <c r="D86" s="32" t="s">
        <v>1773</v>
      </c>
      <c r="E86" s="32" t="s">
        <v>1791</v>
      </c>
      <c r="F86" s="32" t="s">
        <v>1792</v>
      </c>
      <c r="G86" s="33" t="s">
        <v>1177</v>
      </c>
      <c r="H86" s="34">
        <v>1</v>
      </c>
      <c r="I86" s="34">
        <v>4</v>
      </c>
      <c r="J86" s="34">
        <v>41</v>
      </c>
      <c r="K86" s="34">
        <v>49</v>
      </c>
      <c r="L86" s="135">
        <v>12</v>
      </c>
      <c r="M86" s="135">
        <v>8</v>
      </c>
      <c r="N86" s="135">
        <v>15</v>
      </c>
      <c r="O86" s="135">
        <v>5</v>
      </c>
      <c r="P86" s="218">
        <f t="shared" si="3"/>
        <v>135</v>
      </c>
    </row>
    <row r="87" spans="1:16" x14ac:dyDescent="0.35">
      <c r="A87" s="287"/>
      <c r="B87" s="287"/>
      <c r="C87" s="32" t="s">
        <v>1623</v>
      </c>
      <c r="D87" s="32" t="s">
        <v>1773</v>
      </c>
      <c r="E87" s="32" t="s">
        <v>1791</v>
      </c>
      <c r="F87" s="32" t="s">
        <v>1790</v>
      </c>
      <c r="G87" s="33" t="s">
        <v>1178</v>
      </c>
      <c r="H87" s="34">
        <v>4</v>
      </c>
      <c r="I87" s="34">
        <v>2</v>
      </c>
      <c r="J87" s="34">
        <v>61</v>
      </c>
      <c r="K87" s="34">
        <v>43</v>
      </c>
      <c r="L87" s="135">
        <v>8</v>
      </c>
      <c r="M87" s="135">
        <v>6</v>
      </c>
      <c r="N87" s="135">
        <v>18</v>
      </c>
      <c r="O87" s="135">
        <v>12</v>
      </c>
      <c r="P87" s="218">
        <f t="shared" si="3"/>
        <v>154</v>
      </c>
    </row>
    <row r="88" spans="1:16" x14ac:dyDescent="0.35">
      <c r="A88" s="287"/>
      <c r="B88" s="287"/>
      <c r="C88" s="32" t="s">
        <v>1623</v>
      </c>
      <c r="D88" s="32" t="s">
        <v>1773</v>
      </c>
      <c r="E88" s="32" t="s">
        <v>1791</v>
      </c>
      <c r="F88" s="32" t="s">
        <v>1792</v>
      </c>
      <c r="G88" s="33" t="s">
        <v>1179</v>
      </c>
      <c r="H88" s="34">
        <v>5</v>
      </c>
      <c r="I88" s="34">
        <v>9</v>
      </c>
      <c r="J88" s="34">
        <v>42</v>
      </c>
      <c r="K88" s="34">
        <v>49</v>
      </c>
      <c r="L88" s="135">
        <v>6</v>
      </c>
      <c r="M88" s="135">
        <v>2</v>
      </c>
      <c r="N88" s="135">
        <v>11</v>
      </c>
      <c r="O88" s="135">
        <v>13</v>
      </c>
      <c r="P88" s="218">
        <f t="shared" si="3"/>
        <v>137</v>
      </c>
    </row>
    <row r="89" spans="1:16" x14ac:dyDescent="0.35">
      <c r="A89" s="287"/>
      <c r="B89" s="287"/>
      <c r="C89" s="32" t="s">
        <v>1623</v>
      </c>
      <c r="D89" s="32" t="s">
        <v>1773</v>
      </c>
      <c r="E89" s="32" t="s">
        <v>1785</v>
      </c>
      <c r="F89" s="32" t="s">
        <v>1786</v>
      </c>
      <c r="G89" s="33" t="s">
        <v>1180</v>
      </c>
      <c r="H89" s="34">
        <v>7</v>
      </c>
      <c r="I89" s="34">
        <v>5</v>
      </c>
      <c r="J89" s="34">
        <v>24</v>
      </c>
      <c r="K89" s="34">
        <v>26</v>
      </c>
      <c r="L89" s="135">
        <v>7</v>
      </c>
      <c r="M89" s="135">
        <v>8</v>
      </c>
      <c r="N89" s="135">
        <v>11</v>
      </c>
      <c r="O89" s="135">
        <v>14</v>
      </c>
      <c r="P89" s="218">
        <f t="shared" si="3"/>
        <v>102</v>
      </c>
    </row>
    <row r="90" spans="1:16" x14ac:dyDescent="0.35">
      <c r="A90" s="287"/>
      <c r="B90" s="287"/>
      <c r="C90" s="32" t="s">
        <v>1623</v>
      </c>
      <c r="D90" s="32" t="s">
        <v>1773</v>
      </c>
      <c r="E90" s="32" t="s">
        <v>1785</v>
      </c>
      <c r="F90" s="32" t="s">
        <v>1786</v>
      </c>
      <c r="G90" s="33" t="s">
        <v>1181</v>
      </c>
      <c r="H90" s="34">
        <v>9</v>
      </c>
      <c r="I90" s="34">
        <v>14</v>
      </c>
      <c r="J90" s="34">
        <v>33</v>
      </c>
      <c r="K90" s="34">
        <v>44</v>
      </c>
      <c r="L90" s="135">
        <v>8</v>
      </c>
      <c r="M90" s="135">
        <v>12</v>
      </c>
      <c r="N90" s="135">
        <v>14</v>
      </c>
      <c r="O90" s="135">
        <v>16</v>
      </c>
      <c r="P90" s="218">
        <f t="shared" si="3"/>
        <v>150</v>
      </c>
    </row>
    <row r="91" spans="1:16" x14ac:dyDescent="0.35">
      <c r="A91" s="287"/>
      <c r="B91" s="287"/>
      <c r="C91" s="32" t="s">
        <v>1623</v>
      </c>
      <c r="D91" s="32" t="s">
        <v>1773</v>
      </c>
      <c r="E91" s="32" t="s">
        <v>1785</v>
      </c>
      <c r="F91" s="32" t="s">
        <v>1786</v>
      </c>
      <c r="G91" s="33" t="s">
        <v>1182</v>
      </c>
      <c r="H91" s="34">
        <v>7</v>
      </c>
      <c r="I91" s="34">
        <v>11</v>
      </c>
      <c r="J91" s="34">
        <v>36</v>
      </c>
      <c r="K91" s="34">
        <v>50</v>
      </c>
      <c r="L91" s="135">
        <v>15</v>
      </c>
      <c r="M91" s="135">
        <v>15</v>
      </c>
      <c r="N91" s="135">
        <v>11</v>
      </c>
      <c r="O91" s="135">
        <v>21</v>
      </c>
      <c r="P91" s="218">
        <f t="shared" si="3"/>
        <v>166</v>
      </c>
    </row>
    <row r="92" spans="1:16" x14ac:dyDescent="0.35">
      <c r="A92" s="287"/>
      <c r="B92" s="287"/>
      <c r="C92" s="32" t="s">
        <v>1623</v>
      </c>
      <c r="D92" s="32" t="s">
        <v>1773</v>
      </c>
      <c r="E92" s="32" t="s">
        <v>1785</v>
      </c>
      <c r="F92" s="32" t="s">
        <v>1786</v>
      </c>
      <c r="G92" s="33" t="s">
        <v>1183</v>
      </c>
      <c r="H92" s="34">
        <v>9</v>
      </c>
      <c r="I92" s="34">
        <v>15</v>
      </c>
      <c r="J92" s="34">
        <v>49</v>
      </c>
      <c r="K92" s="34">
        <v>41</v>
      </c>
      <c r="L92" s="135">
        <v>14</v>
      </c>
      <c r="M92" s="135">
        <v>10</v>
      </c>
      <c r="N92" s="135">
        <v>12</v>
      </c>
      <c r="O92" s="135">
        <v>13</v>
      </c>
      <c r="P92" s="218">
        <f t="shared" si="3"/>
        <v>163</v>
      </c>
    </row>
    <row r="93" spans="1:16" x14ac:dyDescent="0.35">
      <c r="A93" s="287"/>
      <c r="B93" s="287"/>
      <c r="C93" s="32" t="s">
        <v>1623</v>
      </c>
      <c r="D93" s="32" t="s">
        <v>1773</v>
      </c>
      <c r="E93" s="32" t="s">
        <v>1785</v>
      </c>
      <c r="F93" s="32" t="s">
        <v>1786</v>
      </c>
      <c r="G93" s="33" t="s">
        <v>1184</v>
      </c>
      <c r="H93" s="34">
        <v>3</v>
      </c>
      <c r="I93" s="34">
        <v>2</v>
      </c>
      <c r="J93" s="34">
        <v>61</v>
      </c>
      <c r="K93" s="34">
        <v>56</v>
      </c>
      <c r="L93" s="135">
        <v>15</v>
      </c>
      <c r="M93" s="135">
        <v>10</v>
      </c>
      <c r="N93" s="135">
        <v>10</v>
      </c>
      <c r="O93" s="135">
        <v>15</v>
      </c>
      <c r="P93" s="218">
        <f t="shared" si="3"/>
        <v>172</v>
      </c>
    </row>
    <row r="94" spans="1:16" x14ac:dyDescent="0.35">
      <c r="A94" s="287"/>
      <c r="B94" s="287"/>
      <c r="C94" s="32" t="s">
        <v>1623</v>
      </c>
      <c r="D94" s="32" t="s">
        <v>1773</v>
      </c>
      <c r="E94" s="32" t="s">
        <v>1785</v>
      </c>
      <c r="F94" s="32" t="s">
        <v>1786</v>
      </c>
      <c r="G94" s="33" t="s">
        <v>1185</v>
      </c>
      <c r="H94" s="34">
        <v>13</v>
      </c>
      <c r="I94" s="34">
        <v>7</v>
      </c>
      <c r="J94" s="34">
        <v>52</v>
      </c>
      <c r="K94" s="34">
        <v>56</v>
      </c>
      <c r="L94" s="135">
        <v>11</v>
      </c>
      <c r="M94" s="135">
        <v>10</v>
      </c>
      <c r="N94" s="135">
        <v>13</v>
      </c>
      <c r="O94" s="135">
        <v>17</v>
      </c>
      <c r="P94" s="218">
        <f t="shared" si="3"/>
        <v>179</v>
      </c>
    </row>
    <row r="95" spans="1:16" x14ac:dyDescent="0.35">
      <c r="A95" s="287"/>
      <c r="B95" s="287"/>
      <c r="C95" s="32" t="s">
        <v>1623</v>
      </c>
      <c r="D95" s="32" t="s">
        <v>1773</v>
      </c>
      <c r="E95" s="32" t="s">
        <v>1785</v>
      </c>
      <c r="F95" s="32" t="s">
        <v>1786</v>
      </c>
      <c r="G95" s="33" t="s">
        <v>1186</v>
      </c>
      <c r="H95" s="34">
        <v>6</v>
      </c>
      <c r="I95" s="34">
        <v>5</v>
      </c>
      <c r="J95" s="34">
        <v>21</v>
      </c>
      <c r="K95" s="34">
        <v>36</v>
      </c>
      <c r="L95" s="135">
        <v>8</v>
      </c>
      <c r="M95" s="135">
        <v>12</v>
      </c>
      <c r="N95" s="135">
        <v>12</v>
      </c>
      <c r="O95" s="135">
        <v>18</v>
      </c>
      <c r="P95" s="218">
        <f t="shared" si="3"/>
        <v>118</v>
      </c>
    </row>
    <row r="96" spans="1:16" x14ac:dyDescent="0.35">
      <c r="A96" s="287"/>
      <c r="B96" s="287"/>
      <c r="C96" s="32" t="s">
        <v>1623</v>
      </c>
      <c r="D96" s="32" t="s">
        <v>1773</v>
      </c>
      <c r="E96" s="32" t="s">
        <v>1785</v>
      </c>
      <c r="F96" s="32" t="s">
        <v>1786</v>
      </c>
      <c r="G96" s="33" t="s">
        <v>1187</v>
      </c>
      <c r="H96" s="34">
        <v>2</v>
      </c>
      <c r="I96" s="34">
        <v>5</v>
      </c>
      <c r="J96" s="34">
        <v>73</v>
      </c>
      <c r="K96" s="34">
        <v>77</v>
      </c>
      <c r="L96" s="135">
        <v>7</v>
      </c>
      <c r="M96" s="135">
        <v>5</v>
      </c>
      <c r="N96" s="135">
        <v>15</v>
      </c>
      <c r="O96" s="135">
        <v>17</v>
      </c>
      <c r="P96" s="218">
        <f t="shared" si="3"/>
        <v>201</v>
      </c>
    </row>
    <row r="97" spans="1:16" x14ac:dyDescent="0.35">
      <c r="A97" s="287"/>
      <c r="B97" s="287"/>
      <c r="C97" s="32" t="s">
        <v>1623</v>
      </c>
      <c r="D97" s="32" t="s">
        <v>1773</v>
      </c>
      <c r="E97" s="32" t="s">
        <v>1785</v>
      </c>
      <c r="F97" s="32" t="s">
        <v>1786</v>
      </c>
      <c r="G97" s="33" t="s">
        <v>1188</v>
      </c>
      <c r="H97" s="34">
        <v>3</v>
      </c>
      <c r="I97" s="34">
        <v>4</v>
      </c>
      <c r="J97" s="34">
        <v>32</v>
      </c>
      <c r="K97" s="34">
        <v>46</v>
      </c>
      <c r="L97" s="135">
        <v>3</v>
      </c>
      <c r="M97" s="135">
        <v>5</v>
      </c>
      <c r="N97" s="135">
        <v>7</v>
      </c>
      <c r="O97" s="135">
        <v>10</v>
      </c>
      <c r="P97" s="218">
        <f t="shared" si="3"/>
        <v>110</v>
      </c>
    </row>
    <row r="98" spans="1:16" x14ac:dyDescent="0.35">
      <c r="A98" s="287"/>
      <c r="B98" s="287"/>
      <c r="C98" s="32" t="s">
        <v>1623</v>
      </c>
      <c r="D98" s="32" t="s">
        <v>1773</v>
      </c>
      <c r="E98" s="32" t="s">
        <v>1785</v>
      </c>
      <c r="F98" s="32" t="s">
        <v>1784</v>
      </c>
      <c r="G98" s="33" t="s">
        <v>1189</v>
      </c>
      <c r="H98" s="34">
        <v>1</v>
      </c>
      <c r="I98" s="34">
        <v>1</v>
      </c>
      <c r="J98" s="34">
        <v>31</v>
      </c>
      <c r="K98" s="34">
        <v>34</v>
      </c>
      <c r="L98" s="135">
        <v>7</v>
      </c>
      <c r="M98" s="135">
        <v>12</v>
      </c>
      <c r="N98" s="135">
        <v>8</v>
      </c>
      <c r="O98" s="135">
        <v>20</v>
      </c>
      <c r="P98" s="218">
        <f t="shared" si="3"/>
        <v>114</v>
      </c>
    </row>
    <row r="99" spans="1:16" x14ac:dyDescent="0.35">
      <c r="A99" s="287"/>
      <c r="B99" s="287"/>
      <c r="C99" s="32" t="s">
        <v>1623</v>
      </c>
      <c r="D99" s="32" t="s">
        <v>1773</v>
      </c>
      <c r="E99" s="32" t="s">
        <v>1785</v>
      </c>
      <c r="F99" s="32" t="s">
        <v>1787</v>
      </c>
      <c r="G99" s="33" t="s">
        <v>1190</v>
      </c>
      <c r="H99" s="34">
        <v>5</v>
      </c>
      <c r="I99" s="34">
        <v>1</v>
      </c>
      <c r="J99" s="34">
        <v>39</v>
      </c>
      <c r="K99" s="34">
        <v>48</v>
      </c>
      <c r="L99" s="135">
        <v>10</v>
      </c>
      <c r="M99" s="135">
        <v>9</v>
      </c>
      <c r="N99" s="135">
        <v>13</v>
      </c>
      <c r="O99" s="135">
        <v>15</v>
      </c>
      <c r="P99" s="218">
        <f t="shared" si="3"/>
        <v>140</v>
      </c>
    </row>
    <row r="100" spans="1:16" x14ac:dyDescent="0.35">
      <c r="A100" s="287"/>
      <c r="B100" s="287"/>
      <c r="C100" s="32" t="s">
        <v>1623</v>
      </c>
      <c r="D100" s="32" t="s">
        <v>1773</v>
      </c>
      <c r="E100" s="32" t="s">
        <v>1785</v>
      </c>
      <c r="F100" s="32" t="s">
        <v>1784</v>
      </c>
      <c r="G100" s="33" t="s">
        <v>1191</v>
      </c>
      <c r="H100" s="34">
        <v>3</v>
      </c>
      <c r="I100" s="34">
        <v>6</v>
      </c>
      <c r="J100" s="34">
        <v>42</v>
      </c>
      <c r="K100" s="34">
        <v>36</v>
      </c>
      <c r="L100" s="135">
        <v>10</v>
      </c>
      <c r="M100" s="135">
        <v>10</v>
      </c>
      <c r="N100" s="135">
        <v>10</v>
      </c>
      <c r="O100" s="135">
        <v>10</v>
      </c>
      <c r="P100" s="218">
        <f t="shared" si="3"/>
        <v>127</v>
      </c>
    </row>
    <row r="101" spans="1:16" x14ac:dyDescent="0.35">
      <c r="A101" s="287"/>
      <c r="B101" s="287"/>
      <c r="C101" s="32" t="s">
        <v>1623</v>
      </c>
      <c r="D101" s="32" t="s">
        <v>1773</v>
      </c>
      <c r="E101" s="32" t="s">
        <v>1785</v>
      </c>
      <c r="F101" s="32" t="s">
        <v>1788</v>
      </c>
      <c r="G101" s="33" t="s">
        <v>1192</v>
      </c>
      <c r="H101" s="34">
        <v>7</v>
      </c>
      <c r="I101" s="34">
        <v>8</v>
      </c>
      <c r="J101" s="34">
        <v>47</v>
      </c>
      <c r="K101" s="34">
        <v>49</v>
      </c>
      <c r="L101" s="135">
        <v>10</v>
      </c>
      <c r="M101" s="135">
        <v>11</v>
      </c>
      <c r="N101" s="135">
        <v>12</v>
      </c>
      <c r="O101" s="135">
        <v>12</v>
      </c>
      <c r="P101" s="218">
        <f t="shared" si="3"/>
        <v>156</v>
      </c>
    </row>
    <row r="102" spans="1:16" x14ac:dyDescent="0.35">
      <c r="A102" s="287"/>
      <c r="B102" s="287"/>
      <c r="C102" s="32" t="s">
        <v>1623</v>
      </c>
      <c r="D102" s="32" t="s">
        <v>1773</v>
      </c>
      <c r="E102" s="32" t="s">
        <v>1785</v>
      </c>
      <c r="F102" s="32" t="s">
        <v>1784</v>
      </c>
      <c r="G102" s="33" t="s">
        <v>1193</v>
      </c>
      <c r="H102" s="34">
        <v>3</v>
      </c>
      <c r="I102" s="34">
        <v>1</v>
      </c>
      <c r="J102" s="34">
        <v>38</v>
      </c>
      <c r="K102" s="34">
        <v>34</v>
      </c>
      <c r="L102" s="135">
        <v>6</v>
      </c>
      <c r="M102" s="135">
        <v>9</v>
      </c>
      <c r="N102" s="135">
        <v>10</v>
      </c>
      <c r="O102" s="135">
        <v>15</v>
      </c>
      <c r="P102" s="218">
        <f t="shared" si="3"/>
        <v>116</v>
      </c>
    </row>
    <row r="103" spans="1:16" x14ac:dyDescent="0.35">
      <c r="A103" s="287"/>
      <c r="B103" s="287"/>
      <c r="C103" s="32" t="s">
        <v>1623</v>
      </c>
      <c r="D103" s="32" t="s">
        <v>1773</v>
      </c>
      <c r="E103" s="32" t="s">
        <v>1785</v>
      </c>
      <c r="F103" s="32" t="s">
        <v>1784</v>
      </c>
      <c r="G103" s="33" t="s">
        <v>1194</v>
      </c>
      <c r="H103" s="34">
        <v>5</v>
      </c>
      <c r="I103" s="34">
        <v>3</v>
      </c>
      <c r="J103" s="34">
        <v>26</v>
      </c>
      <c r="K103" s="34">
        <v>29</v>
      </c>
      <c r="L103" s="135">
        <v>7</v>
      </c>
      <c r="M103" s="135">
        <v>8</v>
      </c>
      <c r="N103" s="135">
        <v>5</v>
      </c>
      <c r="O103" s="135">
        <v>6</v>
      </c>
      <c r="P103" s="218">
        <f t="shared" si="3"/>
        <v>89</v>
      </c>
    </row>
    <row r="104" spans="1:16" x14ac:dyDescent="0.35">
      <c r="A104" s="287"/>
      <c r="B104" s="287"/>
      <c r="C104" s="32" t="s">
        <v>1623</v>
      </c>
      <c r="D104" s="32" t="s">
        <v>1773</v>
      </c>
      <c r="E104" s="32" t="s">
        <v>1785</v>
      </c>
      <c r="F104" s="32" t="s">
        <v>1788</v>
      </c>
      <c r="G104" s="33" t="s">
        <v>1195</v>
      </c>
      <c r="H104" s="34">
        <v>3</v>
      </c>
      <c r="I104" s="34">
        <v>4</v>
      </c>
      <c r="J104" s="34">
        <v>32</v>
      </c>
      <c r="K104" s="34">
        <v>36</v>
      </c>
      <c r="L104" s="135">
        <v>9</v>
      </c>
      <c r="M104" s="135">
        <v>10</v>
      </c>
      <c r="N104" s="135">
        <v>9</v>
      </c>
      <c r="O104" s="135">
        <v>11</v>
      </c>
      <c r="P104" s="218">
        <f t="shared" si="3"/>
        <v>114</v>
      </c>
    </row>
    <row r="105" spans="1:16" x14ac:dyDescent="0.35">
      <c r="A105" s="287"/>
      <c r="B105" s="287"/>
      <c r="C105" s="32" t="s">
        <v>1623</v>
      </c>
      <c r="D105" s="32" t="s">
        <v>1773</v>
      </c>
      <c r="E105" s="32" t="s">
        <v>1785</v>
      </c>
      <c r="F105" s="32" t="s">
        <v>1788</v>
      </c>
      <c r="G105" s="33" t="s">
        <v>1196</v>
      </c>
      <c r="H105" s="34">
        <v>7</v>
      </c>
      <c r="I105" s="34">
        <v>3</v>
      </c>
      <c r="J105" s="34">
        <v>39</v>
      </c>
      <c r="K105" s="34">
        <v>43</v>
      </c>
      <c r="L105" s="135">
        <v>10</v>
      </c>
      <c r="M105" s="135">
        <v>11</v>
      </c>
      <c r="N105" s="135">
        <v>12</v>
      </c>
      <c r="O105" s="135">
        <v>14</v>
      </c>
      <c r="P105" s="218">
        <f t="shared" si="3"/>
        <v>139</v>
      </c>
    </row>
    <row r="106" spans="1:16" x14ac:dyDescent="0.35">
      <c r="A106" s="287"/>
      <c r="B106" s="287"/>
      <c r="C106" s="32" t="s">
        <v>1623</v>
      </c>
      <c r="D106" s="32" t="s">
        <v>1773</v>
      </c>
      <c r="E106" s="32" t="s">
        <v>1785</v>
      </c>
      <c r="F106" s="32" t="s">
        <v>1788</v>
      </c>
      <c r="G106" s="33" t="s">
        <v>1197</v>
      </c>
      <c r="H106" s="34">
        <v>6</v>
      </c>
      <c r="I106" s="34">
        <v>4</v>
      </c>
      <c r="J106" s="34">
        <v>34</v>
      </c>
      <c r="K106" s="34">
        <v>44</v>
      </c>
      <c r="L106" s="135">
        <v>9</v>
      </c>
      <c r="M106" s="135">
        <v>12</v>
      </c>
      <c r="N106" s="135">
        <v>16</v>
      </c>
      <c r="O106" s="135">
        <v>20</v>
      </c>
      <c r="P106" s="218">
        <f t="shared" si="3"/>
        <v>145</v>
      </c>
    </row>
    <row r="107" spans="1:16" x14ac:dyDescent="0.35">
      <c r="A107" s="287"/>
      <c r="B107" s="287"/>
      <c r="C107" s="32" t="s">
        <v>1623</v>
      </c>
      <c r="D107" s="32" t="s">
        <v>1773</v>
      </c>
      <c r="E107" s="32" t="s">
        <v>1785</v>
      </c>
      <c r="F107" s="32" t="s">
        <v>1788</v>
      </c>
      <c r="G107" s="33" t="s">
        <v>1198</v>
      </c>
      <c r="H107" s="34">
        <v>3</v>
      </c>
      <c r="I107" s="34">
        <v>9</v>
      </c>
      <c r="J107" s="34">
        <v>32</v>
      </c>
      <c r="K107" s="34">
        <v>34</v>
      </c>
      <c r="L107" s="135">
        <v>4</v>
      </c>
      <c r="M107" s="135">
        <v>6</v>
      </c>
      <c r="N107" s="135">
        <v>10</v>
      </c>
      <c r="O107" s="135">
        <v>7</v>
      </c>
      <c r="P107" s="218">
        <f t="shared" si="3"/>
        <v>105</v>
      </c>
    </row>
    <row r="108" spans="1:16" x14ac:dyDescent="0.35">
      <c r="A108" s="287"/>
      <c r="B108" s="287"/>
      <c r="C108" s="32" t="s">
        <v>1623</v>
      </c>
      <c r="D108" s="32" t="s">
        <v>1773</v>
      </c>
      <c r="E108" s="32" t="s">
        <v>1785</v>
      </c>
      <c r="F108" s="32" t="s">
        <v>1788</v>
      </c>
      <c r="G108" s="33" t="s">
        <v>1199</v>
      </c>
      <c r="H108" s="34">
        <v>2</v>
      </c>
      <c r="I108" s="34">
        <v>6</v>
      </c>
      <c r="J108" s="34">
        <v>39</v>
      </c>
      <c r="K108" s="34">
        <v>40</v>
      </c>
      <c r="L108" s="135">
        <v>9</v>
      </c>
      <c r="M108" s="135">
        <v>7</v>
      </c>
      <c r="N108" s="135">
        <v>10</v>
      </c>
      <c r="O108" s="135">
        <v>15</v>
      </c>
      <c r="P108" s="218">
        <f t="shared" si="3"/>
        <v>128</v>
      </c>
    </row>
    <row r="109" spans="1:16" x14ac:dyDescent="0.35">
      <c r="A109" s="287"/>
      <c r="B109" s="287"/>
      <c r="C109" s="32" t="s">
        <v>1623</v>
      </c>
      <c r="D109" s="32" t="s">
        <v>1773</v>
      </c>
      <c r="E109" s="32" t="s">
        <v>1785</v>
      </c>
      <c r="F109" s="32" t="s">
        <v>1788</v>
      </c>
      <c r="G109" s="33" t="s">
        <v>1200</v>
      </c>
      <c r="H109" s="34">
        <v>2</v>
      </c>
      <c r="I109" s="34">
        <v>1</v>
      </c>
      <c r="J109" s="34">
        <v>26</v>
      </c>
      <c r="K109" s="34">
        <v>30</v>
      </c>
      <c r="L109" s="135">
        <v>8</v>
      </c>
      <c r="M109" s="135">
        <v>9</v>
      </c>
      <c r="N109" s="135">
        <v>5</v>
      </c>
      <c r="O109" s="135">
        <v>8</v>
      </c>
      <c r="P109" s="218">
        <f t="shared" si="3"/>
        <v>89</v>
      </c>
    </row>
    <row r="110" spans="1:16" x14ac:dyDescent="0.35">
      <c r="A110" s="287"/>
      <c r="B110" s="287"/>
      <c r="C110" s="32" t="s">
        <v>1623</v>
      </c>
      <c r="D110" s="32" t="s">
        <v>1773</v>
      </c>
      <c r="E110" s="32" t="s">
        <v>1785</v>
      </c>
      <c r="F110" s="32" t="s">
        <v>1788</v>
      </c>
      <c r="G110" s="33" t="s">
        <v>1201</v>
      </c>
      <c r="H110" s="34">
        <v>2</v>
      </c>
      <c r="I110" s="34">
        <v>3</v>
      </c>
      <c r="J110" s="34">
        <v>41</v>
      </c>
      <c r="K110" s="34">
        <v>38</v>
      </c>
      <c r="L110" s="135">
        <v>13</v>
      </c>
      <c r="M110" s="135">
        <v>16</v>
      </c>
      <c r="N110" s="135">
        <v>8</v>
      </c>
      <c r="O110" s="135">
        <v>7</v>
      </c>
      <c r="P110" s="218">
        <f t="shared" si="3"/>
        <v>128</v>
      </c>
    </row>
    <row r="111" spans="1:16" x14ac:dyDescent="0.35">
      <c r="A111" s="287"/>
      <c r="B111" s="287"/>
      <c r="C111" s="32" t="s">
        <v>1623</v>
      </c>
      <c r="D111" s="32" t="s">
        <v>1773</v>
      </c>
      <c r="E111" s="32" t="s">
        <v>1785</v>
      </c>
      <c r="F111" s="32" t="s">
        <v>1787</v>
      </c>
      <c r="G111" s="33" t="s">
        <v>1202</v>
      </c>
      <c r="H111" s="34">
        <v>1</v>
      </c>
      <c r="I111" s="34">
        <v>3</v>
      </c>
      <c r="J111" s="34">
        <v>32</v>
      </c>
      <c r="K111" s="34">
        <v>43</v>
      </c>
      <c r="L111" s="135">
        <v>3</v>
      </c>
      <c r="M111" s="135">
        <v>6</v>
      </c>
      <c r="N111" s="135">
        <v>16</v>
      </c>
      <c r="O111" s="135">
        <v>10</v>
      </c>
      <c r="P111" s="218">
        <f t="shared" si="3"/>
        <v>114</v>
      </c>
    </row>
    <row r="112" spans="1:16" x14ac:dyDescent="0.35">
      <c r="A112" s="287"/>
      <c r="B112" s="287"/>
      <c r="C112" s="32" t="s">
        <v>1623</v>
      </c>
      <c r="D112" s="32" t="s">
        <v>1773</v>
      </c>
      <c r="E112" s="32" t="s">
        <v>1785</v>
      </c>
      <c r="F112" s="32" t="s">
        <v>1788</v>
      </c>
      <c r="G112" s="33" t="s">
        <v>1203</v>
      </c>
      <c r="H112" s="34">
        <v>12</v>
      </c>
      <c r="I112" s="34">
        <v>5</v>
      </c>
      <c r="J112" s="34">
        <v>31</v>
      </c>
      <c r="K112" s="34">
        <v>38</v>
      </c>
      <c r="L112" s="135">
        <v>8</v>
      </c>
      <c r="M112" s="135">
        <v>6</v>
      </c>
      <c r="N112" s="135">
        <v>5</v>
      </c>
      <c r="O112" s="135">
        <v>7</v>
      </c>
      <c r="P112" s="218">
        <f t="shared" si="3"/>
        <v>112</v>
      </c>
    </row>
    <row r="113" spans="1:16" x14ac:dyDescent="0.35">
      <c r="A113" s="287"/>
      <c r="B113" s="287"/>
      <c r="C113" s="32" t="s">
        <v>1623</v>
      </c>
      <c r="D113" s="32" t="s">
        <v>1773</v>
      </c>
      <c r="E113" s="32" t="s">
        <v>1785</v>
      </c>
      <c r="F113" s="32" t="s">
        <v>1788</v>
      </c>
      <c r="G113" s="33" t="s">
        <v>1204</v>
      </c>
      <c r="H113" s="34">
        <v>2</v>
      </c>
      <c r="I113" s="34">
        <v>4</v>
      </c>
      <c r="J113" s="34">
        <v>38</v>
      </c>
      <c r="K113" s="34">
        <v>56</v>
      </c>
      <c r="L113" s="135">
        <v>8</v>
      </c>
      <c r="M113" s="135">
        <v>9</v>
      </c>
      <c r="N113" s="135">
        <v>12</v>
      </c>
      <c r="O113" s="135">
        <v>13</v>
      </c>
      <c r="P113" s="218">
        <f t="shared" si="3"/>
        <v>142</v>
      </c>
    </row>
    <row r="114" spans="1:16" x14ac:dyDescent="0.35">
      <c r="A114" s="287"/>
      <c r="B114" s="287"/>
      <c r="C114" s="32" t="s">
        <v>1623</v>
      </c>
      <c r="D114" s="32" t="s">
        <v>1773</v>
      </c>
      <c r="E114" s="32" t="s">
        <v>1785</v>
      </c>
      <c r="F114" s="32" t="s">
        <v>1787</v>
      </c>
      <c r="G114" s="36" t="s">
        <v>1205</v>
      </c>
      <c r="H114" s="34">
        <v>7</v>
      </c>
      <c r="I114" s="34">
        <v>3</v>
      </c>
      <c r="J114" s="34">
        <v>68</v>
      </c>
      <c r="K114" s="34">
        <v>56</v>
      </c>
      <c r="L114" s="135">
        <v>10</v>
      </c>
      <c r="M114" s="135">
        <v>14</v>
      </c>
      <c r="N114" s="135">
        <v>13</v>
      </c>
      <c r="O114" s="135">
        <v>21</v>
      </c>
      <c r="P114" s="218">
        <f t="shared" si="3"/>
        <v>192</v>
      </c>
    </row>
    <row r="115" spans="1:16" x14ac:dyDescent="0.35">
      <c r="A115" s="287"/>
      <c r="B115" s="287"/>
      <c r="C115" s="32" t="s">
        <v>1623</v>
      </c>
      <c r="D115" s="32" t="s">
        <v>1773</v>
      </c>
      <c r="E115" s="32" t="s">
        <v>1785</v>
      </c>
      <c r="F115" s="32" t="s">
        <v>1787</v>
      </c>
      <c r="G115" s="33" t="s">
        <v>1206</v>
      </c>
      <c r="H115" s="34">
        <v>2</v>
      </c>
      <c r="I115" s="34">
        <v>4</v>
      </c>
      <c r="J115" s="34">
        <v>52</v>
      </c>
      <c r="K115" s="34">
        <v>48</v>
      </c>
      <c r="L115" s="135">
        <v>8</v>
      </c>
      <c r="M115" s="135">
        <v>10</v>
      </c>
      <c r="N115" s="135">
        <v>11</v>
      </c>
      <c r="O115" s="135">
        <v>19</v>
      </c>
      <c r="P115" s="218">
        <f t="shared" si="3"/>
        <v>154</v>
      </c>
    </row>
    <row r="116" spans="1:16" x14ac:dyDescent="0.35">
      <c r="A116" s="287"/>
      <c r="B116" s="287"/>
      <c r="C116" s="32" t="s">
        <v>1623</v>
      </c>
      <c r="D116" s="32" t="s">
        <v>1773</v>
      </c>
      <c r="E116" s="32" t="s">
        <v>1785</v>
      </c>
      <c r="F116" s="32" t="s">
        <v>1787</v>
      </c>
      <c r="G116" s="33" t="s">
        <v>1207</v>
      </c>
      <c r="H116" s="34">
        <v>3</v>
      </c>
      <c r="I116" s="34">
        <v>3</v>
      </c>
      <c r="J116" s="34">
        <v>28</v>
      </c>
      <c r="K116" s="34">
        <v>39</v>
      </c>
      <c r="L116" s="135">
        <v>6</v>
      </c>
      <c r="M116" s="135">
        <v>6</v>
      </c>
      <c r="N116" s="135">
        <v>10</v>
      </c>
      <c r="O116" s="135">
        <v>8</v>
      </c>
      <c r="P116" s="218">
        <f t="shared" si="3"/>
        <v>103</v>
      </c>
    </row>
    <row r="117" spans="1:16" x14ac:dyDescent="0.35">
      <c r="A117" s="287"/>
      <c r="B117" s="287"/>
      <c r="C117" s="32" t="s">
        <v>1623</v>
      </c>
      <c r="D117" s="32" t="s">
        <v>1773</v>
      </c>
      <c r="E117" s="32" t="s">
        <v>1785</v>
      </c>
      <c r="F117" s="32" t="s">
        <v>1787</v>
      </c>
      <c r="G117" s="33" t="s">
        <v>1208</v>
      </c>
      <c r="H117" s="34">
        <v>7</v>
      </c>
      <c r="I117" s="34">
        <v>9</v>
      </c>
      <c r="J117" s="34">
        <v>39</v>
      </c>
      <c r="K117" s="34">
        <v>37</v>
      </c>
      <c r="L117" s="135">
        <v>8</v>
      </c>
      <c r="M117" s="135">
        <v>10</v>
      </c>
      <c r="N117" s="135">
        <v>10</v>
      </c>
      <c r="O117" s="135">
        <v>12</v>
      </c>
      <c r="P117" s="218">
        <f t="shared" si="3"/>
        <v>132</v>
      </c>
    </row>
    <row r="118" spans="1:16" x14ac:dyDescent="0.35">
      <c r="A118" s="287"/>
      <c r="B118" s="287"/>
      <c r="C118" s="32" t="s">
        <v>1623</v>
      </c>
      <c r="D118" s="32" t="s">
        <v>1773</v>
      </c>
      <c r="E118" s="32" t="s">
        <v>1785</v>
      </c>
      <c r="F118" s="32" t="s">
        <v>1787</v>
      </c>
      <c r="G118" s="33" t="s">
        <v>1209</v>
      </c>
      <c r="H118" s="34">
        <v>2</v>
      </c>
      <c r="I118" s="34">
        <v>2</v>
      </c>
      <c r="J118" s="34">
        <v>37</v>
      </c>
      <c r="K118" s="34">
        <v>31</v>
      </c>
      <c r="L118" s="135">
        <v>6</v>
      </c>
      <c r="M118" s="135">
        <v>6</v>
      </c>
      <c r="N118" s="135">
        <v>13</v>
      </c>
      <c r="O118" s="135">
        <v>11</v>
      </c>
      <c r="P118" s="218">
        <f t="shared" si="3"/>
        <v>108</v>
      </c>
    </row>
    <row r="119" spans="1:16" x14ac:dyDescent="0.35">
      <c r="A119" s="287"/>
      <c r="B119" s="287"/>
      <c r="C119" s="32" t="s">
        <v>1623</v>
      </c>
      <c r="D119" s="32" t="s">
        <v>1773</v>
      </c>
      <c r="E119" s="32" t="s">
        <v>1785</v>
      </c>
      <c r="F119" s="32" t="s">
        <v>1788</v>
      </c>
      <c r="G119" s="33" t="s">
        <v>1210</v>
      </c>
      <c r="H119" s="34">
        <v>5</v>
      </c>
      <c r="I119" s="34">
        <v>7</v>
      </c>
      <c r="J119" s="34">
        <v>32</v>
      </c>
      <c r="K119" s="34">
        <v>42</v>
      </c>
      <c r="L119" s="135">
        <v>4</v>
      </c>
      <c r="M119" s="135">
        <v>4</v>
      </c>
      <c r="N119" s="135">
        <v>16</v>
      </c>
      <c r="O119" s="135">
        <v>8</v>
      </c>
      <c r="P119" s="218">
        <f t="shared" si="3"/>
        <v>118</v>
      </c>
    </row>
    <row r="120" spans="1:16" x14ac:dyDescent="0.35">
      <c r="A120" s="287"/>
      <c r="B120" s="287"/>
      <c r="C120" s="32" t="s">
        <v>1623</v>
      </c>
      <c r="D120" s="32" t="s">
        <v>1773</v>
      </c>
      <c r="E120" s="32" t="s">
        <v>1785</v>
      </c>
      <c r="F120" s="32" t="s">
        <v>1787</v>
      </c>
      <c r="G120" s="33" t="s">
        <v>1211</v>
      </c>
      <c r="H120" s="34">
        <v>8</v>
      </c>
      <c r="I120" s="34">
        <v>3</v>
      </c>
      <c r="J120" s="34">
        <v>42</v>
      </c>
      <c r="K120" s="34">
        <v>57</v>
      </c>
      <c r="L120" s="135">
        <v>12</v>
      </c>
      <c r="M120" s="135">
        <v>13</v>
      </c>
      <c r="N120" s="135">
        <v>13</v>
      </c>
      <c r="O120" s="135">
        <v>15</v>
      </c>
      <c r="P120" s="218">
        <f t="shared" si="3"/>
        <v>163</v>
      </c>
    </row>
    <row r="121" spans="1:16" x14ac:dyDescent="0.35">
      <c r="A121" s="287"/>
      <c r="B121" s="287"/>
      <c r="C121" s="32" t="s">
        <v>1623</v>
      </c>
      <c r="D121" s="32" t="s">
        <v>1773</v>
      </c>
      <c r="E121" s="32" t="s">
        <v>1785</v>
      </c>
      <c r="F121" s="32" t="s">
        <v>1787</v>
      </c>
      <c r="G121" s="33" t="s">
        <v>1212</v>
      </c>
      <c r="H121" s="34">
        <v>4</v>
      </c>
      <c r="I121" s="34">
        <v>2</v>
      </c>
      <c r="J121" s="34">
        <v>39</v>
      </c>
      <c r="K121" s="34">
        <v>47</v>
      </c>
      <c r="L121" s="135">
        <v>5</v>
      </c>
      <c r="M121" s="135">
        <v>9</v>
      </c>
      <c r="N121" s="135">
        <v>16</v>
      </c>
      <c r="O121" s="135">
        <v>11</v>
      </c>
      <c r="P121" s="218">
        <f t="shared" si="3"/>
        <v>133</v>
      </c>
    </row>
    <row r="122" spans="1:16" x14ac:dyDescent="0.35">
      <c r="A122" s="287"/>
      <c r="B122" s="287"/>
      <c r="C122" s="32" t="s">
        <v>1623</v>
      </c>
      <c r="D122" s="32" t="s">
        <v>1773</v>
      </c>
      <c r="E122" s="32" t="s">
        <v>1785</v>
      </c>
      <c r="F122" s="32" t="s">
        <v>1788</v>
      </c>
      <c r="G122" s="33" t="s">
        <v>1213</v>
      </c>
      <c r="H122" s="34">
        <v>7</v>
      </c>
      <c r="I122" s="34">
        <v>3</v>
      </c>
      <c r="J122" s="34">
        <v>48</v>
      </c>
      <c r="K122" s="34">
        <v>37</v>
      </c>
      <c r="L122" s="135">
        <v>13</v>
      </c>
      <c r="M122" s="135">
        <v>12</v>
      </c>
      <c r="N122" s="135">
        <v>11</v>
      </c>
      <c r="O122" s="135">
        <v>9</v>
      </c>
      <c r="P122" s="218">
        <f t="shared" si="3"/>
        <v>140</v>
      </c>
    </row>
    <row r="123" spans="1:16" x14ac:dyDescent="0.35">
      <c r="A123" s="287"/>
      <c r="B123" s="287"/>
      <c r="C123" s="32" t="s">
        <v>1623</v>
      </c>
      <c r="D123" s="32" t="s">
        <v>1773</v>
      </c>
      <c r="E123" s="32" t="s">
        <v>1785</v>
      </c>
      <c r="F123" s="32" t="s">
        <v>1788</v>
      </c>
      <c r="G123" s="33" t="s">
        <v>1214</v>
      </c>
      <c r="H123" s="34">
        <v>7</v>
      </c>
      <c r="I123" s="34">
        <v>13</v>
      </c>
      <c r="J123" s="34">
        <v>53</v>
      </c>
      <c r="K123" s="34">
        <v>42</v>
      </c>
      <c r="L123" s="135">
        <v>8</v>
      </c>
      <c r="M123" s="135">
        <v>12</v>
      </c>
      <c r="N123" s="135">
        <v>11</v>
      </c>
      <c r="O123" s="135">
        <v>9</v>
      </c>
      <c r="P123" s="218">
        <f t="shared" si="3"/>
        <v>155</v>
      </c>
    </row>
    <row r="124" spans="1:16" x14ac:dyDescent="0.35">
      <c r="A124" s="287"/>
      <c r="B124" s="287"/>
      <c r="C124" s="32" t="s">
        <v>1623</v>
      </c>
      <c r="D124" s="32" t="s">
        <v>1773</v>
      </c>
      <c r="E124" s="32" t="s">
        <v>1785</v>
      </c>
      <c r="F124" s="32" t="s">
        <v>1787</v>
      </c>
      <c r="G124" s="36" t="s">
        <v>1215</v>
      </c>
      <c r="H124" s="34">
        <v>4</v>
      </c>
      <c r="I124" s="34">
        <v>4</v>
      </c>
      <c r="J124" s="34">
        <v>47</v>
      </c>
      <c r="K124" s="34">
        <v>39</v>
      </c>
      <c r="L124" s="135">
        <v>7</v>
      </c>
      <c r="M124" s="135">
        <v>8</v>
      </c>
      <c r="N124" s="135">
        <v>10</v>
      </c>
      <c r="O124" s="135">
        <v>13</v>
      </c>
      <c r="P124" s="218">
        <f t="shared" si="3"/>
        <v>132</v>
      </c>
    </row>
    <row r="125" spans="1:16" x14ac:dyDescent="0.35">
      <c r="A125" s="287"/>
      <c r="B125" s="287"/>
      <c r="C125" s="32" t="s">
        <v>1623</v>
      </c>
      <c r="D125" s="32" t="s">
        <v>1773</v>
      </c>
      <c r="E125" s="32" t="s">
        <v>1785</v>
      </c>
      <c r="F125" s="32" t="s">
        <v>1788</v>
      </c>
      <c r="G125" s="33" t="s">
        <v>1216</v>
      </c>
      <c r="H125" s="34">
        <v>4</v>
      </c>
      <c r="I125" s="34">
        <v>8</v>
      </c>
      <c r="J125" s="34">
        <v>39</v>
      </c>
      <c r="K125" s="34">
        <v>48</v>
      </c>
      <c r="L125" s="135">
        <v>6</v>
      </c>
      <c r="M125" s="135">
        <v>9</v>
      </c>
      <c r="N125" s="135">
        <v>12</v>
      </c>
      <c r="O125" s="135">
        <v>13</v>
      </c>
      <c r="P125" s="218">
        <f t="shared" si="3"/>
        <v>139</v>
      </c>
    </row>
    <row r="126" spans="1:16" x14ac:dyDescent="0.35">
      <c r="A126" s="287"/>
      <c r="B126" s="287"/>
      <c r="C126" s="32" t="s">
        <v>1623</v>
      </c>
      <c r="D126" s="32" t="s">
        <v>1773</v>
      </c>
      <c r="E126" s="32" t="s">
        <v>1785</v>
      </c>
      <c r="F126" s="32" t="s">
        <v>1788</v>
      </c>
      <c r="G126" s="33" t="s">
        <v>1217</v>
      </c>
      <c r="H126" s="34">
        <v>6</v>
      </c>
      <c r="I126" s="34">
        <v>4</v>
      </c>
      <c r="J126" s="34">
        <v>59</v>
      </c>
      <c r="K126" s="34">
        <v>39</v>
      </c>
      <c r="L126" s="135">
        <v>6</v>
      </c>
      <c r="M126" s="135">
        <v>4</v>
      </c>
      <c r="N126" s="135">
        <v>12</v>
      </c>
      <c r="O126" s="135">
        <v>16</v>
      </c>
      <c r="P126" s="218">
        <f t="shared" si="3"/>
        <v>146</v>
      </c>
    </row>
    <row r="127" spans="1:16" x14ac:dyDescent="0.35">
      <c r="A127" s="287"/>
      <c r="B127" s="287"/>
      <c r="C127" s="32" t="s">
        <v>1623</v>
      </c>
      <c r="D127" s="32" t="s">
        <v>1773</v>
      </c>
      <c r="E127" s="32" t="s">
        <v>1785</v>
      </c>
      <c r="F127" s="32" t="s">
        <v>1788</v>
      </c>
      <c r="G127" s="33" t="s">
        <v>1218</v>
      </c>
      <c r="H127" s="34">
        <v>9</v>
      </c>
      <c r="I127" s="34">
        <v>5</v>
      </c>
      <c r="J127" s="34">
        <v>18</v>
      </c>
      <c r="K127" s="34">
        <v>24</v>
      </c>
      <c r="L127" s="135">
        <v>7</v>
      </c>
      <c r="M127" s="135">
        <v>5</v>
      </c>
      <c r="N127" s="135">
        <v>9</v>
      </c>
      <c r="O127" s="135">
        <v>6</v>
      </c>
      <c r="P127" s="218">
        <f t="shared" si="3"/>
        <v>83</v>
      </c>
    </row>
    <row r="128" spans="1:16" x14ac:dyDescent="0.35">
      <c r="A128" s="287"/>
      <c r="B128" s="287"/>
      <c r="C128" s="32" t="s">
        <v>1623</v>
      </c>
      <c r="D128" s="32" t="s">
        <v>1773</v>
      </c>
      <c r="E128" s="32" t="s">
        <v>1785</v>
      </c>
      <c r="F128" s="32" t="s">
        <v>1789</v>
      </c>
      <c r="G128" s="33" t="s">
        <v>1219</v>
      </c>
      <c r="H128" s="34">
        <v>5</v>
      </c>
      <c r="I128" s="34">
        <v>8</v>
      </c>
      <c r="J128" s="34">
        <v>26</v>
      </c>
      <c r="K128" s="34">
        <v>40</v>
      </c>
      <c r="L128" s="135">
        <v>7</v>
      </c>
      <c r="M128" s="135">
        <v>9</v>
      </c>
      <c r="N128" s="135">
        <v>9</v>
      </c>
      <c r="O128" s="135">
        <v>11</v>
      </c>
      <c r="P128" s="218">
        <f t="shared" si="3"/>
        <v>115</v>
      </c>
    </row>
    <row r="129" spans="1:16" x14ac:dyDescent="0.35">
      <c r="A129" s="287"/>
      <c r="B129" s="287"/>
      <c r="C129" s="32" t="s">
        <v>1623</v>
      </c>
      <c r="D129" s="32" t="s">
        <v>1773</v>
      </c>
      <c r="E129" s="32" t="s">
        <v>1785</v>
      </c>
      <c r="F129" s="32" t="s">
        <v>1789</v>
      </c>
      <c r="G129" s="33" t="s">
        <v>1220</v>
      </c>
      <c r="H129" s="34">
        <v>3</v>
      </c>
      <c r="I129" s="34">
        <v>7</v>
      </c>
      <c r="J129" s="34">
        <v>28</v>
      </c>
      <c r="K129" s="34">
        <v>22</v>
      </c>
      <c r="L129" s="135">
        <v>5</v>
      </c>
      <c r="M129" s="135">
        <v>5</v>
      </c>
      <c r="N129" s="135">
        <v>11</v>
      </c>
      <c r="O129" s="135">
        <v>9</v>
      </c>
      <c r="P129" s="218">
        <f t="shared" si="3"/>
        <v>90</v>
      </c>
    </row>
    <row r="130" spans="1:16" x14ac:dyDescent="0.35">
      <c r="A130" s="287"/>
      <c r="B130" s="287"/>
      <c r="C130" s="32" t="s">
        <v>1623</v>
      </c>
      <c r="D130" s="32" t="s">
        <v>1773</v>
      </c>
      <c r="E130" s="32" t="s">
        <v>1785</v>
      </c>
      <c r="F130" s="32" t="s">
        <v>1787</v>
      </c>
      <c r="G130" s="33" t="s">
        <v>1221</v>
      </c>
      <c r="H130" s="34">
        <v>6</v>
      </c>
      <c r="I130" s="34">
        <v>4</v>
      </c>
      <c r="J130" s="34">
        <v>19</v>
      </c>
      <c r="K130" s="34">
        <v>33</v>
      </c>
      <c r="L130" s="135">
        <v>5</v>
      </c>
      <c r="M130" s="135">
        <v>3</v>
      </c>
      <c r="N130" s="135">
        <v>4</v>
      </c>
      <c r="O130" s="135">
        <v>6</v>
      </c>
      <c r="P130" s="218">
        <f t="shared" si="3"/>
        <v>80</v>
      </c>
    </row>
    <row r="131" spans="1:16" x14ac:dyDescent="0.35">
      <c r="A131" s="287"/>
      <c r="B131" s="287"/>
      <c r="C131" s="32" t="s">
        <v>1623</v>
      </c>
      <c r="D131" s="32" t="s">
        <v>1773</v>
      </c>
      <c r="E131" s="32" t="s">
        <v>1785</v>
      </c>
      <c r="F131" s="32" t="s">
        <v>1787</v>
      </c>
      <c r="G131" s="33" t="s">
        <v>1222</v>
      </c>
      <c r="H131" s="34">
        <v>5</v>
      </c>
      <c r="I131" s="34">
        <v>5</v>
      </c>
      <c r="J131" s="34">
        <v>51</v>
      </c>
      <c r="K131" s="34">
        <v>35</v>
      </c>
      <c r="L131" s="135">
        <v>5</v>
      </c>
      <c r="M131" s="135">
        <v>8</v>
      </c>
      <c r="N131" s="135">
        <v>9</v>
      </c>
      <c r="O131" s="135">
        <v>13</v>
      </c>
      <c r="P131" s="218">
        <f t="shared" si="3"/>
        <v>131</v>
      </c>
    </row>
    <row r="132" spans="1:16" x14ac:dyDescent="0.35">
      <c r="A132" s="287"/>
      <c r="B132" s="287"/>
      <c r="C132" s="32" t="s">
        <v>1623</v>
      </c>
      <c r="D132" s="32" t="s">
        <v>1773</v>
      </c>
      <c r="E132" s="32" t="s">
        <v>1785</v>
      </c>
      <c r="F132" s="32" t="s">
        <v>1789</v>
      </c>
      <c r="G132" s="33" t="s">
        <v>1223</v>
      </c>
      <c r="H132" s="34">
        <v>1</v>
      </c>
      <c r="I132" s="34">
        <v>3</v>
      </c>
      <c r="J132" s="34">
        <v>27</v>
      </c>
      <c r="K132" s="34">
        <v>23</v>
      </c>
      <c r="L132" s="135">
        <v>5</v>
      </c>
      <c r="M132" s="135">
        <v>5</v>
      </c>
      <c r="N132" s="135">
        <v>8</v>
      </c>
      <c r="O132" s="135">
        <v>7</v>
      </c>
      <c r="P132" s="218">
        <f t="shared" si="3"/>
        <v>79</v>
      </c>
    </row>
    <row r="133" spans="1:16" x14ac:dyDescent="0.35">
      <c r="A133" s="287"/>
      <c r="B133" s="287"/>
      <c r="C133" s="32" t="s">
        <v>1623</v>
      </c>
      <c r="D133" s="32" t="s">
        <v>1773</v>
      </c>
      <c r="E133" s="32" t="s">
        <v>1785</v>
      </c>
      <c r="F133" s="32" t="s">
        <v>1788</v>
      </c>
      <c r="G133" s="33" t="s">
        <v>1224</v>
      </c>
      <c r="H133" s="34">
        <v>2</v>
      </c>
      <c r="I133" s="34">
        <v>2</v>
      </c>
      <c r="J133" s="34">
        <v>18</v>
      </c>
      <c r="K133" s="34">
        <v>34</v>
      </c>
      <c r="L133" s="135">
        <v>4</v>
      </c>
      <c r="M133" s="135">
        <v>6</v>
      </c>
      <c r="N133" s="135">
        <v>9</v>
      </c>
      <c r="O133" s="135">
        <v>6</v>
      </c>
      <c r="P133" s="218">
        <f t="shared" si="3"/>
        <v>81</v>
      </c>
    </row>
    <row r="134" spans="1:16" x14ac:dyDescent="0.35">
      <c r="A134" s="287"/>
      <c r="B134" s="287"/>
      <c r="C134" s="32" t="s">
        <v>1623</v>
      </c>
      <c r="D134" s="32" t="s">
        <v>1773</v>
      </c>
      <c r="E134" s="32" t="s">
        <v>1785</v>
      </c>
      <c r="F134" s="32" t="s">
        <v>1784</v>
      </c>
      <c r="G134" s="33" t="s">
        <v>1225</v>
      </c>
      <c r="H134" s="34">
        <v>5</v>
      </c>
      <c r="I134" s="34">
        <v>6</v>
      </c>
      <c r="J134" s="34">
        <v>20</v>
      </c>
      <c r="K134" s="34">
        <v>32</v>
      </c>
      <c r="L134" s="135">
        <v>7</v>
      </c>
      <c r="M134" s="135">
        <v>4</v>
      </c>
      <c r="N134" s="135">
        <v>4</v>
      </c>
      <c r="O134" s="135">
        <v>8</v>
      </c>
      <c r="P134" s="218">
        <f t="shared" ref="P134:P197" si="4">H134+I134+J134+K134+L134+M134+N134+O134</f>
        <v>86</v>
      </c>
    </row>
    <row r="135" spans="1:16" x14ac:dyDescent="0.35">
      <c r="A135" s="287"/>
      <c r="B135" s="287"/>
      <c r="C135" s="32" t="s">
        <v>1623</v>
      </c>
      <c r="D135" s="32" t="s">
        <v>1773</v>
      </c>
      <c r="E135" s="32" t="s">
        <v>1785</v>
      </c>
      <c r="F135" s="32" t="s">
        <v>1789</v>
      </c>
      <c r="G135" s="33" t="s">
        <v>1226</v>
      </c>
      <c r="H135" s="34">
        <v>2</v>
      </c>
      <c r="I135" s="34">
        <v>4</v>
      </c>
      <c r="J135" s="34">
        <v>25</v>
      </c>
      <c r="K135" s="34">
        <v>30</v>
      </c>
      <c r="L135" s="135">
        <v>7</v>
      </c>
      <c r="M135" s="135">
        <v>5</v>
      </c>
      <c r="N135" s="135">
        <v>8</v>
      </c>
      <c r="O135" s="135">
        <v>10</v>
      </c>
      <c r="P135" s="218">
        <f t="shared" si="4"/>
        <v>91</v>
      </c>
    </row>
    <row r="136" spans="1:16" x14ac:dyDescent="0.35">
      <c r="A136" s="287"/>
      <c r="B136" s="287"/>
      <c r="C136" s="32" t="s">
        <v>1623</v>
      </c>
      <c r="D136" s="32" t="s">
        <v>1773</v>
      </c>
      <c r="E136" s="32" t="s">
        <v>1785</v>
      </c>
      <c r="F136" s="32" t="s">
        <v>1787</v>
      </c>
      <c r="G136" s="33" t="s">
        <v>1227</v>
      </c>
      <c r="H136" s="34">
        <v>3</v>
      </c>
      <c r="I136" s="34">
        <v>5</v>
      </c>
      <c r="J136" s="34">
        <v>31</v>
      </c>
      <c r="K136" s="34">
        <v>35</v>
      </c>
      <c r="L136" s="135">
        <v>5</v>
      </c>
      <c r="M136" s="135">
        <v>3</v>
      </c>
      <c r="N136" s="135">
        <v>15</v>
      </c>
      <c r="O136" s="135">
        <v>13</v>
      </c>
      <c r="P136" s="218">
        <f t="shared" si="4"/>
        <v>110</v>
      </c>
    </row>
    <row r="137" spans="1:16" x14ac:dyDescent="0.35">
      <c r="A137" s="287"/>
      <c r="B137" s="287"/>
      <c r="C137" s="32" t="s">
        <v>1623</v>
      </c>
      <c r="D137" s="32" t="s">
        <v>1773</v>
      </c>
      <c r="E137" s="32" t="s">
        <v>1785</v>
      </c>
      <c r="F137" s="32" t="s">
        <v>1789</v>
      </c>
      <c r="G137" s="33" t="s">
        <v>1228</v>
      </c>
      <c r="H137" s="34">
        <v>6</v>
      </c>
      <c r="I137" s="34">
        <v>11</v>
      </c>
      <c r="J137" s="34">
        <v>29</v>
      </c>
      <c r="K137" s="34">
        <v>42</v>
      </c>
      <c r="L137" s="135">
        <v>6</v>
      </c>
      <c r="M137" s="135">
        <v>7</v>
      </c>
      <c r="N137" s="135">
        <v>10</v>
      </c>
      <c r="O137" s="135">
        <v>9</v>
      </c>
      <c r="P137" s="218">
        <f t="shared" si="4"/>
        <v>120</v>
      </c>
    </row>
    <row r="138" spans="1:16" x14ac:dyDescent="0.35">
      <c r="A138" s="287"/>
      <c r="B138" s="287"/>
      <c r="C138" s="32" t="s">
        <v>1623</v>
      </c>
      <c r="D138" s="32" t="s">
        <v>1773</v>
      </c>
      <c r="E138" s="32" t="s">
        <v>1785</v>
      </c>
      <c r="F138" s="32" t="s">
        <v>1789</v>
      </c>
      <c r="G138" s="33" t="s">
        <v>1229</v>
      </c>
      <c r="H138" s="34">
        <v>7</v>
      </c>
      <c r="I138" s="34">
        <v>9</v>
      </c>
      <c r="J138" s="34">
        <v>51</v>
      </c>
      <c r="K138" s="34">
        <v>52</v>
      </c>
      <c r="L138" s="135">
        <v>8</v>
      </c>
      <c r="M138" s="135">
        <v>9</v>
      </c>
      <c r="N138" s="135">
        <v>13</v>
      </c>
      <c r="O138" s="135">
        <v>15</v>
      </c>
      <c r="P138" s="218">
        <f t="shared" si="4"/>
        <v>164</v>
      </c>
    </row>
    <row r="139" spans="1:16" x14ac:dyDescent="0.35">
      <c r="A139" s="287"/>
      <c r="B139" s="287"/>
      <c r="C139" s="32" t="s">
        <v>1623</v>
      </c>
      <c r="D139" s="32" t="s">
        <v>1773</v>
      </c>
      <c r="E139" s="32" t="s">
        <v>1785</v>
      </c>
      <c r="F139" s="32" t="s">
        <v>1789</v>
      </c>
      <c r="G139" s="33" t="s">
        <v>1230</v>
      </c>
      <c r="H139" s="34">
        <v>5</v>
      </c>
      <c r="I139" s="34">
        <v>5</v>
      </c>
      <c r="J139" s="34">
        <v>52</v>
      </c>
      <c r="K139" s="34">
        <v>76</v>
      </c>
      <c r="L139" s="135">
        <v>3</v>
      </c>
      <c r="M139" s="135">
        <v>7</v>
      </c>
      <c r="N139" s="135">
        <v>10</v>
      </c>
      <c r="O139" s="135">
        <v>10</v>
      </c>
      <c r="P139" s="218">
        <f t="shared" si="4"/>
        <v>168</v>
      </c>
    </row>
    <row r="140" spans="1:16" x14ac:dyDescent="0.35">
      <c r="A140" s="287"/>
      <c r="B140" s="287"/>
      <c r="C140" s="32" t="s">
        <v>1623</v>
      </c>
      <c r="D140" s="32" t="s">
        <v>1773</v>
      </c>
      <c r="E140" s="32" t="s">
        <v>1785</v>
      </c>
      <c r="F140" s="32" t="s">
        <v>1789</v>
      </c>
      <c r="G140" s="33" t="s">
        <v>1231</v>
      </c>
      <c r="H140" s="34">
        <v>2</v>
      </c>
      <c r="I140" s="34">
        <v>6</v>
      </c>
      <c r="J140" s="34">
        <v>14</v>
      </c>
      <c r="K140" s="34">
        <v>29</v>
      </c>
      <c r="L140" s="135">
        <v>10</v>
      </c>
      <c r="M140" s="135">
        <v>6</v>
      </c>
      <c r="N140" s="135">
        <v>6</v>
      </c>
      <c r="O140" s="135">
        <v>9</v>
      </c>
      <c r="P140" s="218">
        <f t="shared" si="4"/>
        <v>82</v>
      </c>
    </row>
    <row r="141" spans="1:16" x14ac:dyDescent="0.35">
      <c r="A141" s="287"/>
      <c r="B141" s="287"/>
      <c r="C141" s="32" t="s">
        <v>1623</v>
      </c>
      <c r="D141" s="32" t="s">
        <v>1773</v>
      </c>
      <c r="E141" s="32" t="s">
        <v>1785</v>
      </c>
      <c r="F141" s="32" t="s">
        <v>1784</v>
      </c>
      <c r="G141" s="33" t="s">
        <v>1232</v>
      </c>
      <c r="H141" s="34">
        <v>7</v>
      </c>
      <c r="I141" s="34">
        <v>3</v>
      </c>
      <c r="J141" s="34">
        <v>42</v>
      </c>
      <c r="K141" s="34">
        <v>28</v>
      </c>
      <c r="L141" s="135">
        <v>4</v>
      </c>
      <c r="M141" s="135">
        <v>6</v>
      </c>
      <c r="N141" s="135">
        <v>14</v>
      </c>
      <c r="O141" s="135">
        <v>16</v>
      </c>
      <c r="P141" s="218">
        <f t="shared" si="4"/>
        <v>120</v>
      </c>
    </row>
    <row r="142" spans="1:16" x14ac:dyDescent="0.35">
      <c r="A142" s="287"/>
      <c r="B142" s="287"/>
      <c r="C142" s="32" t="s">
        <v>1623</v>
      </c>
      <c r="D142" s="32" t="s">
        <v>1773</v>
      </c>
      <c r="E142" s="32" t="s">
        <v>1785</v>
      </c>
      <c r="F142" s="32" t="s">
        <v>1784</v>
      </c>
      <c r="G142" s="33" t="s">
        <v>1233</v>
      </c>
      <c r="H142" s="34">
        <v>3</v>
      </c>
      <c r="I142" s="34">
        <v>11</v>
      </c>
      <c r="J142" s="34">
        <v>56</v>
      </c>
      <c r="K142" s="34">
        <v>42</v>
      </c>
      <c r="L142" s="135">
        <v>14</v>
      </c>
      <c r="M142" s="135">
        <v>16</v>
      </c>
      <c r="N142" s="135">
        <v>10</v>
      </c>
      <c r="O142" s="135">
        <v>10</v>
      </c>
      <c r="P142" s="218">
        <f t="shared" si="4"/>
        <v>162</v>
      </c>
    </row>
    <row r="143" spans="1:16" x14ac:dyDescent="0.35">
      <c r="A143" s="287"/>
      <c r="B143" s="287"/>
      <c r="C143" s="32" t="s">
        <v>1623</v>
      </c>
      <c r="D143" s="32" t="s">
        <v>1773</v>
      </c>
      <c r="E143" s="32" t="s">
        <v>1785</v>
      </c>
      <c r="F143" s="32" t="s">
        <v>1784</v>
      </c>
      <c r="G143" s="33" t="s">
        <v>1234</v>
      </c>
      <c r="H143" s="34">
        <v>2</v>
      </c>
      <c r="I143" s="34">
        <v>3</v>
      </c>
      <c r="J143" s="34">
        <v>31</v>
      </c>
      <c r="K143" s="34">
        <v>47</v>
      </c>
      <c r="L143" s="135">
        <v>4</v>
      </c>
      <c r="M143" s="135">
        <v>6</v>
      </c>
      <c r="N143" s="135">
        <v>5</v>
      </c>
      <c r="O143" s="135">
        <v>17</v>
      </c>
      <c r="P143" s="218">
        <f t="shared" si="4"/>
        <v>115</v>
      </c>
    </row>
    <row r="144" spans="1:16" x14ac:dyDescent="0.35">
      <c r="A144" s="52"/>
      <c r="B144" s="52"/>
      <c r="C144" s="52"/>
      <c r="D144" s="52"/>
      <c r="E144" s="52"/>
      <c r="F144" s="52"/>
      <c r="G144" s="52" t="s">
        <v>2</v>
      </c>
      <c r="H144" s="195">
        <f t="shared" ref="H144:O144" si="5">SUM(H55:H143)</f>
        <v>426</v>
      </c>
      <c r="I144" s="195">
        <f t="shared" si="5"/>
        <v>468</v>
      </c>
      <c r="J144" s="196">
        <f t="shared" si="5"/>
        <v>3515</v>
      </c>
      <c r="K144" s="196">
        <f t="shared" si="5"/>
        <v>3741</v>
      </c>
      <c r="L144" s="193">
        <f t="shared" si="5"/>
        <v>654</v>
      </c>
      <c r="M144" s="193">
        <f t="shared" si="5"/>
        <v>699</v>
      </c>
      <c r="N144" s="194">
        <f t="shared" si="5"/>
        <v>1008</v>
      </c>
      <c r="O144" s="194">
        <f t="shared" si="5"/>
        <v>1121</v>
      </c>
      <c r="P144" s="217">
        <f t="shared" si="4"/>
        <v>11632</v>
      </c>
    </row>
    <row r="145" spans="1:16" x14ac:dyDescent="0.35">
      <c r="A145" s="287">
        <v>4</v>
      </c>
      <c r="B145" s="287" t="s">
        <v>1897</v>
      </c>
      <c r="C145" s="32" t="s">
        <v>1623</v>
      </c>
      <c r="D145" s="32" t="s">
        <v>1773</v>
      </c>
      <c r="E145" s="32" t="s">
        <v>1794</v>
      </c>
      <c r="F145" s="32" t="s">
        <v>1795</v>
      </c>
      <c r="G145" s="33" t="s">
        <v>1235</v>
      </c>
      <c r="H145" s="34">
        <v>2</v>
      </c>
      <c r="I145" s="34">
        <v>2</v>
      </c>
      <c r="J145" s="34">
        <v>35</v>
      </c>
      <c r="K145" s="34">
        <v>39</v>
      </c>
      <c r="L145" s="135">
        <v>15</v>
      </c>
      <c r="M145" s="135">
        <v>20</v>
      </c>
      <c r="N145" s="135">
        <v>17</v>
      </c>
      <c r="O145" s="135">
        <v>13</v>
      </c>
      <c r="P145" s="218">
        <f t="shared" si="4"/>
        <v>143</v>
      </c>
    </row>
    <row r="146" spans="1:16" x14ac:dyDescent="0.35">
      <c r="A146" s="287"/>
      <c r="B146" s="287"/>
      <c r="C146" s="32" t="s">
        <v>1623</v>
      </c>
      <c r="D146" s="32" t="s">
        <v>1773</v>
      </c>
      <c r="E146" s="32" t="s">
        <v>1794</v>
      </c>
      <c r="F146" s="32" t="s">
        <v>1795</v>
      </c>
      <c r="G146" s="33" t="s">
        <v>1236</v>
      </c>
      <c r="H146" s="34">
        <v>2</v>
      </c>
      <c r="I146" s="34">
        <v>1</v>
      </c>
      <c r="J146" s="34">
        <v>25</v>
      </c>
      <c r="K146" s="34">
        <v>18</v>
      </c>
      <c r="L146" s="135">
        <v>9</v>
      </c>
      <c r="M146" s="135">
        <v>6</v>
      </c>
      <c r="N146" s="135">
        <v>11</v>
      </c>
      <c r="O146" s="135">
        <v>9</v>
      </c>
      <c r="P146" s="218">
        <f t="shared" si="4"/>
        <v>81</v>
      </c>
    </row>
    <row r="147" spans="1:16" x14ac:dyDescent="0.35">
      <c r="A147" s="287"/>
      <c r="B147" s="287"/>
      <c r="C147" s="32" t="s">
        <v>1623</v>
      </c>
      <c r="D147" s="32" t="s">
        <v>1773</v>
      </c>
      <c r="E147" s="32" t="s">
        <v>1794</v>
      </c>
      <c r="F147" s="32" t="s">
        <v>1795</v>
      </c>
      <c r="G147" s="33" t="s">
        <v>1237</v>
      </c>
      <c r="H147" s="34">
        <v>2</v>
      </c>
      <c r="I147" s="34">
        <v>2</v>
      </c>
      <c r="J147" s="34">
        <v>39</v>
      </c>
      <c r="K147" s="34">
        <v>42</v>
      </c>
      <c r="L147" s="135">
        <v>8</v>
      </c>
      <c r="M147" s="135">
        <v>7</v>
      </c>
      <c r="N147" s="135">
        <v>12</v>
      </c>
      <c r="O147" s="135">
        <v>18</v>
      </c>
      <c r="P147" s="218">
        <f t="shared" si="4"/>
        <v>130</v>
      </c>
    </row>
    <row r="148" spans="1:16" x14ac:dyDescent="0.35">
      <c r="A148" s="287"/>
      <c r="B148" s="287"/>
      <c r="C148" s="32" t="s">
        <v>1623</v>
      </c>
      <c r="D148" s="32" t="s">
        <v>1773</v>
      </c>
      <c r="E148" s="32" t="s">
        <v>1794</v>
      </c>
      <c r="F148" s="32" t="s">
        <v>1795</v>
      </c>
      <c r="G148" s="33" t="s">
        <v>1238</v>
      </c>
      <c r="H148" s="34">
        <v>2</v>
      </c>
      <c r="I148" s="34">
        <v>1</v>
      </c>
      <c r="J148" s="34">
        <v>52</v>
      </c>
      <c r="K148" s="34">
        <v>49</v>
      </c>
      <c r="L148" s="135">
        <v>13</v>
      </c>
      <c r="M148" s="135">
        <v>14</v>
      </c>
      <c r="N148" s="135">
        <v>22</v>
      </c>
      <c r="O148" s="135">
        <v>2</v>
      </c>
      <c r="P148" s="218">
        <f t="shared" si="4"/>
        <v>155</v>
      </c>
    </row>
    <row r="149" spans="1:16" x14ac:dyDescent="0.35">
      <c r="A149" s="287"/>
      <c r="B149" s="287"/>
      <c r="C149" s="32" t="s">
        <v>1623</v>
      </c>
      <c r="D149" s="32" t="s">
        <v>1773</v>
      </c>
      <c r="E149" s="32" t="s">
        <v>1794</v>
      </c>
      <c r="F149" s="32" t="s">
        <v>1795</v>
      </c>
      <c r="G149" s="33" t="s">
        <v>1239</v>
      </c>
      <c r="H149" s="34">
        <v>3</v>
      </c>
      <c r="I149" s="34">
        <v>1</v>
      </c>
      <c r="J149" s="34">
        <v>18</v>
      </c>
      <c r="K149" s="34">
        <v>11</v>
      </c>
      <c r="L149" s="135">
        <v>3</v>
      </c>
      <c r="M149" s="135">
        <v>2</v>
      </c>
      <c r="N149" s="135">
        <v>10</v>
      </c>
      <c r="O149" s="135">
        <v>12</v>
      </c>
      <c r="P149" s="218">
        <f t="shared" si="4"/>
        <v>60</v>
      </c>
    </row>
    <row r="150" spans="1:16" x14ac:dyDescent="0.35">
      <c r="A150" s="287"/>
      <c r="B150" s="287"/>
      <c r="C150" s="32" t="s">
        <v>1623</v>
      </c>
      <c r="D150" s="32" t="s">
        <v>1773</v>
      </c>
      <c r="E150" s="32" t="s">
        <v>1794</v>
      </c>
      <c r="F150" s="32" t="s">
        <v>1795</v>
      </c>
      <c r="G150" s="33" t="s">
        <v>1240</v>
      </c>
      <c r="H150" s="34">
        <v>4</v>
      </c>
      <c r="I150" s="34">
        <v>2</v>
      </c>
      <c r="J150" s="34">
        <v>30</v>
      </c>
      <c r="K150" s="34">
        <v>26</v>
      </c>
      <c r="L150" s="135">
        <v>10</v>
      </c>
      <c r="M150" s="135">
        <v>12</v>
      </c>
      <c r="N150" s="135">
        <v>7</v>
      </c>
      <c r="O150" s="135">
        <v>13</v>
      </c>
      <c r="P150" s="218">
        <f t="shared" si="4"/>
        <v>104</v>
      </c>
    </row>
    <row r="151" spans="1:16" x14ac:dyDescent="0.35">
      <c r="A151" s="287"/>
      <c r="B151" s="287"/>
      <c r="C151" s="32" t="s">
        <v>1623</v>
      </c>
      <c r="D151" s="32" t="s">
        <v>1773</v>
      </c>
      <c r="E151" s="32" t="s">
        <v>1794</v>
      </c>
      <c r="F151" s="32" t="s">
        <v>1795</v>
      </c>
      <c r="G151" s="33" t="s">
        <v>1241</v>
      </c>
      <c r="H151" s="34">
        <v>11</v>
      </c>
      <c r="I151" s="34">
        <v>9</v>
      </c>
      <c r="J151" s="34">
        <v>49</v>
      </c>
      <c r="K151" s="34">
        <v>53</v>
      </c>
      <c r="L151" s="135">
        <v>12</v>
      </c>
      <c r="M151" s="135">
        <v>8</v>
      </c>
      <c r="N151" s="135">
        <v>17</v>
      </c>
      <c r="O151" s="135">
        <v>23</v>
      </c>
      <c r="P151" s="218">
        <f t="shared" si="4"/>
        <v>182</v>
      </c>
    </row>
    <row r="152" spans="1:16" x14ac:dyDescent="0.35">
      <c r="A152" s="287"/>
      <c r="B152" s="287"/>
      <c r="C152" s="32" t="s">
        <v>1623</v>
      </c>
      <c r="D152" s="32" t="s">
        <v>1773</v>
      </c>
      <c r="E152" s="32" t="s">
        <v>1794</v>
      </c>
      <c r="F152" s="32" t="s">
        <v>1795</v>
      </c>
      <c r="G152" s="33" t="s">
        <v>1242</v>
      </c>
      <c r="H152" s="34">
        <v>1</v>
      </c>
      <c r="I152" s="34">
        <v>0</v>
      </c>
      <c r="J152" s="34">
        <v>42</v>
      </c>
      <c r="K152" s="34">
        <v>38</v>
      </c>
      <c r="L152" s="135">
        <v>10</v>
      </c>
      <c r="M152" s="135">
        <v>6</v>
      </c>
      <c r="N152" s="135">
        <v>18</v>
      </c>
      <c r="O152" s="135">
        <v>22</v>
      </c>
      <c r="P152" s="218">
        <f t="shared" si="4"/>
        <v>137</v>
      </c>
    </row>
    <row r="153" spans="1:16" x14ac:dyDescent="0.35">
      <c r="A153" s="287"/>
      <c r="B153" s="287"/>
      <c r="C153" s="32" t="s">
        <v>1623</v>
      </c>
      <c r="D153" s="32" t="s">
        <v>1773</v>
      </c>
      <c r="E153" s="32" t="s">
        <v>1794</v>
      </c>
      <c r="F153" s="32" t="s">
        <v>1795</v>
      </c>
      <c r="G153" s="33" t="s">
        <v>1243</v>
      </c>
      <c r="H153" s="34">
        <v>2</v>
      </c>
      <c r="I153" s="34">
        <v>3</v>
      </c>
      <c r="J153" s="34">
        <v>21</v>
      </c>
      <c r="K153" s="34">
        <v>26</v>
      </c>
      <c r="L153" s="135">
        <v>7</v>
      </c>
      <c r="M153" s="135">
        <v>9</v>
      </c>
      <c r="N153" s="135">
        <v>10</v>
      </c>
      <c r="O153" s="135">
        <v>12</v>
      </c>
      <c r="P153" s="218">
        <f t="shared" si="4"/>
        <v>90</v>
      </c>
    </row>
    <row r="154" spans="1:16" x14ac:dyDescent="0.35">
      <c r="A154" s="287"/>
      <c r="B154" s="287"/>
      <c r="C154" s="32" t="s">
        <v>1623</v>
      </c>
      <c r="D154" s="32" t="s">
        <v>1773</v>
      </c>
      <c r="E154" s="32" t="s">
        <v>1794</v>
      </c>
      <c r="F154" s="32" t="s">
        <v>1796</v>
      </c>
      <c r="G154" s="33" t="s">
        <v>1244</v>
      </c>
      <c r="H154" s="34">
        <v>1</v>
      </c>
      <c r="I154" s="34">
        <v>1</v>
      </c>
      <c r="J154" s="34">
        <v>23</v>
      </c>
      <c r="K154" s="34">
        <v>28</v>
      </c>
      <c r="L154" s="135">
        <v>4</v>
      </c>
      <c r="M154" s="135">
        <v>6</v>
      </c>
      <c r="N154" s="135">
        <v>7</v>
      </c>
      <c r="O154" s="135">
        <v>8</v>
      </c>
      <c r="P154" s="218">
        <f t="shared" si="4"/>
        <v>78</v>
      </c>
    </row>
    <row r="155" spans="1:16" x14ac:dyDescent="0.35">
      <c r="A155" s="287"/>
      <c r="B155" s="287"/>
      <c r="C155" s="32" t="s">
        <v>1623</v>
      </c>
      <c r="D155" s="32" t="s">
        <v>1773</v>
      </c>
      <c r="E155" s="32" t="s">
        <v>1794</v>
      </c>
      <c r="F155" s="32" t="s">
        <v>1798</v>
      </c>
      <c r="G155" s="33" t="s">
        <v>1245</v>
      </c>
      <c r="H155" s="34">
        <v>1</v>
      </c>
      <c r="I155" s="34">
        <v>2</v>
      </c>
      <c r="J155" s="34">
        <v>29</v>
      </c>
      <c r="K155" s="34">
        <v>24</v>
      </c>
      <c r="L155" s="135">
        <v>4</v>
      </c>
      <c r="M155" s="135">
        <v>7</v>
      </c>
      <c r="N155" s="135">
        <v>6</v>
      </c>
      <c r="O155" s="135">
        <v>7</v>
      </c>
      <c r="P155" s="218">
        <f t="shared" si="4"/>
        <v>80</v>
      </c>
    </row>
    <row r="156" spans="1:16" x14ac:dyDescent="0.35">
      <c r="A156" s="287"/>
      <c r="B156" s="287"/>
      <c r="C156" s="32" t="s">
        <v>1623</v>
      </c>
      <c r="D156" s="32" t="s">
        <v>1773</v>
      </c>
      <c r="E156" s="32" t="s">
        <v>1794</v>
      </c>
      <c r="F156" s="32" t="s">
        <v>1798</v>
      </c>
      <c r="G156" s="33" t="s">
        <v>1246</v>
      </c>
      <c r="H156" s="34">
        <v>2</v>
      </c>
      <c r="I156" s="34">
        <v>3</v>
      </c>
      <c r="J156" s="34">
        <v>23</v>
      </c>
      <c r="K156" s="34">
        <v>26</v>
      </c>
      <c r="L156" s="135">
        <v>4</v>
      </c>
      <c r="M156" s="135">
        <v>5</v>
      </c>
      <c r="N156" s="135">
        <v>6</v>
      </c>
      <c r="O156" s="135">
        <v>7</v>
      </c>
      <c r="P156" s="218">
        <f t="shared" si="4"/>
        <v>76</v>
      </c>
    </row>
    <row r="157" spans="1:16" x14ac:dyDescent="0.35">
      <c r="A157" s="287"/>
      <c r="B157" s="287"/>
      <c r="C157" s="32" t="s">
        <v>1623</v>
      </c>
      <c r="D157" s="32" t="s">
        <v>1773</v>
      </c>
      <c r="E157" s="32" t="s">
        <v>1794</v>
      </c>
      <c r="F157" s="32" t="s">
        <v>1798</v>
      </c>
      <c r="G157" s="33" t="s">
        <v>1247</v>
      </c>
      <c r="H157" s="34">
        <v>3</v>
      </c>
      <c r="I157" s="34">
        <v>4</v>
      </c>
      <c r="J157" s="34">
        <v>27</v>
      </c>
      <c r="K157" s="34">
        <v>34</v>
      </c>
      <c r="L157" s="135">
        <v>9</v>
      </c>
      <c r="M157" s="135">
        <v>11</v>
      </c>
      <c r="N157" s="135">
        <v>14</v>
      </c>
      <c r="O157" s="135">
        <v>13</v>
      </c>
      <c r="P157" s="218">
        <f t="shared" si="4"/>
        <v>115</v>
      </c>
    </row>
    <row r="158" spans="1:16" x14ac:dyDescent="0.35">
      <c r="A158" s="287"/>
      <c r="B158" s="287"/>
      <c r="C158" s="32" t="s">
        <v>1623</v>
      </c>
      <c r="D158" s="32" t="s">
        <v>1773</v>
      </c>
      <c r="E158" s="32" t="s">
        <v>1794</v>
      </c>
      <c r="F158" s="32" t="s">
        <v>1798</v>
      </c>
      <c r="G158" s="33" t="s">
        <v>1248</v>
      </c>
      <c r="H158" s="34">
        <v>3</v>
      </c>
      <c r="I158" s="34">
        <v>3</v>
      </c>
      <c r="J158" s="34">
        <v>19</v>
      </c>
      <c r="K158" s="34">
        <v>24</v>
      </c>
      <c r="L158" s="135">
        <v>5</v>
      </c>
      <c r="M158" s="135">
        <v>6</v>
      </c>
      <c r="N158" s="135">
        <v>9</v>
      </c>
      <c r="O158" s="135">
        <v>11</v>
      </c>
      <c r="P158" s="218">
        <f t="shared" si="4"/>
        <v>80</v>
      </c>
    </row>
    <row r="159" spans="1:16" x14ac:dyDescent="0.35">
      <c r="A159" s="287"/>
      <c r="B159" s="287"/>
      <c r="C159" s="32" t="s">
        <v>1623</v>
      </c>
      <c r="D159" s="32" t="s">
        <v>1773</v>
      </c>
      <c r="E159" s="32" t="s">
        <v>1794</v>
      </c>
      <c r="F159" s="32" t="s">
        <v>1798</v>
      </c>
      <c r="G159" s="33" t="s">
        <v>1249</v>
      </c>
      <c r="H159" s="34">
        <v>3</v>
      </c>
      <c r="I159" s="34">
        <v>4</v>
      </c>
      <c r="J159" s="34">
        <v>25</v>
      </c>
      <c r="K159" s="34">
        <v>20</v>
      </c>
      <c r="L159" s="135">
        <v>2</v>
      </c>
      <c r="M159" s="135">
        <v>3</v>
      </c>
      <c r="N159" s="135">
        <v>13</v>
      </c>
      <c r="O159" s="135">
        <v>7</v>
      </c>
      <c r="P159" s="218">
        <f t="shared" si="4"/>
        <v>77</v>
      </c>
    </row>
    <row r="160" spans="1:16" x14ac:dyDescent="0.35">
      <c r="A160" s="287"/>
      <c r="B160" s="287"/>
      <c r="C160" s="32" t="s">
        <v>1623</v>
      </c>
      <c r="D160" s="32" t="s">
        <v>1773</v>
      </c>
      <c r="E160" s="32" t="s">
        <v>1794</v>
      </c>
      <c r="F160" s="32" t="s">
        <v>1798</v>
      </c>
      <c r="G160" s="33" t="s">
        <v>1250</v>
      </c>
      <c r="H160" s="34">
        <v>0</v>
      </c>
      <c r="I160" s="34">
        <v>0</v>
      </c>
      <c r="J160" s="34">
        <v>23</v>
      </c>
      <c r="K160" s="34">
        <v>32</v>
      </c>
      <c r="L160" s="135">
        <v>4</v>
      </c>
      <c r="M160" s="135">
        <v>6</v>
      </c>
      <c r="N160" s="135">
        <v>5</v>
      </c>
      <c r="O160" s="135">
        <v>15</v>
      </c>
      <c r="P160" s="218">
        <f t="shared" si="4"/>
        <v>85</v>
      </c>
    </row>
    <row r="161" spans="1:16" x14ac:dyDescent="0.35">
      <c r="A161" s="287"/>
      <c r="B161" s="287"/>
      <c r="C161" s="32" t="s">
        <v>1623</v>
      </c>
      <c r="D161" s="32" t="s">
        <v>1773</v>
      </c>
      <c r="E161" s="32" t="s">
        <v>1794</v>
      </c>
      <c r="F161" s="32" t="s">
        <v>1798</v>
      </c>
      <c r="G161" s="33" t="s">
        <v>1251</v>
      </c>
      <c r="H161" s="34">
        <v>14</v>
      </c>
      <c r="I161" s="34">
        <v>26</v>
      </c>
      <c r="J161" s="34">
        <v>121</v>
      </c>
      <c r="K161" s="34">
        <v>153</v>
      </c>
      <c r="L161" s="135">
        <v>10</v>
      </c>
      <c r="M161" s="135">
        <v>15</v>
      </c>
      <c r="N161" s="135">
        <v>11</v>
      </c>
      <c r="O161" s="135">
        <v>15</v>
      </c>
      <c r="P161" s="218">
        <f t="shared" si="4"/>
        <v>365</v>
      </c>
    </row>
    <row r="162" spans="1:16" x14ac:dyDescent="0.35">
      <c r="A162" s="287"/>
      <c r="B162" s="287"/>
      <c r="C162" s="32" t="s">
        <v>1623</v>
      </c>
      <c r="D162" s="32" t="s">
        <v>1773</v>
      </c>
      <c r="E162" s="32" t="s">
        <v>1794</v>
      </c>
      <c r="F162" s="32" t="s">
        <v>1796</v>
      </c>
      <c r="G162" s="33" t="s">
        <v>1252</v>
      </c>
      <c r="H162" s="34">
        <v>10</v>
      </c>
      <c r="I162" s="34">
        <v>11</v>
      </c>
      <c r="J162" s="34">
        <v>70</v>
      </c>
      <c r="K162" s="34">
        <v>52</v>
      </c>
      <c r="L162" s="135">
        <v>23</v>
      </c>
      <c r="M162" s="135">
        <v>25</v>
      </c>
      <c r="N162" s="135">
        <v>18</v>
      </c>
      <c r="O162" s="135">
        <v>12</v>
      </c>
      <c r="P162" s="218">
        <f t="shared" si="4"/>
        <v>221</v>
      </c>
    </row>
    <row r="163" spans="1:16" x14ac:dyDescent="0.35">
      <c r="A163" s="287"/>
      <c r="B163" s="287"/>
      <c r="C163" s="32" t="s">
        <v>1623</v>
      </c>
      <c r="D163" s="32" t="s">
        <v>1773</v>
      </c>
      <c r="E163" s="32" t="s">
        <v>1794</v>
      </c>
      <c r="F163" s="32" t="s">
        <v>1797</v>
      </c>
      <c r="G163" s="33" t="s">
        <v>1253</v>
      </c>
      <c r="H163" s="34">
        <v>3</v>
      </c>
      <c r="I163" s="34">
        <v>2</v>
      </c>
      <c r="J163" s="34">
        <v>21</v>
      </c>
      <c r="K163" s="34">
        <v>29</v>
      </c>
      <c r="L163" s="135">
        <v>6</v>
      </c>
      <c r="M163" s="135">
        <v>4</v>
      </c>
      <c r="N163" s="135">
        <v>7</v>
      </c>
      <c r="O163" s="135">
        <v>8</v>
      </c>
      <c r="P163" s="218">
        <f t="shared" si="4"/>
        <v>80</v>
      </c>
    </row>
    <row r="164" spans="1:16" x14ac:dyDescent="0.35">
      <c r="A164" s="287"/>
      <c r="B164" s="287"/>
      <c r="C164" s="32" t="s">
        <v>1623</v>
      </c>
      <c r="D164" s="32" t="s">
        <v>1773</v>
      </c>
      <c r="E164" s="32" t="s">
        <v>1794</v>
      </c>
      <c r="F164" s="32" t="s">
        <v>1795</v>
      </c>
      <c r="G164" s="33" t="s">
        <v>1254</v>
      </c>
      <c r="H164" s="34">
        <v>35</v>
      </c>
      <c r="I164" s="34">
        <v>45</v>
      </c>
      <c r="J164" s="34">
        <v>82</v>
      </c>
      <c r="K164" s="34">
        <v>100</v>
      </c>
      <c r="L164" s="135">
        <v>32</v>
      </c>
      <c r="M164" s="135">
        <v>30</v>
      </c>
      <c r="N164" s="135">
        <v>20</v>
      </c>
      <c r="O164" s="135">
        <v>28</v>
      </c>
      <c r="P164" s="218">
        <f t="shared" si="4"/>
        <v>372</v>
      </c>
    </row>
    <row r="165" spans="1:16" x14ac:dyDescent="0.35">
      <c r="A165" s="287"/>
      <c r="B165" s="287"/>
      <c r="C165" s="32" t="s">
        <v>1623</v>
      </c>
      <c r="D165" s="32" t="s">
        <v>1773</v>
      </c>
      <c r="E165" s="32" t="s">
        <v>1794</v>
      </c>
      <c r="F165" s="32" t="s">
        <v>1798</v>
      </c>
      <c r="G165" s="33" t="s">
        <v>1255</v>
      </c>
      <c r="H165" s="34">
        <v>3</v>
      </c>
      <c r="I165" s="34">
        <v>1</v>
      </c>
      <c r="J165" s="34">
        <v>18</v>
      </c>
      <c r="K165" s="34">
        <v>24</v>
      </c>
      <c r="L165" s="135">
        <v>4</v>
      </c>
      <c r="M165" s="135">
        <v>6</v>
      </c>
      <c r="N165" s="135">
        <v>18</v>
      </c>
      <c r="O165" s="135">
        <v>22</v>
      </c>
      <c r="P165" s="218">
        <f t="shared" si="4"/>
        <v>96</v>
      </c>
    </row>
    <row r="166" spans="1:16" x14ac:dyDescent="0.35">
      <c r="A166" s="287"/>
      <c r="B166" s="287"/>
      <c r="C166" s="32" t="s">
        <v>1623</v>
      </c>
      <c r="D166" s="32" t="s">
        <v>1773</v>
      </c>
      <c r="E166" s="32" t="s">
        <v>1794</v>
      </c>
      <c r="F166" s="32" t="s">
        <v>1797</v>
      </c>
      <c r="G166" s="33" t="s">
        <v>1256</v>
      </c>
      <c r="H166" s="34">
        <v>3</v>
      </c>
      <c r="I166" s="34">
        <v>4</v>
      </c>
      <c r="J166" s="34">
        <v>47</v>
      </c>
      <c r="K166" s="34">
        <v>50</v>
      </c>
      <c r="L166" s="135">
        <v>11</v>
      </c>
      <c r="M166" s="135">
        <v>9</v>
      </c>
      <c r="N166" s="135">
        <v>10</v>
      </c>
      <c r="O166" s="135">
        <v>12</v>
      </c>
      <c r="P166" s="218">
        <f t="shared" si="4"/>
        <v>146</v>
      </c>
    </row>
    <row r="167" spans="1:16" x14ac:dyDescent="0.35">
      <c r="A167" s="287"/>
      <c r="B167" s="287"/>
      <c r="C167" s="32" t="s">
        <v>1623</v>
      </c>
      <c r="D167" s="32" t="s">
        <v>1773</v>
      </c>
      <c r="E167" s="32" t="s">
        <v>1794</v>
      </c>
      <c r="F167" s="32" t="s">
        <v>1797</v>
      </c>
      <c r="G167" s="33" t="s">
        <v>1257</v>
      </c>
      <c r="H167" s="34">
        <v>14</v>
      </c>
      <c r="I167" s="34">
        <v>15</v>
      </c>
      <c r="J167" s="34">
        <v>143</v>
      </c>
      <c r="K167" s="34">
        <v>165</v>
      </c>
      <c r="L167" s="135">
        <v>50</v>
      </c>
      <c r="M167" s="135">
        <v>58</v>
      </c>
      <c r="N167" s="135">
        <v>48</v>
      </c>
      <c r="O167" s="135">
        <v>47</v>
      </c>
      <c r="P167" s="218">
        <f t="shared" si="4"/>
        <v>540</v>
      </c>
    </row>
    <row r="168" spans="1:16" x14ac:dyDescent="0.35">
      <c r="A168" s="287"/>
      <c r="B168" s="287"/>
      <c r="C168" s="32" t="s">
        <v>1623</v>
      </c>
      <c r="D168" s="32" t="s">
        <v>1773</v>
      </c>
      <c r="E168" s="32" t="s">
        <v>1794</v>
      </c>
      <c r="F168" s="32" t="s">
        <v>1797</v>
      </c>
      <c r="G168" s="33" t="s">
        <v>1258</v>
      </c>
      <c r="H168" s="34">
        <v>0</v>
      </c>
      <c r="I168" s="34">
        <v>3</v>
      </c>
      <c r="J168" s="34">
        <v>33</v>
      </c>
      <c r="K168" s="34">
        <v>31</v>
      </c>
      <c r="L168" s="135">
        <v>10</v>
      </c>
      <c r="M168" s="135">
        <v>10</v>
      </c>
      <c r="N168" s="135">
        <v>10</v>
      </c>
      <c r="O168" s="135">
        <v>9</v>
      </c>
      <c r="P168" s="218">
        <f t="shared" si="4"/>
        <v>106</v>
      </c>
    </row>
    <row r="169" spans="1:16" x14ac:dyDescent="0.35">
      <c r="A169" s="287"/>
      <c r="B169" s="287"/>
      <c r="C169" s="32" t="s">
        <v>1623</v>
      </c>
      <c r="D169" s="32" t="s">
        <v>1773</v>
      </c>
      <c r="E169" s="32" t="s">
        <v>1794</v>
      </c>
      <c r="F169" s="32" t="s">
        <v>1797</v>
      </c>
      <c r="G169" s="33" t="s">
        <v>1259</v>
      </c>
      <c r="H169" s="34">
        <v>3</v>
      </c>
      <c r="I169" s="34">
        <v>2</v>
      </c>
      <c r="J169" s="34">
        <v>32</v>
      </c>
      <c r="K169" s="34">
        <v>33</v>
      </c>
      <c r="L169" s="135">
        <v>5</v>
      </c>
      <c r="M169" s="135">
        <v>6</v>
      </c>
      <c r="N169" s="135">
        <v>6</v>
      </c>
      <c r="O169" s="135">
        <v>4</v>
      </c>
      <c r="P169" s="218">
        <f t="shared" si="4"/>
        <v>91</v>
      </c>
    </row>
    <row r="170" spans="1:16" x14ac:dyDescent="0.35">
      <c r="A170" s="287"/>
      <c r="B170" s="287"/>
      <c r="C170" s="32" t="s">
        <v>1623</v>
      </c>
      <c r="D170" s="32" t="s">
        <v>1773</v>
      </c>
      <c r="E170" s="32" t="s">
        <v>1794</v>
      </c>
      <c r="F170" s="32" t="s">
        <v>1797</v>
      </c>
      <c r="G170" s="33" t="s">
        <v>1260</v>
      </c>
      <c r="H170" s="34">
        <v>1</v>
      </c>
      <c r="I170" s="34">
        <v>1</v>
      </c>
      <c r="J170" s="34">
        <v>22</v>
      </c>
      <c r="K170" s="34">
        <v>17</v>
      </c>
      <c r="L170" s="135">
        <v>5</v>
      </c>
      <c r="M170" s="135">
        <v>3</v>
      </c>
      <c r="N170" s="135">
        <v>7</v>
      </c>
      <c r="O170" s="135">
        <v>9</v>
      </c>
      <c r="P170" s="218">
        <f t="shared" si="4"/>
        <v>65</v>
      </c>
    </row>
    <row r="171" spans="1:16" x14ac:dyDescent="0.35">
      <c r="A171" s="287"/>
      <c r="B171" s="287"/>
      <c r="C171" s="32" t="s">
        <v>1623</v>
      </c>
      <c r="D171" s="32" t="s">
        <v>1773</v>
      </c>
      <c r="E171" s="32" t="s">
        <v>1794</v>
      </c>
      <c r="F171" s="32" t="s">
        <v>1797</v>
      </c>
      <c r="G171" s="33" t="s">
        <v>1261</v>
      </c>
      <c r="H171" s="34">
        <v>20</v>
      </c>
      <c r="I171" s="34">
        <v>15</v>
      </c>
      <c r="J171" s="34">
        <v>50</v>
      </c>
      <c r="K171" s="34">
        <v>35</v>
      </c>
      <c r="L171" s="135">
        <v>6</v>
      </c>
      <c r="M171" s="135">
        <v>4</v>
      </c>
      <c r="N171" s="135">
        <v>11</v>
      </c>
      <c r="O171" s="135">
        <v>9</v>
      </c>
      <c r="P171" s="218">
        <f t="shared" si="4"/>
        <v>150</v>
      </c>
    </row>
    <row r="172" spans="1:16" x14ac:dyDescent="0.35">
      <c r="A172" s="287"/>
      <c r="B172" s="287"/>
      <c r="C172" s="32" t="s">
        <v>1623</v>
      </c>
      <c r="D172" s="32" t="s">
        <v>1773</v>
      </c>
      <c r="E172" s="32" t="s">
        <v>1794</v>
      </c>
      <c r="F172" s="43" t="s">
        <v>1797</v>
      </c>
      <c r="G172" s="33" t="s">
        <v>1262</v>
      </c>
      <c r="H172" s="34">
        <v>3</v>
      </c>
      <c r="I172" s="34">
        <v>4</v>
      </c>
      <c r="J172" s="34">
        <v>41</v>
      </c>
      <c r="K172" s="34">
        <v>27</v>
      </c>
      <c r="L172" s="135">
        <v>13</v>
      </c>
      <c r="M172" s="135">
        <v>14</v>
      </c>
      <c r="N172" s="135">
        <v>5</v>
      </c>
      <c r="O172" s="135">
        <v>6</v>
      </c>
      <c r="P172" s="218">
        <f t="shared" si="4"/>
        <v>113</v>
      </c>
    </row>
    <row r="173" spans="1:16" x14ac:dyDescent="0.35">
      <c r="A173" s="287"/>
      <c r="B173" s="287"/>
      <c r="C173" s="32" t="s">
        <v>1623</v>
      </c>
      <c r="D173" s="32" t="s">
        <v>1773</v>
      </c>
      <c r="E173" s="32" t="s">
        <v>1794</v>
      </c>
      <c r="F173" s="32" t="s">
        <v>1797</v>
      </c>
      <c r="G173" s="33" t="s">
        <v>1263</v>
      </c>
      <c r="H173" s="34">
        <v>5</v>
      </c>
      <c r="I173" s="34">
        <v>7</v>
      </c>
      <c r="J173" s="34">
        <v>39</v>
      </c>
      <c r="K173" s="34">
        <v>55</v>
      </c>
      <c r="L173" s="135">
        <v>9</v>
      </c>
      <c r="M173" s="135">
        <v>11</v>
      </c>
      <c r="N173" s="135">
        <v>30</v>
      </c>
      <c r="O173" s="135">
        <v>38</v>
      </c>
      <c r="P173" s="218">
        <f t="shared" si="4"/>
        <v>194</v>
      </c>
    </row>
    <row r="174" spans="1:16" x14ac:dyDescent="0.35">
      <c r="A174" s="287"/>
      <c r="B174" s="287"/>
      <c r="C174" s="32" t="s">
        <v>1623</v>
      </c>
      <c r="D174" s="32" t="s">
        <v>1773</v>
      </c>
      <c r="E174" s="32" t="s">
        <v>1794</v>
      </c>
      <c r="F174" s="32" t="s">
        <v>1797</v>
      </c>
      <c r="G174" s="33" t="s">
        <v>1264</v>
      </c>
      <c r="H174" s="34">
        <v>6</v>
      </c>
      <c r="I174" s="34">
        <v>8</v>
      </c>
      <c r="J174" s="34">
        <v>91</v>
      </c>
      <c r="K174" s="34">
        <v>75</v>
      </c>
      <c r="L174" s="135">
        <v>53</v>
      </c>
      <c r="M174" s="135">
        <v>57</v>
      </c>
      <c r="N174" s="135">
        <v>13</v>
      </c>
      <c r="O174" s="135">
        <v>12</v>
      </c>
      <c r="P174" s="218">
        <f t="shared" si="4"/>
        <v>315</v>
      </c>
    </row>
    <row r="175" spans="1:16" x14ac:dyDescent="0.35">
      <c r="A175" s="287"/>
      <c r="B175" s="287"/>
      <c r="C175" s="32" t="s">
        <v>1623</v>
      </c>
      <c r="D175" s="32" t="s">
        <v>1773</v>
      </c>
      <c r="E175" s="32" t="s">
        <v>1794</v>
      </c>
      <c r="F175" s="32" t="s">
        <v>1796</v>
      </c>
      <c r="G175" s="33" t="s">
        <v>1265</v>
      </c>
      <c r="H175" s="34">
        <v>10</v>
      </c>
      <c r="I175" s="34">
        <v>10</v>
      </c>
      <c r="J175" s="34">
        <v>48</v>
      </c>
      <c r="K175" s="34">
        <v>48</v>
      </c>
      <c r="L175" s="135">
        <v>10</v>
      </c>
      <c r="M175" s="135">
        <v>10</v>
      </c>
      <c r="N175" s="135">
        <v>29</v>
      </c>
      <c r="O175" s="135">
        <v>25</v>
      </c>
      <c r="P175" s="218">
        <f t="shared" si="4"/>
        <v>190</v>
      </c>
    </row>
    <row r="176" spans="1:16" x14ac:dyDescent="0.35">
      <c r="A176" s="287"/>
      <c r="B176" s="287"/>
      <c r="C176" s="32" t="s">
        <v>1623</v>
      </c>
      <c r="D176" s="32" t="s">
        <v>1773</v>
      </c>
      <c r="E176" s="32" t="s">
        <v>1794</v>
      </c>
      <c r="F176" s="43" t="s">
        <v>1796</v>
      </c>
      <c r="G176" s="33" t="s">
        <v>1266</v>
      </c>
      <c r="H176" s="34">
        <v>3</v>
      </c>
      <c r="I176" s="34">
        <v>6</v>
      </c>
      <c r="J176" s="34">
        <v>29</v>
      </c>
      <c r="K176" s="34">
        <v>39</v>
      </c>
      <c r="L176" s="135">
        <v>12</v>
      </c>
      <c r="M176" s="135">
        <v>16</v>
      </c>
      <c r="N176" s="135">
        <v>18</v>
      </c>
      <c r="O176" s="135">
        <v>22</v>
      </c>
      <c r="P176" s="218">
        <f t="shared" si="4"/>
        <v>145</v>
      </c>
    </row>
    <row r="177" spans="1:16" x14ac:dyDescent="0.35">
      <c r="A177" s="287"/>
      <c r="B177" s="287"/>
      <c r="C177" s="32" t="s">
        <v>1623</v>
      </c>
      <c r="D177" s="32" t="s">
        <v>1773</v>
      </c>
      <c r="E177" s="32" t="s">
        <v>1794</v>
      </c>
      <c r="F177" s="32" t="s">
        <v>1796</v>
      </c>
      <c r="G177" s="33" t="s">
        <v>1267</v>
      </c>
      <c r="H177" s="34">
        <v>4</v>
      </c>
      <c r="I177" s="34">
        <v>3</v>
      </c>
      <c r="J177" s="34">
        <v>26</v>
      </c>
      <c r="K177" s="34">
        <v>32</v>
      </c>
      <c r="L177" s="135">
        <v>5</v>
      </c>
      <c r="M177" s="135">
        <v>8</v>
      </c>
      <c r="N177" s="135">
        <v>26</v>
      </c>
      <c r="O177" s="135">
        <v>14</v>
      </c>
      <c r="P177" s="218">
        <f t="shared" si="4"/>
        <v>118</v>
      </c>
    </row>
    <row r="178" spans="1:16" x14ac:dyDescent="0.35">
      <c r="A178" s="287"/>
      <c r="B178" s="287"/>
      <c r="C178" s="32" t="s">
        <v>1623</v>
      </c>
      <c r="D178" s="32" t="s">
        <v>1773</v>
      </c>
      <c r="E178" s="32" t="s">
        <v>1794</v>
      </c>
      <c r="F178" s="32" t="s">
        <v>1796</v>
      </c>
      <c r="G178" s="33" t="s">
        <v>1268</v>
      </c>
      <c r="H178" s="34">
        <v>4</v>
      </c>
      <c r="I178" s="34">
        <v>4</v>
      </c>
      <c r="J178" s="34">
        <v>41</v>
      </c>
      <c r="K178" s="34">
        <v>46</v>
      </c>
      <c r="L178" s="135">
        <v>9</v>
      </c>
      <c r="M178" s="135">
        <v>13</v>
      </c>
      <c r="N178" s="135">
        <v>19</v>
      </c>
      <c r="O178" s="135">
        <v>27</v>
      </c>
      <c r="P178" s="218">
        <f t="shared" si="4"/>
        <v>163</v>
      </c>
    </row>
    <row r="179" spans="1:16" x14ac:dyDescent="0.35">
      <c r="A179" s="287"/>
      <c r="B179" s="287"/>
      <c r="C179" s="32" t="s">
        <v>1623</v>
      </c>
      <c r="D179" s="32" t="s">
        <v>1773</v>
      </c>
      <c r="E179" s="32" t="s">
        <v>1794</v>
      </c>
      <c r="F179" s="32" t="s">
        <v>1796</v>
      </c>
      <c r="G179" s="33" t="s">
        <v>1269</v>
      </c>
      <c r="H179" s="34">
        <v>3</v>
      </c>
      <c r="I179" s="34">
        <v>2</v>
      </c>
      <c r="J179" s="34">
        <v>50</v>
      </c>
      <c r="K179" s="34">
        <v>66</v>
      </c>
      <c r="L179" s="135">
        <v>5</v>
      </c>
      <c r="M179" s="135">
        <v>3</v>
      </c>
      <c r="N179" s="135">
        <v>82</v>
      </c>
      <c r="O179" s="135">
        <v>90</v>
      </c>
      <c r="P179" s="218">
        <f t="shared" si="4"/>
        <v>301</v>
      </c>
    </row>
    <row r="180" spans="1:16" x14ac:dyDescent="0.35">
      <c r="A180" s="287"/>
      <c r="B180" s="287"/>
      <c r="C180" s="32" t="s">
        <v>1623</v>
      </c>
      <c r="D180" s="32" t="s">
        <v>1773</v>
      </c>
      <c r="E180" s="32" t="s">
        <v>1794</v>
      </c>
      <c r="F180" s="32" t="s">
        <v>1798</v>
      </c>
      <c r="G180" s="33" t="s">
        <v>1270</v>
      </c>
      <c r="H180" s="34">
        <v>3</v>
      </c>
      <c r="I180" s="34">
        <v>3</v>
      </c>
      <c r="J180" s="34">
        <v>18</v>
      </c>
      <c r="K180" s="34">
        <v>21</v>
      </c>
      <c r="L180" s="135">
        <v>6</v>
      </c>
      <c r="M180" s="135">
        <v>12</v>
      </c>
      <c r="N180" s="135">
        <v>13</v>
      </c>
      <c r="O180" s="135">
        <v>14</v>
      </c>
      <c r="P180" s="218">
        <f t="shared" si="4"/>
        <v>90</v>
      </c>
    </row>
    <row r="181" spans="1:16" x14ac:dyDescent="0.35">
      <c r="A181" s="287"/>
      <c r="B181" s="287"/>
      <c r="C181" s="32" t="s">
        <v>1623</v>
      </c>
      <c r="D181" s="32" t="s">
        <v>1773</v>
      </c>
      <c r="E181" s="32" t="s">
        <v>1794</v>
      </c>
      <c r="F181" s="32" t="s">
        <v>1796</v>
      </c>
      <c r="G181" s="33" t="s">
        <v>1271</v>
      </c>
      <c r="H181" s="34">
        <v>4</v>
      </c>
      <c r="I181" s="34">
        <v>6</v>
      </c>
      <c r="J181" s="34">
        <v>38</v>
      </c>
      <c r="K181" s="34">
        <v>35</v>
      </c>
      <c r="L181" s="135">
        <v>9</v>
      </c>
      <c r="M181" s="135">
        <v>11</v>
      </c>
      <c r="N181" s="135">
        <v>20</v>
      </c>
      <c r="O181" s="135">
        <v>22</v>
      </c>
      <c r="P181" s="218">
        <f t="shared" si="4"/>
        <v>145</v>
      </c>
    </row>
    <row r="182" spans="1:16" x14ac:dyDescent="0.35">
      <c r="A182" s="287"/>
      <c r="B182" s="287"/>
      <c r="C182" s="32" t="s">
        <v>1623</v>
      </c>
      <c r="D182" s="32" t="s">
        <v>1773</v>
      </c>
      <c r="E182" s="32" t="s">
        <v>1794</v>
      </c>
      <c r="F182" s="32" t="s">
        <v>1798</v>
      </c>
      <c r="G182" s="33" t="s">
        <v>1272</v>
      </c>
      <c r="H182" s="34">
        <v>2</v>
      </c>
      <c r="I182" s="34">
        <v>4</v>
      </c>
      <c r="J182" s="34">
        <v>12</v>
      </c>
      <c r="K182" s="34">
        <v>13</v>
      </c>
      <c r="L182" s="135">
        <v>3</v>
      </c>
      <c r="M182" s="135">
        <v>2</v>
      </c>
      <c r="N182" s="135">
        <v>4</v>
      </c>
      <c r="O182" s="135">
        <v>1</v>
      </c>
      <c r="P182" s="218">
        <f t="shared" si="4"/>
        <v>41</v>
      </c>
    </row>
    <row r="183" spans="1:16" x14ac:dyDescent="0.35">
      <c r="A183" s="287"/>
      <c r="B183" s="287"/>
      <c r="C183" s="32" t="s">
        <v>1623</v>
      </c>
      <c r="D183" s="32" t="s">
        <v>1773</v>
      </c>
      <c r="E183" s="32" t="s">
        <v>1794</v>
      </c>
      <c r="F183" s="32" t="s">
        <v>1798</v>
      </c>
      <c r="G183" s="33" t="s">
        <v>1273</v>
      </c>
      <c r="H183" s="34">
        <v>12</v>
      </c>
      <c r="I183" s="34">
        <v>9</v>
      </c>
      <c r="J183" s="34">
        <v>25</v>
      </c>
      <c r="K183" s="34">
        <v>25</v>
      </c>
      <c r="L183" s="135">
        <v>7</v>
      </c>
      <c r="M183" s="135">
        <v>9</v>
      </c>
      <c r="N183" s="135">
        <v>10</v>
      </c>
      <c r="O183" s="135">
        <v>7</v>
      </c>
      <c r="P183" s="218">
        <f t="shared" si="4"/>
        <v>104</v>
      </c>
    </row>
    <row r="184" spans="1:16" x14ac:dyDescent="0.35">
      <c r="A184" s="287"/>
      <c r="B184" s="287"/>
      <c r="C184" s="32" t="s">
        <v>1623</v>
      </c>
      <c r="D184" s="32" t="s">
        <v>1773</v>
      </c>
      <c r="E184" s="32" t="s">
        <v>1794</v>
      </c>
      <c r="F184" s="32" t="s">
        <v>1798</v>
      </c>
      <c r="G184" s="33" t="s">
        <v>1274</v>
      </c>
      <c r="H184" s="34">
        <v>0</v>
      </c>
      <c r="I184" s="34">
        <v>2</v>
      </c>
      <c r="J184" s="34">
        <v>30</v>
      </c>
      <c r="K184" s="34">
        <v>28</v>
      </c>
      <c r="L184" s="135">
        <v>7</v>
      </c>
      <c r="M184" s="135">
        <v>6</v>
      </c>
      <c r="N184" s="135">
        <v>13</v>
      </c>
      <c r="O184" s="135">
        <v>10</v>
      </c>
      <c r="P184" s="218">
        <f t="shared" si="4"/>
        <v>96</v>
      </c>
    </row>
    <row r="185" spans="1:16" x14ac:dyDescent="0.35">
      <c r="A185" s="287"/>
      <c r="B185" s="287"/>
      <c r="C185" s="32" t="s">
        <v>1623</v>
      </c>
      <c r="D185" s="32" t="s">
        <v>1773</v>
      </c>
      <c r="E185" s="32" t="s">
        <v>1794</v>
      </c>
      <c r="F185" s="32" t="s">
        <v>1797</v>
      </c>
      <c r="G185" s="33" t="s">
        <v>1275</v>
      </c>
      <c r="H185" s="34">
        <v>1</v>
      </c>
      <c r="I185" s="34">
        <v>2</v>
      </c>
      <c r="J185" s="34">
        <v>32</v>
      </c>
      <c r="K185" s="34">
        <v>36</v>
      </c>
      <c r="L185" s="135">
        <v>7</v>
      </c>
      <c r="M185" s="135">
        <v>9</v>
      </c>
      <c r="N185" s="135">
        <v>10</v>
      </c>
      <c r="O185" s="135">
        <v>16</v>
      </c>
      <c r="P185" s="218">
        <f t="shared" si="4"/>
        <v>113</v>
      </c>
    </row>
    <row r="186" spans="1:16" x14ac:dyDescent="0.35">
      <c r="A186" s="287"/>
      <c r="B186" s="287"/>
      <c r="C186" s="32" t="s">
        <v>1623</v>
      </c>
      <c r="D186" s="32" t="s">
        <v>1773</v>
      </c>
      <c r="E186" s="32" t="s">
        <v>1794</v>
      </c>
      <c r="F186" s="32" t="s">
        <v>1797</v>
      </c>
      <c r="G186" s="33" t="s">
        <v>1276</v>
      </c>
      <c r="H186" s="34">
        <v>1</v>
      </c>
      <c r="I186" s="34">
        <v>2</v>
      </c>
      <c r="J186" s="34">
        <v>55</v>
      </c>
      <c r="K186" s="34">
        <v>67</v>
      </c>
      <c r="L186" s="135">
        <v>10</v>
      </c>
      <c r="M186" s="135">
        <v>11</v>
      </c>
      <c r="N186" s="135">
        <v>38</v>
      </c>
      <c r="O186" s="135">
        <v>40</v>
      </c>
      <c r="P186" s="218">
        <f t="shared" si="4"/>
        <v>224</v>
      </c>
    </row>
    <row r="187" spans="1:16" x14ac:dyDescent="0.35">
      <c r="A187" s="287"/>
      <c r="B187" s="287"/>
      <c r="C187" s="32" t="s">
        <v>1623</v>
      </c>
      <c r="D187" s="32" t="s">
        <v>1773</v>
      </c>
      <c r="E187" s="32" t="s">
        <v>1794</v>
      </c>
      <c r="F187" s="32" t="s">
        <v>1795</v>
      </c>
      <c r="G187" s="33" t="s">
        <v>1277</v>
      </c>
      <c r="H187" s="34">
        <v>3</v>
      </c>
      <c r="I187" s="34">
        <v>2</v>
      </c>
      <c r="J187" s="34">
        <v>67</v>
      </c>
      <c r="K187" s="34">
        <v>38</v>
      </c>
      <c r="L187" s="135">
        <v>17</v>
      </c>
      <c r="M187" s="135">
        <v>15</v>
      </c>
      <c r="N187" s="135">
        <v>30</v>
      </c>
      <c r="O187" s="135">
        <v>11</v>
      </c>
      <c r="P187" s="218">
        <f t="shared" si="4"/>
        <v>183</v>
      </c>
    </row>
    <row r="188" spans="1:16" x14ac:dyDescent="0.35">
      <c r="A188" s="287"/>
      <c r="B188" s="287"/>
      <c r="C188" s="32" t="s">
        <v>1623</v>
      </c>
      <c r="D188" s="32" t="s">
        <v>1773</v>
      </c>
      <c r="E188" s="32" t="s">
        <v>1794</v>
      </c>
      <c r="F188" s="43" t="s">
        <v>1796</v>
      </c>
      <c r="G188" s="33" t="s">
        <v>1278</v>
      </c>
      <c r="H188" s="34">
        <v>11</v>
      </c>
      <c r="I188" s="34">
        <v>7</v>
      </c>
      <c r="J188" s="34">
        <v>35</v>
      </c>
      <c r="K188" s="34">
        <v>27</v>
      </c>
      <c r="L188" s="135">
        <v>13</v>
      </c>
      <c r="M188" s="135">
        <v>11</v>
      </c>
      <c r="N188" s="135">
        <v>10</v>
      </c>
      <c r="O188" s="135">
        <v>8</v>
      </c>
      <c r="P188" s="218">
        <f t="shared" si="4"/>
        <v>122</v>
      </c>
    </row>
    <row r="189" spans="1:16" x14ac:dyDescent="0.35">
      <c r="A189" s="287"/>
      <c r="B189" s="287"/>
      <c r="C189" s="32" t="s">
        <v>1623</v>
      </c>
      <c r="D189" s="32" t="s">
        <v>1773</v>
      </c>
      <c r="E189" s="32" t="s">
        <v>1794</v>
      </c>
      <c r="F189" s="32" t="s">
        <v>1798</v>
      </c>
      <c r="G189" s="33" t="s">
        <v>1279</v>
      </c>
      <c r="H189" s="34">
        <v>2</v>
      </c>
      <c r="I189" s="34">
        <v>4</v>
      </c>
      <c r="J189" s="34">
        <v>25</v>
      </c>
      <c r="K189" s="34">
        <v>25</v>
      </c>
      <c r="L189" s="135">
        <v>6</v>
      </c>
      <c r="M189" s="135">
        <v>4</v>
      </c>
      <c r="N189" s="135">
        <v>10</v>
      </c>
      <c r="O189" s="135">
        <v>10</v>
      </c>
      <c r="P189" s="218">
        <f t="shared" si="4"/>
        <v>86</v>
      </c>
    </row>
    <row r="190" spans="1:16" x14ac:dyDescent="0.35">
      <c r="A190" s="287"/>
      <c r="B190" s="287"/>
      <c r="C190" s="32" t="s">
        <v>1623</v>
      </c>
      <c r="D190" s="32" t="s">
        <v>1773</v>
      </c>
      <c r="E190" s="32" t="s">
        <v>1794</v>
      </c>
      <c r="F190" s="43" t="s">
        <v>1798</v>
      </c>
      <c r="G190" s="33" t="s">
        <v>1280</v>
      </c>
      <c r="H190" s="34">
        <v>3</v>
      </c>
      <c r="I190" s="34">
        <v>2</v>
      </c>
      <c r="J190" s="34">
        <v>26</v>
      </c>
      <c r="K190" s="34">
        <v>38</v>
      </c>
      <c r="L190" s="135">
        <v>5</v>
      </c>
      <c r="M190" s="135">
        <v>7</v>
      </c>
      <c r="N190" s="135">
        <v>5</v>
      </c>
      <c r="O190" s="135">
        <v>9</v>
      </c>
      <c r="P190" s="218">
        <f t="shared" si="4"/>
        <v>95</v>
      </c>
    </row>
    <row r="191" spans="1:16" x14ac:dyDescent="0.35">
      <c r="A191" s="287"/>
      <c r="B191" s="287"/>
      <c r="C191" s="32" t="s">
        <v>1623</v>
      </c>
      <c r="D191" s="32" t="s">
        <v>1773</v>
      </c>
      <c r="E191" s="32" t="s">
        <v>1794</v>
      </c>
      <c r="F191" s="32" t="s">
        <v>1797</v>
      </c>
      <c r="G191" s="33" t="s">
        <v>1281</v>
      </c>
      <c r="H191" s="34">
        <v>4</v>
      </c>
      <c r="I191" s="34">
        <v>7</v>
      </c>
      <c r="J191" s="34">
        <v>39</v>
      </c>
      <c r="K191" s="34">
        <v>23</v>
      </c>
      <c r="L191" s="135">
        <v>8</v>
      </c>
      <c r="M191" s="135">
        <v>5</v>
      </c>
      <c r="N191" s="135">
        <v>20</v>
      </c>
      <c r="O191" s="135">
        <v>31</v>
      </c>
      <c r="P191" s="218">
        <f t="shared" si="4"/>
        <v>137</v>
      </c>
    </row>
    <row r="192" spans="1:16" x14ac:dyDescent="0.35">
      <c r="A192" s="52"/>
      <c r="B192" s="52"/>
      <c r="C192" s="52"/>
      <c r="D192" s="52"/>
      <c r="E192" s="52"/>
      <c r="F192" s="52"/>
      <c r="G192" s="52" t="s">
        <v>2</v>
      </c>
      <c r="H192" s="195">
        <f>SUM(H145:H191)</f>
        <v>232</v>
      </c>
      <c r="I192" s="195">
        <f t="shared" ref="I192:O192" si="6">SUM(I145:I191)</f>
        <v>257</v>
      </c>
      <c r="J192" s="196">
        <f t="shared" si="6"/>
        <v>1886</v>
      </c>
      <c r="K192" s="196">
        <f t="shared" si="6"/>
        <v>1943</v>
      </c>
      <c r="L192" s="193">
        <f t="shared" si="6"/>
        <v>495</v>
      </c>
      <c r="M192" s="193">
        <f t="shared" si="6"/>
        <v>532</v>
      </c>
      <c r="N192" s="194">
        <f t="shared" si="6"/>
        <v>755</v>
      </c>
      <c r="O192" s="194">
        <f t="shared" si="6"/>
        <v>780</v>
      </c>
      <c r="P192" s="217">
        <f t="shared" si="4"/>
        <v>6880</v>
      </c>
    </row>
    <row r="193" spans="1:16" x14ac:dyDescent="0.35">
      <c r="A193" s="287">
        <v>5</v>
      </c>
      <c r="B193" s="287" t="s">
        <v>1898</v>
      </c>
      <c r="C193" s="32" t="s">
        <v>1623</v>
      </c>
      <c r="D193" s="32" t="s">
        <v>1773</v>
      </c>
      <c r="E193" s="32" t="s">
        <v>1799</v>
      </c>
      <c r="F193" s="32" t="s">
        <v>1802</v>
      </c>
      <c r="G193" s="33" t="s">
        <v>1282</v>
      </c>
      <c r="H193" s="34">
        <v>9</v>
      </c>
      <c r="I193" s="34">
        <v>11</v>
      </c>
      <c r="J193" s="34">
        <v>103</v>
      </c>
      <c r="K193" s="34">
        <v>107</v>
      </c>
      <c r="L193" s="135">
        <v>30</v>
      </c>
      <c r="M193" s="135">
        <v>30</v>
      </c>
      <c r="N193" s="135">
        <v>20</v>
      </c>
      <c r="O193" s="135">
        <v>32</v>
      </c>
      <c r="P193" s="218">
        <f t="shared" si="4"/>
        <v>342</v>
      </c>
    </row>
    <row r="194" spans="1:16" x14ac:dyDescent="0.35">
      <c r="A194" s="287"/>
      <c r="B194" s="287"/>
      <c r="C194" s="32" t="s">
        <v>1623</v>
      </c>
      <c r="D194" s="32" t="s">
        <v>1773</v>
      </c>
      <c r="E194" s="32" t="s">
        <v>1799</v>
      </c>
      <c r="F194" s="43" t="s">
        <v>1801</v>
      </c>
      <c r="G194" s="33" t="s">
        <v>1283</v>
      </c>
      <c r="H194" s="34">
        <v>6</v>
      </c>
      <c r="I194" s="34">
        <v>4</v>
      </c>
      <c r="J194" s="34">
        <v>40</v>
      </c>
      <c r="K194" s="34">
        <v>42</v>
      </c>
      <c r="L194" s="135">
        <v>3</v>
      </c>
      <c r="M194" s="135">
        <v>2</v>
      </c>
      <c r="N194" s="135">
        <v>15</v>
      </c>
      <c r="O194" s="135">
        <v>15</v>
      </c>
      <c r="P194" s="218">
        <f t="shared" si="4"/>
        <v>127</v>
      </c>
    </row>
    <row r="195" spans="1:16" x14ac:dyDescent="0.35">
      <c r="A195" s="287"/>
      <c r="B195" s="287"/>
      <c r="C195" s="32" t="s">
        <v>1623</v>
      </c>
      <c r="D195" s="32" t="s">
        <v>1773</v>
      </c>
      <c r="E195" s="32" t="s">
        <v>1799</v>
      </c>
      <c r="F195" s="32" t="s">
        <v>1801</v>
      </c>
      <c r="G195" s="33" t="s">
        <v>1284</v>
      </c>
      <c r="H195" s="34">
        <v>1</v>
      </c>
      <c r="I195" s="34">
        <v>3</v>
      </c>
      <c r="J195" s="34">
        <v>37</v>
      </c>
      <c r="K195" s="34">
        <v>50</v>
      </c>
      <c r="L195" s="135">
        <v>8</v>
      </c>
      <c r="M195" s="135">
        <v>9</v>
      </c>
      <c r="N195" s="135">
        <v>6</v>
      </c>
      <c r="O195" s="135">
        <v>5</v>
      </c>
      <c r="P195" s="218">
        <f t="shared" si="4"/>
        <v>119</v>
      </c>
    </row>
    <row r="196" spans="1:16" x14ac:dyDescent="0.35">
      <c r="A196" s="287"/>
      <c r="B196" s="287"/>
      <c r="C196" s="32" t="s">
        <v>1623</v>
      </c>
      <c r="D196" s="32" t="s">
        <v>1773</v>
      </c>
      <c r="E196" s="32" t="s">
        <v>1799</v>
      </c>
      <c r="F196" s="32" t="s">
        <v>1801</v>
      </c>
      <c r="G196" s="33" t="s">
        <v>1285</v>
      </c>
      <c r="H196" s="34">
        <v>13</v>
      </c>
      <c r="I196" s="34">
        <v>9</v>
      </c>
      <c r="J196" s="34">
        <v>80</v>
      </c>
      <c r="K196" s="34">
        <v>64</v>
      </c>
      <c r="L196" s="135">
        <v>9</v>
      </c>
      <c r="M196" s="135">
        <v>7</v>
      </c>
      <c r="N196" s="135">
        <v>5</v>
      </c>
      <c r="O196" s="135">
        <v>15</v>
      </c>
      <c r="P196" s="218">
        <f t="shared" si="4"/>
        <v>202</v>
      </c>
    </row>
    <row r="197" spans="1:16" x14ac:dyDescent="0.35">
      <c r="A197" s="287"/>
      <c r="B197" s="287"/>
      <c r="C197" s="32" t="s">
        <v>1623</v>
      </c>
      <c r="D197" s="32" t="s">
        <v>1773</v>
      </c>
      <c r="E197" s="32" t="s">
        <v>1799</v>
      </c>
      <c r="F197" s="32" t="s">
        <v>1802</v>
      </c>
      <c r="G197" s="33" t="s">
        <v>1286</v>
      </c>
      <c r="H197" s="34">
        <v>10</v>
      </c>
      <c r="I197" s="34">
        <v>9</v>
      </c>
      <c r="J197" s="34">
        <v>21</v>
      </c>
      <c r="K197" s="34">
        <v>23</v>
      </c>
      <c r="L197" s="135">
        <v>3</v>
      </c>
      <c r="M197" s="135">
        <v>1</v>
      </c>
      <c r="N197" s="135">
        <v>2</v>
      </c>
      <c r="O197" s="135">
        <v>5</v>
      </c>
      <c r="P197" s="218">
        <f t="shared" si="4"/>
        <v>74</v>
      </c>
    </row>
    <row r="198" spans="1:16" x14ac:dyDescent="0.35">
      <c r="A198" s="287"/>
      <c r="B198" s="287"/>
      <c r="C198" s="32" t="s">
        <v>1623</v>
      </c>
      <c r="D198" s="32" t="s">
        <v>1773</v>
      </c>
      <c r="E198" s="32" t="s">
        <v>1799</v>
      </c>
      <c r="F198" s="32" t="s">
        <v>1802</v>
      </c>
      <c r="G198" s="33" t="s">
        <v>1287</v>
      </c>
      <c r="H198" s="34">
        <v>2</v>
      </c>
      <c r="I198" s="34">
        <v>5</v>
      </c>
      <c r="J198" s="34">
        <v>31</v>
      </c>
      <c r="K198" s="34">
        <v>29</v>
      </c>
      <c r="L198" s="135">
        <v>5</v>
      </c>
      <c r="M198" s="135">
        <v>5</v>
      </c>
      <c r="N198" s="135">
        <v>5</v>
      </c>
      <c r="O198" s="135">
        <v>5</v>
      </c>
      <c r="P198" s="218">
        <f t="shared" ref="P198:P261" si="7">H198+I198+J198+K198+L198+M198+N198+O198</f>
        <v>87</v>
      </c>
    </row>
    <row r="199" spans="1:16" x14ac:dyDescent="0.35">
      <c r="A199" s="287"/>
      <c r="B199" s="287"/>
      <c r="C199" s="32" t="s">
        <v>1623</v>
      </c>
      <c r="D199" s="32" t="s">
        <v>1773</v>
      </c>
      <c r="E199" s="32" t="s">
        <v>1799</v>
      </c>
      <c r="F199" s="43" t="s">
        <v>1802</v>
      </c>
      <c r="G199" s="33" t="s">
        <v>1288</v>
      </c>
      <c r="H199" s="34">
        <v>5</v>
      </c>
      <c r="I199" s="34">
        <v>7</v>
      </c>
      <c r="J199" s="34">
        <v>23</v>
      </c>
      <c r="K199" s="34">
        <v>30</v>
      </c>
      <c r="L199" s="135">
        <v>8</v>
      </c>
      <c r="M199" s="135">
        <v>10</v>
      </c>
      <c r="N199" s="135">
        <v>5</v>
      </c>
      <c r="O199" s="135">
        <v>2</v>
      </c>
      <c r="P199" s="218">
        <f t="shared" si="7"/>
        <v>90</v>
      </c>
    </row>
    <row r="200" spans="1:16" x14ac:dyDescent="0.35">
      <c r="A200" s="287"/>
      <c r="B200" s="287"/>
      <c r="C200" s="32" t="s">
        <v>1623</v>
      </c>
      <c r="D200" s="32" t="s">
        <v>1773</v>
      </c>
      <c r="E200" s="32" t="s">
        <v>1799</v>
      </c>
      <c r="F200" s="32" t="s">
        <v>1802</v>
      </c>
      <c r="G200" s="33" t="s">
        <v>1289</v>
      </c>
      <c r="H200" s="34">
        <v>5</v>
      </c>
      <c r="I200" s="34">
        <v>8</v>
      </c>
      <c r="J200" s="34">
        <v>49</v>
      </c>
      <c r="K200" s="34">
        <v>68</v>
      </c>
      <c r="L200" s="135">
        <v>9</v>
      </c>
      <c r="M200" s="135">
        <v>28</v>
      </c>
      <c r="N200" s="135">
        <v>6</v>
      </c>
      <c r="O200" s="135">
        <v>12</v>
      </c>
      <c r="P200" s="218">
        <f t="shared" si="7"/>
        <v>185</v>
      </c>
    </row>
    <row r="201" spans="1:16" x14ac:dyDescent="0.35">
      <c r="A201" s="287"/>
      <c r="B201" s="287"/>
      <c r="C201" s="32" t="s">
        <v>1623</v>
      </c>
      <c r="D201" s="32" t="s">
        <v>1773</v>
      </c>
      <c r="E201" s="32" t="s">
        <v>1799</v>
      </c>
      <c r="F201" s="32" t="s">
        <v>1802</v>
      </c>
      <c r="G201" s="33" t="s">
        <v>1290</v>
      </c>
      <c r="H201" s="34">
        <v>3</v>
      </c>
      <c r="I201" s="34">
        <v>2</v>
      </c>
      <c r="J201" s="34">
        <v>41</v>
      </c>
      <c r="K201" s="34">
        <v>30</v>
      </c>
      <c r="L201" s="135">
        <v>19</v>
      </c>
      <c r="M201" s="135">
        <v>11</v>
      </c>
      <c r="N201" s="135">
        <v>4</v>
      </c>
      <c r="O201" s="135">
        <v>6</v>
      </c>
      <c r="P201" s="218">
        <f t="shared" si="7"/>
        <v>116</v>
      </c>
    </row>
    <row r="202" spans="1:16" x14ac:dyDescent="0.35">
      <c r="A202" s="287"/>
      <c r="B202" s="287"/>
      <c r="C202" s="32" t="s">
        <v>1623</v>
      </c>
      <c r="D202" s="32" t="s">
        <v>1773</v>
      </c>
      <c r="E202" s="32" t="s">
        <v>1799</v>
      </c>
      <c r="F202" s="32" t="s">
        <v>1800</v>
      </c>
      <c r="G202" s="33" t="s">
        <v>1291</v>
      </c>
      <c r="H202" s="34">
        <v>11</v>
      </c>
      <c r="I202" s="34">
        <v>11</v>
      </c>
      <c r="J202" s="34">
        <v>32</v>
      </c>
      <c r="K202" s="34">
        <v>29</v>
      </c>
      <c r="L202" s="135">
        <v>4</v>
      </c>
      <c r="M202" s="135">
        <v>8</v>
      </c>
      <c r="N202" s="135">
        <v>7</v>
      </c>
      <c r="O202" s="135">
        <v>6</v>
      </c>
      <c r="P202" s="218">
        <f t="shared" si="7"/>
        <v>108</v>
      </c>
    </row>
    <row r="203" spans="1:16" x14ac:dyDescent="0.35">
      <c r="A203" s="287"/>
      <c r="B203" s="287"/>
      <c r="C203" s="32" t="s">
        <v>1623</v>
      </c>
      <c r="D203" s="32" t="s">
        <v>1773</v>
      </c>
      <c r="E203" s="32" t="s">
        <v>1799</v>
      </c>
      <c r="F203" s="32" t="s">
        <v>1801</v>
      </c>
      <c r="G203" s="33" t="s">
        <v>1292</v>
      </c>
      <c r="H203" s="34">
        <v>8</v>
      </c>
      <c r="I203" s="34">
        <v>9</v>
      </c>
      <c r="J203" s="34">
        <v>69</v>
      </c>
      <c r="K203" s="34">
        <v>70</v>
      </c>
      <c r="L203" s="135">
        <v>8</v>
      </c>
      <c r="M203" s="135">
        <v>9</v>
      </c>
      <c r="N203" s="135">
        <v>19</v>
      </c>
      <c r="O203" s="135">
        <v>27</v>
      </c>
      <c r="P203" s="218">
        <f t="shared" si="7"/>
        <v>219</v>
      </c>
    </row>
    <row r="204" spans="1:16" x14ac:dyDescent="0.35">
      <c r="A204" s="287"/>
      <c r="B204" s="287"/>
      <c r="C204" s="32" t="s">
        <v>1623</v>
      </c>
      <c r="D204" s="32" t="s">
        <v>1773</v>
      </c>
      <c r="E204" s="32" t="s">
        <v>1799</v>
      </c>
      <c r="F204" s="32" t="s">
        <v>1800</v>
      </c>
      <c r="G204" s="33" t="s">
        <v>1247</v>
      </c>
      <c r="H204" s="34">
        <v>5</v>
      </c>
      <c r="I204" s="34">
        <v>9</v>
      </c>
      <c r="J204" s="34">
        <v>35</v>
      </c>
      <c r="K204" s="34">
        <v>38</v>
      </c>
      <c r="L204" s="135">
        <v>7</v>
      </c>
      <c r="M204" s="135">
        <v>6</v>
      </c>
      <c r="N204" s="135">
        <v>3</v>
      </c>
      <c r="O204" s="135">
        <v>4</v>
      </c>
      <c r="P204" s="218">
        <f t="shared" si="7"/>
        <v>107</v>
      </c>
    </row>
    <row r="205" spans="1:16" x14ac:dyDescent="0.35">
      <c r="A205" s="287"/>
      <c r="B205" s="287"/>
      <c r="C205" s="32" t="s">
        <v>1623</v>
      </c>
      <c r="D205" s="32" t="s">
        <v>1773</v>
      </c>
      <c r="E205" s="32" t="s">
        <v>1799</v>
      </c>
      <c r="F205" s="32" t="s">
        <v>1800</v>
      </c>
      <c r="G205" s="33" t="s">
        <v>1293</v>
      </c>
      <c r="H205" s="34">
        <v>3</v>
      </c>
      <c r="I205" s="34">
        <v>4</v>
      </c>
      <c r="J205" s="34">
        <v>22</v>
      </c>
      <c r="K205" s="34">
        <v>11</v>
      </c>
      <c r="L205" s="135">
        <v>8</v>
      </c>
      <c r="M205" s="135">
        <v>8</v>
      </c>
      <c r="N205" s="135">
        <v>11</v>
      </c>
      <c r="O205" s="135">
        <v>9</v>
      </c>
      <c r="P205" s="218">
        <f t="shared" si="7"/>
        <v>76</v>
      </c>
    </row>
    <row r="206" spans="1:16" x14ac:dyDescent="0.35">
      <c r="A206" s="287"/>
      <c r="B206" s="287"/>
      <c r="C206" s="32" t="s">
        <v>1623</v>
      </c>
      <c r="D206" s="32" t="s">
        <v>1773</v>
      </c>
      <c r="E206" s="32" t="s">
        <v>1799</v>
      </c>
      <c r="F206" s="32" t="s">
        <v>1800</v>
      </c>
      <c r="G206" s="33" t="s">
        <v>1294</v>
      </c>
      <c r="H206" s="34">
        <v>7</v>
      </c>
      <c r="I206" s="34">
        <v>11</v>
      </c>
      <c r="J206" s="34">
        <v>28</v>
      </c>
      <c r="K206" s="34">
        <v>24</v>
      </c>
      <c r="L206" s="135">
        <v>8</v>
      </c>
      <c r="M206" s="135">
        <v>10</v>
      </c>
      <c r="N206" s="135">
        <v>4</v>
      </c>
      <c r="O206" s="135">
        <v>6</v>
      </c>
      <c r="P206" s="218">
        <f t="shared" si="7"/>
        <v>98</v>
      </c>
    </row>
    <row r="207" spans="1:16" x14ac:dyDescent="0.35">
      <c r="A207" s="287"/>
      <c r="B207" s="287"/>
      <c r="C207" s="32" t="s">
        <v>1623</v>
      </c>
      <c r="D207" s="32" t="s">
        <v>1773</v>
      </c>
      <c r="E207" s="32" t="s">
        <v>1799</v>
      </c>
      <c r="F207" s="32" t="s">
        <v>1802</v>
      </c>
      <c r="G207" s="33" t="s">
        <v>1295</v>
      </c>
      <c r="H207" s="34">
        <v>2</v>
      </c>
      <c r="I207" s="34">
        <v>5</v>
      </c>
      <c r="J207" s="34">
        <v>33</v>
      </c>
      <c r="K207" s="34">
        <v>37</v>
      </c>
      <c r="L207" s="135">
        <v>3</v>
      </c>
      <c r="M207" s="135">
        <v>2</v>
      </c>
      <c r="N207" s="135">
        <v>4</v>
      </c>
      <c r="O207" s="135">
        <v>6</v>
      </c>
      <c r="P207" s="218">
        <f t="shared" si="7"/>
        <v>92</v>
      </c>
    </row>
    <row r="208" spans="1:16" x14ac:dyDescent="0.35">
      <c r="A208" s="287"/>
      <c r="B208" s="287"/>
      <c r="C208" s="32" t="s">
        <v>1623</v>
      </c>
      <c r="D208" s="32" t="s">
        <v>1773</v>
      </c>
      <c r="E208" s="32" t="s">
        <v>1799</v>
      </c>
      <c r="F208" s="32" t="s">
        <v>1800</v>
      </c>
      <c r="G208" s="33" t="s">
        <v>1296</v>
      </c>
      <c r="H208" s="34">
        <v>7</v>
      </c>
      <c r="I208" s="34">
        <v>3</v>
      </c>
      <c r="J208" s="34">
        <v>35</v>
      </c>
      <c r="K208" s="34">
        <v>40</v>
      </c>
      <c r="L208" s="135">
        <v>8</v>
      </c>
      <c r="M208" s="135">
        <v>7</v>
      </c>
      <c r="N208" s="135">
        <v>12</v>
      </c>
      <c r="O208" s="135">
        <v>17</v>
      </c>
      <c r="P208" s="218">
        <f t="shared" si="7"/>
        <v>129</v>
      </c>
    </row>
    <row r="209" spans="1:16" x14ac:dyDescent="0.35">
      <c r="A209" s="287"/>
      <c r="B209" s="287"/>
      <c r="C209" s="32" t="s">
        <v>1623</v>
      </c>
      <c r="D209" s="32" t="s">
        <v>1773</v>
      </c>
      <c r="E209" s="32" t="s">
        <v>1799</v>
      </c>
      <c r="F209" s="32" t="s">
        <v>1800</v>
      </c>
      <c r="G209" s="33" t="s">
        <v>1297</v>
      </c>
      <c r="H209" s="34">
        <v>8</v>
      </c>
      <c r="I209" s="34">
        <v>9</v>
      </c>
      <c r="J209" s="34">
        <v>57</v>
      </c>
      <c r="K209" s="34">
        <v>68</v>
      </c>
      <c r="L209" s="135">
        <v>13</v>
      </c>
      <c r="M209" s="135">
        <v>15</v>
      </c>
      <c r="N209" s="135">
        <v>19</v>
      </c>
      <c r="O209" s="135">
        <v>28</v>
      </c>
      <c r="P209" s="218">
        <f t="shared" si="7"/>
        <v>217</v>
      </c>
    </row>
    <row r="210" spans="1:16" x14ac:dyDescent="0.35">
      <c r="A210" s="287"/>
      <c r="B210" s="287"/>
      <c r="C210" s="32" t="s">
        <v>1623</v>
      </c>
      <c r="D210" s="32" t="s">
        <v>1773</v>
      </c>
      <c r="E210" s="32" t="s">
        <v>1799</v>
      </c>
      <c r="F210" s="32" t="s">
        <v>1801</v>
      </c>
      <c r="G210" s="33" t="s">
        <v>1285</v>
      </c>
      <c r="H210" s="34">
        <v>9</v>
      </c>
      <c r="I210" s="34">
        <v>8</v>
      </c>
      <c r="J210" s="34">
        <v>43</v>
      </c>
      <c r="K210" s="34">
        <v>40</v>
      </c>
      <c r="L210" s="135">
        <v>5</v>
      </c>
      <c r="M210" s="135">
        <v>7</v>
      </c>
      <c r="N210" s="135">
        <v>8</v>
      </c>
      <c r="O210" s="135">
        <v>6</v>
      </c>
      <c r="P210" s="218">
        <f t="shared" si="7"/>
        <v>126</v>
      </c>
    </row>
    <row r="211" spans="1:16" x14ac:dyDescent="0.35">
      <c r="A211" s="287"/>
      <c r="B211" s="287"/>
      <c r="C211" s="32" t="s">
        <v>1623</v>
      </c>
      <c r="D211" s="32" t="s">
        <v>1773</v>
      </c>
      <c r="E211" s="32" t="s">
        <v>1799</v>
      </c>
      <c r="F211" s="32" t="s">
        <v>1801</v>
      </c>
      <c r="G211" s="33" t="s">
        <v>1298</v>
      </c>
      <c r="H211" s="34">
        <v>6</v>
      </c>
      <c r="I211" s="34">
        <v>6</v>
      </c>
      <c r="J211" s="34">
        <v>28</v>
      </c>
      <c r="K211" s="34">
        <v>33</v>
      </c>
      <c r="L211" s="135">
        <v>7</v>
      </c>
      <c r="M211" s="135">
        <v>5</v>
      </c>
      <c r="N211" s="135">
        <v>7</v>
      </c>
      <c r="O211" s="135">
        <v>7</v>
      </c>
      <c r="P211" s="218">
        <f t="shared" si="7"/>
        <v>99</v>
      </c>
    </row>
    <row r="212" spans="1:16" x14ac:dyDescent="0.35">
      <c r="A212" s="287"/>
      <c r="B212" s="287"/>
      <c r="C212" s="32" t="s">
        <v>1623</v>
      </c>
      <c r="D212" s="32" t="s">
        <v>1773</v>
      </c>
      <c r="E212" s="32" t="s">
        <v>1799</v>
      </c>
      <c r="F212" s="32" t="s">
        <v>1801</v>
      </c>
      <c r="G212" s="33" t="s">
        <v>1299</v>
      </c>
      <c r="H212" s="34">
        <v>9</v>
      </c>
      <c r="I212" s="34">
        <v>3</v>
      </c>
      <c r="J212" s="34">
        <v>45</v>
      </c>
      <c r="K212" s="34">
        <v>51</v>
      </c>
      <c r="L212" s="135">
        <v>10</v>
      </c>
      <c r="M212" s="135">
        <v>9</v>
      </c>
      <c r="N212" s="135">
        <v>11</v>
      </c>
      <c r="O212" s="135">
        <v>7</v>
      </c>
      <c r="P212" s="218">
        <f t="shared" si="7"/>
        <v>145</v>
      </c>
    </row>
    <row r="213" spans="1:16" x14ac:dyDescent="0.35">
      <c r="A213" s="52"/>
      <c r="B213" s="52"/>
      <c r="C213" s="52"/>
      <c r="D213" s="52"/>
      <c r="E213" s="52"/>
      <c r="F213" s="52"/>
      <c r="G213" s="52" t="s">
        <v>2</v>
      </c>
      <c r="H213" s="195">
        <f>SUM(H193:H212)</f>
        <v>129</v>
      </c>
      <c r="I213" s="195">
        <f t="shared" ref="I213:O213" si="8">SUM(I193:I212)</f>
        <v>136</v>
      </c>
      <c r="J213" s="196">
        <f>SUM(J193:J212)</f>
        <v>852</v>
      </c>
      <c r="K213" s="196">
        <f t="shared" si="8"/>
        <v>884</v>
      </c>
      <c r="L213" s="191">
        <f>SUM(L193:L212)</f>
        <v>175</v>
      </c>
      <c r="M213" s="191">
        <f t="shared" si="8"/>
        <v>189</v>
      </c>
      <c r="N213" s="192">
        <f t="shared" si="8"/>
        <v>173</v>
      </c>
      <c r="O213" s="192">
        <f t="shared" si="8"/>
        <v>220</v>
      </c>
      <c r="P213" s="217">
        <f t="shared" si="7"/>
        <v>2758</v>
      </c>
    </row>
    <row r="214" spans="1:16" x14ac:dyDescent="0.35">
      <c r="A214" s="287">
        <v>6</v>
      </c>
      <c r="B214" s="287" t="s">
        <v>1899</v>
      </c>
      <c r="C214" s="32" t="s">
        <v>1623</v>
      </c>
      <c r="D214" s="32" t="s">
        <v>1773</v>
      </c>
      <c r="E214" s="32" t="s">
        <v>1803</v>
      </c>
      <c r="F214" s="32" t="s">
        <v>1807</v>
      </c>
      <c r="G214" s="33" t="s">
        <v>1301</v>
      </c>
      <c r="H214" s="34">
        <v>8</v>
      </c>
      <c r="I214" s="34">
        <v>3</v>
      </c>
      <c r="J214" s="34">
        <v>50</v>
      </c>
      <c r="K214" s="34">
        <v>41</v>
      </c>
      <c r="L214" s="135">
        <v>5</v>
      </c>
      <c r="M214" s="135">
        <v>5</v>
      </c>
      <c r="N214" s="135">
        <v>25</v>
      </c>
      <c r="O214" s="135">
        <v>6</v>
      </c>
      <c r="P214" s="218">
        <f t="shared" si="7"/>
        <v>143</v>
      </c>
    </row>
    <row r="215" spans="1:16" x14ac:dyDescent="0.35">
      <c r="A215" s="287"/>
      <c r="B215" s="287"/>
      <c r="C215" s="32" t="s">
        <v>1623</v>
      </c>
      <c r="D215" s="32" t="s">
        <v>1773</v>
      </c>
      <c r="E215" s="32" t="s">
        <v>1803</v>
      </c>
      <c r="F215" s="32" t="s">
        <v>1807</v>
      </c>
      <c r="G215" s="33" t="s">
        <v>1302</v>
      </c>
      <c r="H215" s="34">
        <v>3</v>
      </c>
      <c r="I215" s="34">
        <v>5</v>
      </c>
      <c r="J215" s="34">
        <v>42</v>
      </c>
      <c r="K215" s="34">
        <v>52</v>
      </c>
      <c r="L215" s="135">
        <v>5</v>
      </c>
      <c r="M215" s="135">
        <v>5</v>
      </c>
      <c r="N215" s="135">
        <v>6</v>
      </c>
      <c r="O215" s="135">
        <v>14</v>
      </c>
      <c r="P215" s="218">
        <f t="shared" si="7"/>
        <v>132</v>
      </c>
    </row>
    <row r="216" spans="1:16" x14ac:dyDescent="0.35">
      <c r="A216" s="287"/>
      <c r="B216" s="287"/>
      <c r="C216" s="32" t="s">
        <v>1623</v>
      </c>
      <c r="D216" s="32" t="s">
        <v>1773</v>
      </c>
      <c r="E216" s="32" t="s">
        <v>1803</v>
      </c>
      <c r="F216" s="32" t="s">
        <v>1806</v>
      </c>
      <c r="G216" s="33" t="s">
        <v>1303</v>
      </c>
      <c r="H216" s="34">
        <v>20</v>
      </c>
      <c r="I216" s="34">
        <v>13</v>
      </c>
      <c r="J216" s="34">
        <v>86</v>
      </c>
      <c r="K216" s="34">
        <v>98</v>
      </c>
      <c r="L216" s="135">
        <v>10</v>
      </c>
      <c r="M216" s="135">
        <v>15</v>
      </c>
      <c r="N216" s="135">
        <v>23</v>
      </c>
      <c r="O216" s="135">
        <v>27</v>
      </c>
      <c r="P216" s="218">
        <f t="shared" si="7"/>
        <v>292</v>
      </c>
    </row>
    <row r="217" spans="1:16" x14ac:dyDescent="0.35">
      <c r="A217" s="287"/>
      <c r="B217" s="287"/>
      <c r="C217" s="32" t="s">
        <v>1623</v>
      </c>
      <c r="D217" s="32" t="s">
        <v>1773</v>
      </c>
      <c r="E217" s="32" t="s">
        <v>1803</v>
      </c>
      <c r="F217" s="32" t="s">
        <v>1806</v>
      </c>
      <c r="G217" s="33" t="s">
        <v>1304</v>
      </c>
      <c r="H217" s="34">
        <v>10</v>
      </c>
      <c r="I217" s="34">
        <v>7</v>
      </c>
      <c r="J217" s="34">
        <v>55</v>
      </c>
      <c r="K217" s="34">
        <v>75</v>
      </c>
      <c r="L217" s="135">
        <v>10</v>
      </c>
      <c r="M217" s="135">
        <v>18</v>
      </c>
      <c r="N217" s="135">
        <v>14</v>
      </c>
      <c r="O217" s="135">
        <v>16</v>
      </c>
      <c r="P217" s="218">
        <f t="shared" si="7"/>
        <v>205</v>
      </c>
    </row>
    <row r="218" spans="1:16" x14ac:dyDescent="0.35">
      <c r="A218" s="287"/>
      <c r="B218" s="287"/>
      <c r="C218" s="32" t="s">
        <v>1623</v>
      </c>
      <c r="D218" s="32" t="s">
        <v>1773</v>
      </c>
      <c r="E218" s="32" t="s">
        <v>1803</v>
      </c>
      <c r="F218" s="32" t="s">
        <v>1807</v>
      </c>
      <c r="G218" s="33" t="s">
        <v>1305</v>
      </c>
      <c r="H218" s="34">
        <v>16</v>
      </c>
      <c r="I218" s="34">
        <v>10</v>
      </c>
      <c r="J218" s="34">
        <v>40</v>
      </c>
      <c r="K218" s="34">
        <v>66</v>
      </c>
      <c r="L218" s="135">
        <v>8</v>
      </c>
      <c r="M218" s="135">
        <v>7</v>
      </c>
      <c r="N218" s="135">
        <v>13</v>
      </c>
      <c r="O218" s="135">
        <v>16</v>
      </c>
      <c r="P218" s="218">
        <f t="shared" si="7"/>
        <v>176</v>
      </c>
    </row>
    <row r="219" spans="1:16" x14ac:dyDescent="0.35">
      <c r="A219" s="287"/>
      <c r="B219" s="287"/>
      <c r="C219" s="32" t="s">
        <v>1623</v>
      </c>
      <c r="D219" s="32" t="s">
        <v>1773</v>
      </c>
      <c r="E219" s="32" t="s">
        <v>1803</v>
      </c>
      <c r="F219" s="32" t="s">
        <v>1807</v>
      </c>
      <c r="G219" s="33" t="s">
        <v>1306</v>
      </c>
      <c r="H219" s="34">
        <v>9</v>
      </c>
      <c r="I219" s="34">
        <v>5</v>
      </c>
      <c r="J219" s="34">
        <v>40</v>
      </c>
      <c r="K219" s="34">
        <v>57</v>
      </c>
      <c r="L219" s="135">
        <v>3</v>
      </c>
      <c r="M219" s="135">
        <v>9</v>
      </c>
      <c r="N219" s="135">
        <v>12</v>
      </c>
      <c r="O219" s="135">
        <v>13</v>
      </c>
      <c r="P219" s="218">
        <f t="shared" si="7"/>
        <v>148</v>
      </c>
    </row>
    <row r="220" spans="1:16" x14ac:dyDescent="0.35">
      <c r="A220" s="287"/>
      <c r="B220" s="287"/>
      <c r="C220" s="32" t="s">
        <v>1623</v>
      </c>
      <c r="D220" s="32" t="s">
        <v>1773</v>
      </c>
      <c r="E220" s="32" t="s">
        <v>1803</v>
      </c>
      <c r="F220" s="32" t="s">
        <v>1806</v>
      </c>
      <c r="G220" s="33" t="s">
        <v>1307</v>
      </c>
      <c r="H220" s="34">
        <v>28</v>
      </c>
      <c r="I220" s="34">
        <v>15</v>
      </c>
      <c r="J220" s="34">
        <v>50</v>
      </c>
      <c r="K220" s="34">
        <v>71</v>
      </c>
      <c r="L220" s="135">
        <v>5</v>
      </c>
      <c r="M220" s="135">
        <v>10</v>
      </c>
      <c r="N220" s="135">
        <v>17</v>
      </c>
      <c r="O220" s="135">
        <v>26</v>
      </c>
      <c r="P220" s="218">
        <f t="shared" si="7"/>
        <v>222</v>
      </c>
    </row>
    <row r="221" spans="1:16" x14ac:dyDescent="0.35">
      <c r="A221" s="287"/>
      <c r="B221" s="287"/>
      <c r="C221" s="32" t="s">
        <v>1623</v>
      </c>
      <c r="D221" s="32" t="s">
        <v>1773</v>
      </c>
      <c r="E221" s="32" t="s">
        <v>1803</v>
      </c>
      <c r="F221" s="32" t="s">
        <v>1804</v>
      </c>
      <c r="G221" s="33" t="s">
        <v>1308</v>
      </c>
      <c r="H221" s="34">
        <v>21</v>
      </c>
      <c r="I221" s="34">
        <v>13</v>
      </c>
      <c r="J221" s="34">
        <v>100</v>
      </c>
      <c r="K221" s="34">
        <v>113</v>
      </c>
      <c r="L221" s="135">
        <v>10</v>
      </c>
      <c r="M221" s="135">
        <v>18</v>
      </c>
      <c r="N221" s="135">
        <v>30</v>
      </c>
      <c r="O221" s="135">
        <v>45</v>
      </c>
      <c r="P221" s="218">
        <f t="shared" si="7"/>
        <v>350</v>
      </c>
    </row>
    <row r="222" spans="1:16" x14ac:dyDescent="0.35">
      <c r="A222" s="287"/>
      <c r="B222" s="287"/>
      <c r="C222" s="32" t="s">
        <v>1623</v>
      </c>
      <c r="D222" s="32" t="s">
        <v>1773</v>
      </c>
      <c r="E222" s="32" t="s">
        <v>1803</v>
      </c>
      <c r="F222" s="32" t="s">
        <v>1804</v>
      </c>
      <c r="G222" s="33" t="s">
        <v>1309</v>
      </c>
      <c r="H222" s="34">
        <v>4</v>
      </c>
      <c r="I222" s="34">
        <v>4</v>
      </c>
      <c r="J222" s="34">
        <v>30</v>
      </c>
      <c r="K222" s="34">
        <v>22</v>
      </c>
      <c r="L222" s="135">
        <v>7</v>
      </c>
      <c r="M222" s="135">
        <v>4</v>
      </c>
      <c r="N222" s="135">
        <v>10</v>
      </c>
      <c r="O222" s="135">
        <v>13</v>
      </c>
      <c r="P222" s="218">
        <f t="shared" si="7"/>
        <v>94</v>
      </c>
    </row>
    <row r="223" spans="1:16" x14ac:dyDescent="0.35">
      <c r="A223" s="287"/>
      <c r="B223" s="287"/>
      <c r="C223" s="32" t="s">
        <v>1623</v>
      </c>
      <c r="D223" s="32" t="s">
        <v>1773</v>
      </c>
      <c r="E223" s="32" t="s">
        <v>1803</v>
      </c>
      <c r="F223" s="32" t="s">
        <v>1805</v>
      </c>
      <c r="G223" s="33" t="s">
        <v>1310</v>
      </c>
      <c r="H223" s="34">
        <v>10</v>
      </c>
      <c r="I223" s="34">
        <v>6</v>
      </c>
      <c r="J223" s="34">
        <v>41</v>
      </c>
      <c r="K223" s="34">
        <v>40</v>
      </c>
      <c r="L223" s="135">
        <v>5</v>
      </c>
      <c r="M223" s="135">
        <v>10</v>
      </c>
      <c r="N223" s="135">
        <v>17</v>
      </c>
      <c r="O223" s="135">
        <v>6</v>
      </c>
      <c r="P223" s="218">
        <f t="shared" si="7"/>
        <v>135</v>
      </c>
    </row>
    <row r="224" spans="1:16" x14ac:dyDescent="0.35">
      <c r="A224" s="287"/>
      <c r="B224" s="287"/>
      <c r="C224" s="32" t="s">
        <v>1623</v>
      </c>
      <c r="D224" s="32" t="s">
        <v>1773</v>
      </c>
      <c r="E224" s="32" t="s">
        <v>1803</v>
      </c>
      <c r="F224" s="32" t="s">
        <v>1805</v>
      </c>
      <c r="G224" s="33" t="s">
        <v>1311</v>
      </c>
      <c r="H224" s="34">
        <v>6</v>
      </c>
      <c r="I224" s="34">
        <v>7</v>
      </c>
      <c r="J224" s="34">
        <v>51</v>
      </c>
      <c r="K224" s="34">
        <v>31</v>
      </c>
      <c r="L224" s="135">
        <v>14</v>
      </c>
      <c r="M224" s="135">
        <v>17</v>
      </c>
      <c r="N224" s="135">
        <v>14</v>
      </c>
      <c r="O224" s="135">
        <v>12</v>
      </c>
      <c r="P224" s="218">
        <f t="shared" si="7"/>
        <v>152</v>
      </c>
    </row>
    <row r="225" spans="1:16" x14ac:dyDescent="0.35">
      <c r="A225" s="287"/>
      <c r="B225" s="287"/>
      <c r="C225" s="32" t="s">
        <v>1623</v>
      </c>
      <c r="D225" s="32" t="s">
        <v>1773</v>
      </c>
      <c r="E225" s="32" t="s">
        <v>1803</v>
      </c>
      <c r="F225" s="32" t="s">
        <v>1805</v>
      </c>
      <c r="G225" s="33" t="s">
        <v>1312</v>
      </c>
      <c r="H225" s="34">
        <v>9</v>
      </c>
      <c r="I225" s="34">
        <v>5</v>
      </c>
      <c r="J225" s="34">
        <v>98</v>
      </c>
      <c r="K225" s="34">
        <v>87</v>
      </c>
      <c r="L225" s="135">
        <v>8</v>
      </c>
      <c r="M225" s="135">
        <v>14</v>
      </c>
      <c r="N225" s="135">
        <v>43</v>
      </c>
      <c r="O225" s="135">
        <v>49</v>
      </c>
      <c r="P225" s="218">
        <f t="shared" si="7"/>
        <v>313</v>
      </c>
    </row>
    <row r="226" spans="1:16" x14ac:dyDescent="0.35">
      <c r="A226" s="287"/>
      <c r="B226" s="287"/>
      <c r="C226" s="32" t="s">
        <v>1623</v>
      </c>
      <c r="D226" s="32" t="s">
        <v>1773</v>
      </c>
      <c r="E226" s="32" t="s">
        <v>1803</v>
      </c>
      <c r="F226" s="32" t="s">
        <v>1806</v>
      </c>
      <c r="G226" s="33" t="s">
        <v>1313</v>
      </c>
      <c r="H226" s="34">
        <v>11</v>
      </c>
      <c r="I226" s="34">
        <v>6</v>
      </c>
      <c r="J226" s="34">
        <v>42</v>
      </c>
      <c r="K226" s="34">
        <v>46</v>
      </c>
      <c r="L226" s="135">
        <v>18</v>
      </c>
      <c r="M226" s="135">
        <v>20</v>
      </c>
      <c r="N226" s="135">
        <v>19</v>
      </c>
      <c r="O226" s="135">
        <v>19</v>
      </c>
      <c r="P226" s="218">
        <f t="shared" si="7"/>
        <v>181</v>
      </c>
    </row>
    <row r="227" spans="1:16" x14ac:dyDescent="0.35">
      <c r="A227" s="287"/>
      <c r="B227" s="287"/>
      <c r="C227" s="32" t="s">
        <v>1623</v>
      </c>
      <c r="D227" s="32" t="s">
        <v>1773</v>
      </c>
      <c r="E227" s="32" t="s">
        <v>1803</v>
      </c>
      <c r="F227" s="32" t="s">
        <v>1807</v>
      </c>
      <c r="G227" s="33" t="s">
        <v>1185</v>
      </c>
      <c r="H227" s="34">
        <v>8</v>
      </c>
      <c r="I227" s="34">
        <v>7</v>
      </c>
      <c r="J227" s="34">
        <v>50</v>
      </c>
      <c r="K227" s="34">
        <v>53</v>
      </c>
      <c r="L227" s="135">
        <v>8</v>
      </c>
      <c r="M227" s="135">
        <v>11</v>
      </c>
      <c r="N227" s="135">
        <v>15</v>
      </c>
      <c r="O227" s="135">
        <v>20</v>
      </c>
      <c r="P227" s="218">
        <f t="shared" si="7"/>
        <v>172</v>
      </c>
    </row>
    <row r="228" spans="1:16" x14ac:dyDescent="0.35">
      <c r="A228" s="287"/>
      <c r="B228" s="287"/>
      <c r="C228" s="32" t="s">
        <v>1623</v>
      </c>
      <c r="D228" s="32" t="s">
        <v>1773</v>
      </c>
      <c r="E228" s="32" t="s">
        <v>1803</v>
      </c>
      <c r="F228" s="32" t="s">
        <v>1807</v>
      </c>
      <c r="G228" s="33" t="s">
        <v>1314</v>
      </c>
      <c r="H228" s="34">
        <v>9</v>
      </c>
      <c r="I228" s="34">
        <v>5</v>
      </c>
      <c r="J228" s="34">
        <v>42</v>
      </c>
      <c r="K228" s="34">
        <v>58</v>
      </c>
      <c r="L228" s="135">
        <v>14</v>
      </c>
      <c r="M228" s="135">
        <v>14</v>
      </c>
      <c r="N228" s="135">
        <v>13</v>
      </c>
      <c r="O228" s="135">
        <v>15</v>
      </c>
      <c r="P228" s="218">
        <f t="shared" si="7"/>
        <v>170</v>
      </c>
    </row>
    <row r="229" spans="1:16" x14ac:dyDescent="0.35">
      <c r="A229" s="287"/>
      <c r="B229" s="287"/>
      <c r="C229" s="32" t="s">
        <v>1623</v>
      </c>
      <c r="D229" s="32" t="s">
        <v>1773</v>
      </c>
      <c r="E229" s="32" t="s">
        <v>1803</v>
      </c>
      <c r="F229" s="32" t="s">
        <v>1806</v>
      </c>
      <c r="G229" s="33" t="s">
        <v>1315</v>
      </c>
      <c r="H229" s="34">
        <v>4</v>
      </c>
      <c r="I229" s="34">
        <v>5</v>
      </c>
      <c r="J229" s="34">
        <v>38</v>
      </c>
      <c r="K229" s="34">
        <v>32</v>
      </c>
      <c r="L229" s="135">
        <v>6</v>
      </c>
      <c r="M229" s="135">
        <v>6</v>
      </c>
      <c r="N229" s="135">
        <v>10</v>
      </c>
      <c r="O229" s="135">
        <v>13</v>
      </c>
      <c r="P229" s="218">
        <f t="shared" si="7"/>
        <v>114</v>
      </c>
    </row>
    <row r="230" spans="1:16" x14ac:dyDescent="0.35">
      <c r="A230" s="287"/>
      <c r="B230" s="287"/>
      <c r="C230" s="32" t="s">
        <v>1623</v>
      </c>
      <c r="D230" s="32" t="s">
        <v>1773</v>
      </c>
      <c r="E230" s="32" t="s">
        <v>1803</v>
      </c>
      <c r="F230" s="32" t="s">
        <v>1805</v>
      </c>
      <c r="G230" s="33" t="s">
        <v>1316</v>
      </c>
      <c r="H230" s="34">
        <v>9</v>
      </c>
      <c r="I230" s="34">
        <v>7</v>
      </c>
      <c r="J230" s="34">
        <v>42</v>
      </c>
      <c r="K230" s="34">
        <v>44</v>
      </c>
      <c r="L230" s="135">
        <v>6</v>
      </c>
      <c r="M230" s="135">
        <v>8</v>
      </c>
      <c r="N230" s="135">
        <v>10</v>
      </c>
      <c r="O230" s="135">
        <v>7</v>
      </c>
      <c r="P230" s="218">
        <f t="shared" si="7"/>
        <v>133</v>
      </c>
    </row>
    <row r="231" spans="1:16" x14ac:dyDescent="0.35">
      <c r="A231" s="287"/>
      <c r="B231" s="287"/>
      <c r="C231" s="32" t="s">
        <v>1623</v>
      </c>
      <c r="D231" s="32" t="s">
        <v>1773</v>
      </c>
      <c r="E231" s="32" t="s">
        <v>1803</v>
      </c>
      <c r="F231" s="32" t="s">
        <v>1805</v>
      </c>
      <c r="G231" s="33" t="s">
        <v>1317</v>
      </c>
      <c r="H231" s="34">
        <v>7</v>
      </c>
      <c r="I231" s="34">
        <v>5</v>
      </c>
      <c r="J231" s="34">
        <v>44</v>
      </c>
      <c r="K231" s="34">
        <v>38</v>
      </c>
      <c r="L231" s="135">
        <v>11</v>
      </c>
      <c r="M231" s="135">
        <v>9</v>
      </c>
      <c r="N231" s="135">
        <v>8</v>
      </c>
      <c r="O231" s="135">
        <v>12</v>
      </c>
      <c r="P231" s="218">
        <f t="shared" si="7"/>
        <v>134</v>
      </c>
    </row>
    <row r="232" spans="1:16" x14ac:dyDescent="0.35">
      <c r="A232" s="287"/>
      <c r="B232" s="287"/>
      <c r="C232" s="32" t="s">
        <v>1623</v>
      </c>
      <c r="D232" s="32" t="s">
        <v>1773</v>
      </c>
      <c r="E232" s="32" t="s">
        <v>1803</v>
      </c>
      <c r="F232" s="32" t="s">
        <v>1805</v>
      </c>
      <c r="G232" s="33" t="s">
        <v>1318</v>
      </c>
      <c r="H232" s="34">
        <v>12</v>
      </c>
      <c r="I232" s="34">
        <v>7</v>
      </c>
      <c r="J232" s="34">
        <v>35</v>
      </c>
      <c r="K232" s="34">
        <v>55</v>
      </c>
      <c r="L232" s="135">
        <v>11</v>
      </c>
      <c r="M232" s="135">
        <v>9</v>
      </c>
      <c r="N232" s="135">
        <v>20</v>
      </c>
      <c r="O232" s="135">
        <v>30</v>
      </c>
      <c r="P232" s="218">
        <f t="shared" si="7"/>
        <v>179</v>
      </c>
    </row>
    <row r="233" spans="1:16" x14ac:dyDescent="0.35">
      <c r="A233" s="287"/>
      <c r="B233" s="287"/>
      <c r="C233" s="32" t="s">
        <v>1623</v>
      </c>
      <c r="D233" s="32" t="s">
        <v>1773</v>
      </c>
      <c r="E233" s="32" t="s">
        <v>1803</v>
      </c>
      <c r="F233" s="32" t="s">
        <v>1805</v>
      </c>
      <c r="G233" s="33" t="s">
        <v>1319</v>
      </c>
      <c r="H233" s="34">
        <v>7</v>
      </c>
      <c r="I233" s="34">
        <v>7</v>
      </c>
      <c r="J233" s="34">
        <v>62</v>
      </c>
      <c r="K233" s="34">
        <v>45</v>
      </c>
      <c r="L233" s="135">
        <v>9</v>
      </c>
      <c r="M233" s="135">
        <v>5</v>
      </c>
      <c r="N233" s="135">
        <v>8</v>
      </c>
      <c r="O233" s="135">
        <v>15</v>
      </c>
      <c r="P233" s="218">
        <f t="shared" si="7"/>
        <v>158</v>
      </c>
    </row>
    <row r="234" spans="1:16" x14ac:dyDescent="0.35">
      <c r="A234" s="287"/>
      <c r="B234" s="287"/>
      <c r="C234" s="32" t="s">
        <v>1623</v>
      </c>
      <c r="D234" s="32" t="s">
        <v>1773</v>
      </c>
      <c r="E234" s="32" t="s">
        <v>1803</v>
      </c>
      <c r="F234" s="32" t="s">
        <v>1805</v>
      </c>
      <c r="G234" s="33" t="s">
        <v>1320</v>
      </c>
      <c r="H234" s="34">
        <v>16</v>
      </c>
      <c r="I234" s="34">
        <v>7</v>
      </c>
      <c r="J234" s="34">
        <v>78</v>
      </c>
      <c r="K234" s="34">
        <v>34</v>
      </c>
      <c r="L234" s="135">
        <v>6</v>
      </c>
      <c r="M234" s="135">
        <v>6</v>
      </c>
      <c r="N234" s="135">
        <v>15</v>
      </c>
      <c r="O234" s="135">
        <v>17</v>
      </c>
      <c r="P234" s="218">
        <f t="shared" si="7"/>
        <v>179</v>
      </c>
    </row>
    <row r="235" spans="1:16" x14ac:dyDescent="0.35">
      <c r="A235" s="287"/>
      <c r="B235" s="287"/>
      <c r="C235" s="32" t="s">
        <v>1623</v>
      </c>
      <c r="D235" s="32" t="s">
        <v>1773</v>
      </c>
      <c r="E235" s="32" t="s">
        <v>1803</v>
      </c>
      <c r="F235" s="32" t="s">
        <v>1806</v>
      </c>
      <c r="G235" s="33" t="s">
        <v>1321</v>
      </c>
      <c r="H235" s="34">
        <v>13</v>
      </c>
      <c r="I235" s="34">
        <v>8</v>
      </c>
      <c r="J235" s="34">
        <v>50</v>
      </c>
      <c r="K235" s="34">
        <v>46</v>
      </c>
      <c r="L235" s="135">
        <v>8</v>
      </c>
      <c r="M235" s="135">
        <v>3</v>
      </c>
      <c r="N235" s="135">
        <v>6</v>
      </c>
      <c r="O235" s="135">
        <v>9</v>
      </c>
      <c r="P235" s="218">
        <f t="shared" si="7"/>
        <v>143</v>
      </c>
    </row>
    <row r="236" spans="1:16" x14ac:dyDescent="0.35">
      <c r="A236" s="287"/>
      <c r="B236" s="287"/>
      <c r="C236" s="32" t="s">
        <v>1623</v>
      </c>
      <c r="D236" s="32" t="s">
        <v>1773</v>
      </c>
      <c r="E236" s="32" t="s">
        <v>1803</v>
      </c>
      <c r="F236" s="32" t="s">
        <v>1805</v>
      </c>
      <c r="G236" s="33" t="s">
        <v>1322</v>
      </c>
      <c r="H236" s="34">
        <v>19</v>
      </c>
      <c r="I236" s="34">
        <v>11</v>
      </c>
      <c r="J236" s="34">
        <v>24</v>
      </c>
      <c r="K236" s="34">
        <v>20</v>
      </c>
      <c r="L236" s="135">
        <v>14</v>
      </c>
      <c r="M236" s="135">
        <v>6</v>
      </c>
      <c r="N236" s="135">
        <v>7</v>
      </c>
      <c r="O236" s="135">
        <v>11</v>
      </c>
      <c r="P236" s="218">
        <f t="shared" si="7"/>
        <v>112</v>
      </c>
    </row>
    <row r="237" spans="1:16" x14ac:dyDescent="0.35">
      <c r="A237" s="52"/>
      <c r="B237" s="52"/>
      <c r="C237" s="52"/>
      <c r="D237" s="52"/>
      <c r="E237" s="52"/>
      <c r="F237" s="52"/>
      <c r="G237" s="52" t="s">
        <v>2</v>
      </c>
      <c r="H237" s="195">
        <f t="shared" ref="H237:K237" si="9">SUM(H214:H236)</f>
        <v>259</v>
      </c>
      <c r="I237" s="195">
        <f t="shared" si="9"/>
        <v>168</v>
      </c>
      <c r="J237" s="196">
        <f t="shared" si="9"/>
        <v>1190</v>
      </c>
      <c r="K237" s="196">
        <f t="shared" si="9"/>
        <v>1224</v>
      </c>
      <c r="L237" s="191">
        <f>SUM(L214:L236)</f>
        <v>201</v>
      </c>
      <c r="M237" s="191">
        <f>SUM(M214:M236)</f>
        <v>229</v>
      </c>
      <c r="N237" s="192">
        <f>SUM(N214:N236)</f>
        <v>355</v>
      </c>
      <c r="O237" s="192">
        <f>SUM(O214:O236)</f>
        <v>411</v>
      </c>
      <c r="P237" s="217">
        <f t="shared" si="7"/>
        <v>4037</v>
      </c>
    </row>
    <row r="238" spans="1:16" x14ac:dyDescent="0.35">
      <c r="A238" s="287">
        <v>7</v>
      </c>
      <c r="B238" s="287" t="s">
        <v>1900</v>
      </c>
      <c r="C238" s="32" t="s">
        <v>1623</v>
      </c>
      <c r="D238" s="32" t="s">
        <v>1773</v>
      </c>
      <c r="E238" s="32" t="s">
        <v>1812</v>
      </c>
      <c r="F238" s="32" t="s">
        <v>1808</v>
      </c>
      <c r="G238" s="33" t="s">
        <v>1324</v>
      </c>
      <c r="H238" s="34">
        <v>2</v>
      </c>
      <c r="I238" s="34">
        <v>6</v>
      </c>
      <c r="J238" s="34">
        <v>91</v>
      </c>
      <c r="K238" s="34">
        <v>119</v>
      </c>
      <c r="L238" s="135">
        <v>11</v>
      </c>
      <c r="M238" s="135">
        <v>10</v>
      </c>
      <c r="N238" s="135">
        <v>31</v>
      </c>
      <c r="O238" s="135">
        <v>33</v>
      </c>
      <c r="P238" s="218">
        <f t="shared" si="7"/>
        <v>303</v>
      </c>
    </row>
    <row r="239" spans="1:16" x14ac:dyDescent="0.35">
      <c r="A239" s="287"/>
      <c r="B239" s="287"/>
      <c r="C239" s="32" t="s">
        <v>1623</v>
      </c>
      <c r="D239" s="32" t="s">
        <v>1773</v>
      </c>
      <c r="E239" s="32" t="s">
        <v>1812</v>
      </c>
      <c r="F239" s="32" t="s">
        <v>1809</v>
      </c>
      <c r="G239" s="33" t="s">
        <v>1325</v>
      </c>
      <c r="H239" s="34">
        <v>8</v>
      </c>
      <c r="I239" s="34">
        <v>11</v>
      </c>
      <c r="J239" s="34">
        <v>171</v>
      </c>
      <c r="K239" s="34">
        <v>125</v>
      </c>
      <c r="L239" s="135">
        <v>45</v>
      </c>
      <c r="M239" s="135">
        <v>45</v>
      </c>
      <c r="N239" s="135">
        <v>55</v>
      </c>
      <c r="O239" s="135">
        <v>100</v>
      </c>
      <c r="P239" s="218">
        <f t="shared" si="7"/>
        <v>560</v>
      </c>
    </row>
    <row r="240" spans="1:16" x14ac:dyDescent="0.35">
      <c r="A240" s="287"/>
      <c r="B240" s="287"/>
      <c r="C240" s="32" t="s">
        <v>1623</v>
      </c>
      <c r="D240" s="32" t="s">
        <v>1773</v>
      </c>
      <c r="E240" s="32" t="s">
        <v>1812</v>
      </c>
      <c r="F240" s="32" t="s">
        <v>1809</v>
      </c>
      <c r="G240" s="33" t="s">
        <v>1326</v>
      </c>
      <c r="H240" s="34">
        <v>3</v>
      </c>
      <c r="I240" s="34">
        <v>7</v>
      </c>
      <c r="J240" s="34">
        <v>36</v>
      </c>
      <c r="K240" s="34">
        <v>92</v>
      </c>
      <c r="L240" s="135">
        <v>7</v>
      </c>
      <c r="M240" s="135">
        <v>14</v>
      </c>
      <c r="N240" s="135">
        <v>33</v>
      </c>
      <c r="O240" s="135">
        <v>37</v>
      </c>
      <c r="P240" s="218">
        <f t="shared" si="7"/>
        <v>229</v>
      </c>
    </row>
    <row r="241" spans="1:16" x14ac:dyDescent="0.35">
      <c r="A241" s="287"/>
      <c r="B241" s="287"/>
      <c r="C241" s="32" t="s">
        <v>1623</v>
      </c>
      <c r="D241" s="32" t="s">
        <v>1773</v>
      </c>
      <c r="E241" s="32" t="s">
        <v>1812</v>
      </c>
      <c r="F241" s="32" t="s">
        <v>1810</v>
      </c>
      <c r="G241" s="33" t="s">
        <v>1327</v>
      </c>
      <c r="H241" s="34">
        <v>2</v>
      </c>
      <c r="I241" s="34">
        <v>4</v>
      </c>
      <c r="J241" s="34">
        <v>100</v>
      </c>
      <c r="K241" s="34">
        <v>118</v>
      </c>
      <c r="L241" s="135">
        <v>29</v>
      </c>
      <c r="M241" s="135">
        <v>30</v>
      </c>
      <c r="N241" s="135">
        <v>27</v>
      </c>
      <c r="O241" s="135">
        <v>35</v>
      </c>
      <c r="P241" s="218">
        <f t="shared" si="7"/>
        <v>345</v>
      </c>
    </row>
    <row r="242" spans="1:16" x14ac:dyDescent="0.35">
      <c r="A242" s="287"/>
      <c r="B242" s="287"/>
      <c r="C242" s="32" t="s">
        <v>1623</v>
      </c>
      <c r="D242" s="32" t="s">
        <v>1773</v>
      </c>
      <c r="E242" s="32" t="s">
        <v>1812</v>
      </c>
      <c r="F242" s="32" t="s">
        <v>1809</v>
      </c>
      <c r="G242" s="33" t="s">
        <v>1328</v>
      </c>
      <c r="H242" s="34">
        <v>8</v>
      </c>
      <c r="I242" s="34">
        <v>6</v>
      </c>
      <c r="J242" s="34">
        <v>68</v>
      </c>
      <c r="K242" s="34">
        <v>89</v>
      </c>
      <c r="L242" s="135">
        <v>9</v>
      </c>
      <c r="M242" s="135">
        <v>10</v>
      </c>
      <c r="N242" s="135">
        <v>13</v>
      </c>
      <c r="O242" s="135">
        <v>8</v>
      </c>
      <c r="P242" s="218">
        <f t="shared" si="7"/>
        <v>211</v>
      </c>
    </row>
    <row r="243" spans="1:16" x14ac:dyDescent="0.35">
      <c r="A243" s="287"/>
      <c r="B243" s="287"/>
      <c r="C243" s="32" t="s">
        <v>1623</v>
      </c>
      <c r="D243" s="32" t="s">
        <v>1773</v>
      </c>
      <c r="E243" s="32" t="s">
        <v>1812</v>
      </c>
      <c r="F243" s="32" t="s">
        <v>1809</v>
      </c>
      <c r="G243" s="33" t="s">
        <v>1329</v>
      </c>
      <c r="H243" s="34">
        <v>100</v>
      </c>
      <c r="I243" s="34">
        <v>81</v>
      </c>
      <c r="J243" s="34">
        <v>411</v>
      </c>
      <c r="K243" s="34">
        <v>498</v>
      </c>
      <c r="L243" s="135">
        <v>13</v>
      </c>
      <c r="M243" s="135">
        <v>19</v>
      </c>
      <c r="N243" s="135">
        <v>15</v>
      </c>
      <c r="O243" s="135">
        <v>9</v>
      </c>
      <c r="P243" s="218">
        <f t="shared" si="7"/>
        <v>1146</v>
      </c>
    </row>
    <row r="244" spans="1:16" x14ac:dyDescent="0.35">
      <c r="A244" s="287"/>
      <c r="B244" s="287"/>
      <c r="C244" s="32" t="s">
        <v>1623</v>
      </c>
      <c r="D244" s="32" t="s">
        <v>1773</v>
      </c>
      <c r="E244" s="32" t="s">
        <v>1812</v>
      </c>
      <c r="F244" s="32" t="s">
        <v>1811</v>
      </c>
      <c r="G244" s="33" t="s">
        <v>1323</v>
      </c>
      <c r="H244" s="34">
        <v>2</v>
      </c>
      <c r="I244" s="34">
        <v>7</v>
      </c>
      <c r="J244" s="34">
        <v>51</v>
      </c>
      <c r="K244" s="34">
        <v>68</v>
      </c>
      <c r="L244" s="135">
        <v>10</v>
      </c>
      <c r="M244" s="135">
        <v>10</v>
      </c>
      <c r="N244" s="135">
        <v>20</v>
      </c>
      <c r="O244" s="135">
        <v>20</v>
      </c>
      <c r="P244" s="218">
        <f t="shared" si="7"/>
        <v>188</v>
      </c>
    </row>
    <row r="245" spans="1:16" x14ac:dyDescent="0.35">
      <c r="A245" s="287"/>
      <c r="B245" s="287"/>
      <c r="C245" s="32" t="s">
        <v>1623</v>
      </c>
      <c r="D245" s="32" t="s">
        <v>1773</v>
      </c>
      <c r="E245" s="32" t="s">
        <v>1812</v>
      </c>
      <c r="F245" s="32" t="s">
        <v>1808</v>
      </c>
      <c r="G245" s="33" t="s">
        <v>1330</v>
      </c>
      <c r="H245" s="34">
        <v>3</v>
      </c>
      <c r="I245" s="34">
        <v>4</v>
      </c>
      <c r="J245" s="34">
        <v>47</v>
      </c>
      <c r="K245" s="34">
        <v>78</v>
      </c>
      <c r="L245" s="135">
        <v>13</v>
      </c>
      <c r="M245" s="135">
        <v>20</v>
      </c>
      <c r="N245" s="135">
        <v>20</v>
      </c>
      <c r="O245" s="135">
        <v>22</v>
      </c>
      <c r="P245" s="218">
        <f t="shared" si="7"/>
        <v>207</v>
      </c>
    </row>
    <row r="246" spans="1:16" x14ac:dyDescent="0.35">
      <c r="A246" s="287"/>
      <c r="B246" s="287"/>
      <c r="C246" s="32" t="s">
        <v>1623</v>
      </c>
      <c r="D246" s="32" t="s">
        <v>1773</v>
      </c>
      <c r="E246" s="32" t="s">
        <v>1812</v>
      </c>
      <c r="F246" s="32" t="s">
        <v>1811</v>
      </c>
      <c r="G246" s="33" t="s">
        <v>1331</v>
      </c>
      <c r="H246" s="34">
        <v>4</v>
      </c>
      <c r="I246" s="34">
        <v>5</v>
      </c>
      <c r="J246" s="34">
        <v>42</v>
      </c>
      <c r="K246" s="34">
        <v>48</v>
      </c>
      <c r="L246" s="135">
        <v>17</v>
      </c>
      <c r="M246" s="135">
        <v>30</v>
      </c>
      <c r="N246" s="135">
        <v>53</v>
      </c>
      <c r="O246" s="135">
        <v>56</v>
      </c>
      <c r="P246" s="218">
        <f t="shared" si="7"/>
        <v>255</v>
      </c>
    </row>
    <row r="247" spans="1:16" x14ac:dyDescent="0.35">
      <c r="A247" s="287"/>
      <c r="B247" s="287"/>
      <c r="C247" s="32" t="s">
        <v>1623</v>
      </c>
      <c r="D247" s="32" t="s">
        <v>1773</v>
      </c>
      <c r="E247" s="32" t="s">
        <v>1812</v>
      </c>
      <c r="F247" s="32" t="s">
        <v>1808</v>
      </c>
      <c r="G247" s="33" t="s">
        <v>1332</v>
      </c>
      <c r="H247" s="34">
        <v>2</v>
      </c>
      <c r="I247" s="34">
        <v>5</v>
      </c>
      <c r="J247" s="34">
        <v>43</v>
      </c>
      <c r="K247" s="34">
        <v>52</v>
      </c>
      <c r="L247" s="135">
        <v>10</v>
      </c>
      <c r="M247" s="135">
        <v>10</v>
      </c>
      <c r="N247" s="135">
        <v>20</v>
      </c>
      <c r="O247" s="135">
        <v>25</v>
      </c>
      <c r="P247" s="218">
        <f t="shared" si="7"/>
        <v>167</v>
      </c>
    </row>
    <row r="248" spans="1:16" x14ac:dyDescent="0.35">
      <c r="A248" s="287"/>
      <c r="B248" s="287"/>
      <c r="C248" s="32" t="s">
        <v>1623</v>
      </c>
      <c r="D248" s="32" t="s">
        <v>1773</v>
      </c>
      <c r="E248" s="32" t="s">
        <v>1812</v>
      </c>
      <c r="F248" s="32" t="s">
        <v>1808</v>
      </c>
      <c r="G248" s="33" t="s">
        <v>1333</v>
      </c>
      <c r="H248" s="34">
        <v>8</v>
      </c>
      <c r="I248" s="34">
        <v>9</v>
      </c>
      <c r="J248" s="34">
        <v>50</v>
      </c>
      <c r="K248" s="34">
        <v>48</v>
      </c>
      <c r="L248" s="135">
        <v>13</v>
      </c>
      <c r="M248" s="135">
        <v>8</v>
      </c>
      <c r="N248" s="135">
        <v>12</v>
      </c>
      <c r="O248" s="135">
        <v>11</v>
      </c>
      <c r="P248" s="218">
        <f t="shared" si="7"/>
        <v>159</v>
      </c>
    </row>
    <row r="249" spans="1:16" x14ac:dyDescent="0.35">
      <c r="A249" s="287"/>
      <c r="B249" s="287"/>
      <c r="C249" s="32" t="s">
        <v>1623</v>
      </c>
      <c r="D249" s="32" t="s">
        <v>1773</v>
      </c>
      <c r="E249" s="32" t="s">
        <v>1812</v>
      </c>
      <c r="F249" s="32" t="s">
        <v>1811</v>
      </c>
      <c r="G249" s="33" t="s">
        <v>1334</v>
      </c>
      <c r="H249" s="34">
        <v>10</v>
      </c>
      <c r="I249" s="34">
        <v>18</v>
      </c>
      <c r="J249" s="34">
        <v>92</v>
      </c>
      <c r="K249" s="34">
        <v>168</v>
      </c>
      <c r="L249" s="135">
        <v>15</v>
      </c>
      <c r="M249" s="135">
        <v>25</v>
      </c>
      <c r="N249" s="135">
        <v>30</v>
      </c>
      <c r="O249" s="135">
        <v>40</v>
      </c>
      <c r="P249" s="218">
        <f t="shared" si="7"/>
        <v>398</v>
      </c>
    </row>
    <row r="250" spans="1:16" x14ac:dyDescent="0.35">
      <c r="A250" s="287"/>
      <c r="B250" s="287"/>
      <c r="C250" s="32" t="s">
        <v>1623</v>
      </c>
      <c r="D250" s="32" t="s">
        <v>1773</v>
      </c>
      <c r="E250" s="32" t="s">
        <v>1812</v>
      </c>
      <c r="F250" s="32" t="s">
        <v>1808</v>
      </c>
      <c r="G250" s="33" t="s">
        <v>1335</v>
      </c>
      <c r="H250" s="34">
        <v>6</v>
      </c>
      <c r="I250" s="34">
        <v>5</v>
      </c>
      <c r="J250" s="34">
        <v>93</v>
      </c>
      <c r="K250" s="34">
        <v>98</v>
      </c>
      <c r="L250" s="135">
        <v>10</v>
      </c>
      <c r="M250" s="135">
        <v>17</v>
      </c>
      <c r="N250" s="135">
        <v>20</v>
      </c>
      <c r="O250" s="135">
        <v>36</v>
      </c>
      <c r="P250" s="218">
        <f t="shared" si="7"/>
        <v>285</v>
      </c>
    </row>
    <row r="251" spans="1:16" x14ac:dyDescent="0.35">
      <c r="A251" s="287"/>
      <c r="B251" s="287"/>
      <c r="C251" s="32" t="s">
        <v>1623</v>
      </c>
      <c r="D251" s="32" t="s">
        <v>1773</v>
      </c>
      <c r="E251" s="32" t="s">
        <v>1812</v>
      </c>
      <c r="F251" s="43" t="s">
        <v>1810</v>
      </c>
      <c r="G251" s="33" t="s">
        <v>1336</v>
      </c>
      <c r="H251" s="34">
        <v>3</v>
      </c>
      <c r="I251" s="34">
        <v>3</v>
      </c>
      <c r="J251" s="34">
        <v>26</v>
      </c>
      <c r="K251" s="34">
        <v>42</v>
      </c>
      <c r="L251" s="135">
        <v>20</v>
      </c>
      <c r="M251" s="135">
        <v>27</v>
      </c>
      <c r="N251" s="135">
        <v>26</v>
      </c>
      <c r="O251" s="135">
        <v>23</v>
      </c>
      <c r="P251" s="218">
        <f t="shared" si="7"/>
        <v>170</v>
      </c>
    </row>
    <row r="252" spans="1:16" x14ac:dyDescent="0.35">
      <c r="A252" s="287"/>
      <c r="B252" s="287"/>
      <c r="C252" s="32" t="s">
        <v>1623</v>
      </c>
      <c r="D252" s="32" t="s">
        <v>1773</v>
      </c>
      <c r="E252" s="32" t="s">
        <v>1812</v>
      </c>
      <c r="F252" s="32" t="s">
        <v>1810</v>
      </c>
      <c r="G252" s="33" t="s">
        <v>1337</v>
      </c>
      <c r="H252" s="34">
        <v>2</v>
      </c>
      <c r="I252" s="34">
        <v>3</v>
      </c>
      <c r="J252" s="34">
        <v>30</v>
      </c>
      <c r="K252" s="34">
        <v>42</v>
      </c>
      <c r="L252" s="135">
        <v>8</v>
      </c>
      <c r="M252" s="135">
        <v>5</v>
      </c>
      <c r="N252" s="135">
        <v>12</v>
      </c>
      <c r="O252" s="135">
        <v>15</v>
      </c>
      <c r="P252" s="218">
        <f t="shared" si="7"/>
        <v>117</v>
      </c>
    </row>
    <row r="253" spans="1:16" x14ac:dyDescent="0.35">
      <c r="A253" s="287"/>
      <c r="B253" s="287"/>
      <c r="C253" s="32" t="s">
        <v>1623</v>
      </c>
      <c r="D253" s="32" t="s">
        <v>1773</v>
      </c>
      <c r="E253" s="32" t="s">
        <v>1812</v>
      </c>
      <c r="F253" s="32" t="s">
        <v>1810</v>
      </c>
      <c r="G253" s="33" t="s">
        <v>1338</v>
      </c>
      <c r="H253" s="34">
        <v>1</v>
      </c>
      <c r="I253" s="34">
        <v>3</v>
      </c>
      <c r="J253" s="34">
        <v>60</v>
      </c>
      <c r="K253" s="34">
        <v>69</v>
      </c>
      <c r="L253" s="135">
        <v>12</v>
      </c>
      <c r="M253" s="135">
        <v>8</v>
      </c>
      <c r="N253" s="135">
        <v>12</v>
      </c>
      <c r="O253" s="135">
        <v>8</v>
      </c>
      <c r="P253" s="218">
        <f t="shared" si="7"/>
        <v>173</v>
      </c>
    </row>
    <row r="254" spans="1:16" x14ac:dyDescent="0.35">
      <c r="A254" s="287"/>
      <c r="B254" s="287"/>
      <c r="C254" s="32" t="s">
        <v>1623</v>
      </c>
      <c r="D254" s="32" t="s">
        <v>1773</v>
      </c>
      <c r="E254" s="32" t="s">
        <v>1812</v>
      </c>
      <c r="F254" s="32" t="s">
        <v>1810</v>
      </c>
      <c r="G254" s="33" t="s">
        <v>1339</v>
      </c>
      <c r="H254" s="34">
        <v>8</v>
      </c>
      <c r="I254" s="34">
        <v>13</v>
      </c>
      <c r="J254" s="34">
        <v>125</v>
      </c>
      <c r="K254" s="34">
        <v>128</v>
      </c>
      <c r="L254" s="135">
        <v>20</v>
      </c>
      <c r="M254" s="135">
        <v>37</v>
      </c>
      <c r="N254" s="135">
        <v>10</v>
      </c>
      <c r="O254" s="135">
        <v>13</v>
      </c>
      <c r="P254" s="218">
        <f t="shared" si="7"/>
        <v>354</v>
      </c>
    </row>
    <row r="255" spans="1:16" x14ac:dyDescent="0.35">
      <c r="A255" s="287"/>
      <c r="B255" s="287"/>
      <c r="C255" s="6" t="s">
        <v>1623</v>
      </c>
      <c r="D255" s="6" t="s">
        <v>1773</v>
      </c>
      <c r="E255" s="6" t="s">
        <v>1812</v>
      </c>
      <c r="F255" s="6" t="s">
        <v>1809</v>
      </c>
      <c r="G255" s="74" t="s">
        <v>1340</v>
      </c>
      <c r="H255" s="75">
        <v>9</v>
      </c>
      <c r="I255" s="75">
        <v>11</v>
      </c>
      <c r="J255" s="75">
        <v>98</v>
      </c>
      <c r="K255" s="75">
        <v>101</v>
      </c>
      <c r="L255" s="135">
        <v>18</v>
      </c>
      <c r="M255" s="135">
        <v>20</v>
      </c>
      <c r="N255" s="135">
        <v>23</v>
      </c>
      <c r="O255" s="135">
        <v>15</v>
      </c>
      <c r="P255" s="218">
        <f t="shared" si="7"/>
        <v>295</v>
      </c>
    </row>
    <row r="256" spans="1:16" x14ac:dyDescent="0.35">
      <c r="A256" s="52"/>
      <c r="B256" s="52"/>
      <c r="C256" s="52"/>
      <c r="D256" s="52"/>
      <c r="E256" s="52"/>
      <c r="F256" s="52"/>
      <c r="G256" s="52" t="s">
        <v>2</v>
      </c>
      <c r="H256" s="195">
        <f t="shared" ref="H256:K256" si="10">SUM(H238:H255)</f>
        <v>181</v>
      </c>
      <c r="I256" s="195">
        <f t="shared" si="10"/>
        <v>201</v>
      </c>
      <c r="J256" s="196">
        <f t="shared" si="10"/>
        <v>1634</v>
      </c>
      <c r="K256" s="196">
        <f t="shared" si="10"/>
        <v>1983</v>
      </c>
      <c r="L256" s="191">
        <f>SUM(L238:L255)</f>
        <v>280</v>
      </c>
      <c r="M256" s="191">
        <f>SUM(M238:M255)</f>
        <v>345</v>
      </c>
      <c r="N256" s="192">
        <f>SUM(N238:N255)</f>
        <v>432</v>
      </c>
      <c r="O256" s="192">
        <f>SUM(O238:O255)</f>
        <v>506</v>
      </c>
      <c r="P256" s="217">
        <f t="shared" si="7"/>
        <v>5562</v>
      </c>
    </row>
    <row r="257" spans="1:16" x14ac:dyDescent="0.35">
      <c r="A257" s="287">
        <v>8</v>
      </c>
      <c r="B257" s="287" t="s">
        <v>1901</v>
      </c>
      <c r="C257" s="32" t="s">
        <v>1623</v>
      </c>
      <c r="D257" s="32" t="s">
        <v>1773</v>
      </c>
      <c r="E257" s="32" t="s">
        <v>1818</v>
      </c>
      <c r="F257" s="32" t="s">
        <v>1815</v>
      </c>
      <c r="G257" s="33" t="s">
        <v>1341</v>
      </c>
      <c r="H257" s="34">
        <v>1</v>
      </c>
      <c r="I257" s="34">
        <v>3</v>
      </c>
      <c r="J257" s="34">
        <v>25</v>
      </c>
      <c r="K257" s="34">
        <v>38</v>
      </c>
      <c r="L257" s="135">
        <v>5</v>
      </c>
      <c r="M257" s="135">
        <v>4</v>
      </c>
      <c r="N257" s="135">
        <v>20</v>
      </c>
      <c r="O257" s="135">
        <v>13</v>
      </c>
      <c r="P257" s="218">
        <f t="shared" si="7"/>
        <v>109</v>
      </c>
    </row>
    <row r="258" spans="1:16" x14ac:dyDescent="0.35">
      <c r="A258" s="287"/>
      <c r="B258" s="287"/>
      <c r="C258" s="32" t="s">
        <v>1623</v>
      </c>
      <c r="D258" s="32" t="s">
        <v>1773</v>
      </c>
      <c r="E258" s="32" t="s">
        <v>1818</v>
      </c>
      <c r="F258" s="32" t="s">
        <v>1814</v>
      </c>
      <c r="G258" s="33" t="s">
        <v>1342</v>
      </c>
      <c r="H258" s="34">
        <v>3</v>
      </c>
      <c r="I258" s="34">
        <v>5</v>
      </c>
      <c r="J258" s="34">
        <v>37</v>
      </c>
      <c r="K258" s="34">
        <v>47</v>
      </c>
      <c r="L258" s="135">
        <v>0</v>
      </c>
      <c r="M258" s="135">
        <v>0</v>
      </c>
      <c r="N258" s="135">
        <v>8</v>
      </c>
      <c r="O258" s="135">
        <v>10</v>
      </c>
      <c r="P258" s="218">
        <f t="shared" si="7"/>
        <v>110</v>
      </c>
    </row>
    <row r="259" spans="1:16" x14ac:dyDescent="0.35">
      <c r="A259" s="287"/>
      <c r="B259" s="287"/>
      <c r="C259" s="32" t="s">
        <v>1623</v>
      </c>
      <c r="D259" s="32" t="s">
        <v>1773</v>
      </c>
      <c r="E259" s="43" t="s">
        <v>1818</v>
      </c>
      <c r="F259" s="43" t="s">
        <v>1814</v>
      </c>
      <c r="G259" s="33" t="s">
        <v>1343</v>
      </c>
      <c r="H259" s="34">
        <v>2</v>
      </c>
      <c r="I259" s="34">
        <v>2</v>
      </c>
      <c r="J259" s="34">
        <v>16</v>
      </c>
      <c r="K259" s="34">
        <v>25</v>
      </c>
      <c r="L259" s="135">
        <v>1</v>
      </c>
      <c r="M259" s="135">
        <v>2</v>
      </c>
      <c r="N259" s="135">
        <v>4</v>
      </c>
      <c r="O259" s="135">
        <v>6</v>
      </c>
      <c r="P259" s="218">
        <f t="shared" si="7"/>
        <v>58</v>
      </c>
    </row>
    <row r="260" spans="1:16" x14ac:dyDescent="0.35">
      <c r="A260" s="287"/>
      <c r="B260" s="287"/>
      <c r="C260" s="32" t="s">
        <v>1623</v>
      </c>
      <c r="D260" s="32" t="s">
        <v>1773</v>
      </c>
      <c r="E260" s="32" t="s">
        <v>1818</v>
      </c>
      <c r="F260" s="32" t="s">
        <v>1816</v>
      </c>
      <c r="G260" s="33" t="s">
        <v>1344</v>
      </c>
      <c r="H260" s="34">
        <v>4</v>
      </c>
      <c r="I260" s="34">
        <v>3</v>
      </c>
      <c r="J260" s="34">
        <v>40</v>
      </c>
      <c r="K260" s="34">
        <v>59</v>
      </c>
      <c r="L260" s="135">
        <v>15</v>
      </c>
      <c r="M260" s="135">
        <v>13</v>
      </c>
      <c r="N260" s="135">
        <v>10</v>
      </c>
      <c r="O260" s="135">
        <v>13</v>
      </c>
      <c r="P260" s="218">
        <f t="shared" si="7"/>
        <v>157</v>
      </c>
    </row>
    <row r="261" spans="1:16" x14ac:dyDescent="0.35">
      <c r="A261" s="287"/>
      <c r="B261" s="287"/>
      <c r="C261" s="32" t="s">
        <v>1623</v>
      </c>
      <c r="D261" s="32" t="s">
        <v>1773</v>
      </c>
      <c r="E261" s="32" t="s">
        <v>1818</v>
      </c>
      <c r="F261" s="32" t="s">
        <v>1814</v>
      </c>
      <c r="G261" s="33" t="s">
        <v>1345</v>
      </c>
      <c r="H261" s="34">
        <v>2</v>
      </c>
      <c r="I261" s="34">
        <v>5</v>
      </c>
      <c r="J261" s="34">
        <v>49</v>
      </c>
      <c r="K261" s="34">
        <v>73</v>
      </c>
      <c r="L261" s="135">
        <v>5</v>
      </c>
      <c r="M261" s="135">
        <v>6</v>
      </c>
      <c r="N261" s="135">
        <v>19</v>
      </c>
      <c r="O261" s="135">
        <v>20</v>
      </c>
      <c r="P261" s="218">
        <f t="shared" si="7"/>
        <v>179</v>
      </c>
    </row>
    <row r="262" spans="1:16" x14ac:dyDescent="0.35">
      <c r="A262" s="287"/>
      <c r="B262" s="287"/>
      <c r="C262" s="32" t="s">
        <v>1623</v>
      </c>
      <c r="D262" s="32" t="s">
        <v>1773</v>
      </c>
      <c r="E262" s="32" t="s">
        <v>1818</v>
      </c>
      <c r="F262" s="32" t="s">
        <v>1814</v>
      </c>
      <c r="G262" s="33" t="s">
        <v>1346</v>
      </c>
      <c r="H262" s="34">
        <v>4</v>
      </c>
      <c r="I262" s="34">
        <v>2</v>
      </c>
      <c r="J262" s="34">
        <v>21</v>
      </c>
      <c r="K262" s="34">
        <v>31</v>
      </c>
      <c r="L262" s="135">
        <v>7</v>
      </c>
      <c r="M262" s="135">
        <v>6</v>
      </c>
      <c r="N262" s="135">
        <v>7</v>
      </c>
      <c r="O262" s="135">
        <v>5</v>
      </c>
      <c r="P262" s="218">
        <f t="shared" ref="P262:P325" si="11">H262+I262+J262+K262+L262+M262+N262+O262</f>
        <v>83</v>
      </c>
    </row>
    <row r="263" spans="1:16" x14ac:dyDescent="0.35">
      <c r="A263" s="287"/>
      <c r="B263" s="287"/>
      <c r="C263" s="32" t="s">
        <v>1623</v>
      </c>
      <c r="D263" s="32" t="s">
        <v>1773</v>
      </c>
      <c r="E263" s="32" t="s">
        <v>1818</v>
      </c>
      <c r="F263" s="32" t="s">
        <v>1814</v>
      </c>
      <c r="G263" s="33" t="s">
        <v>1347</v>
      </c>
      <c r="H263" s="34">
        <v>1</v>
      </c>
      <c r="I263" s="34">
        <v>5</v>
      </c>
      <c r="J263" s="34">
        <v>22</v>
      </c>
      <c r="K263" s="34">
        <v>34</v>
      </c>
      <c r="L263" s="135">
        <v>3</v>
      </c>
      <c r="M263" s="135">
        <v>3</v>
      </c>
      <c r="N263" s="135">
        <v>7</v>
      </c>
      <c r="O263" s="135">
        <v>8</v>
      </c>
      <c r="P263" s="218">
        <f t="shared" si="11"/>
        <v>83</v>
      </c>
    </row>
    <row r="264" spans="1:16" x14ac:dyDescent="0.35">
      <c r="A264" s="287"/>
      <c r="B264" s="287"/>
      <c r="C264" s="32" t="s">
        <v>1623</v>
      </c>
      <c r="D264" s="32" t="s">
        <v>1773</v>
      </c>
      <c r="E264" s="32" t="s">
        <v>1818</v>
      </c>
      <c r="F264" s="32" t="s">
        <v>1816</v>
      </c>
      <c r="G264" s="33" t="s">
        <v>1348</v>
      </c>
      <c r="H264" s="34">
        <v>1</v>
      </c>
      <c r="I264" s="34">
        <v>3</v>
      </c>
      <c r="J264" s="34">
        <v>42</v>
      </c>
      <c r="K264" s="34">
        <v>63</v>
      </c>
      <c r="L264" s="135">
        <v>20</v>
      </c>
      <c r="M264" s="135">
        <v>16</v>
      </c>
      <c r="N264" s="135">
        <v>9</v>
      </c>
      <c r="O264" s="135">
        <v>10</v>
      </c>
      <c r="P264" s="218">
        <f t="shared" si="11"/>
        <v>164</v>
      </c>
    </row>
    <row r="265" spans="1:16" x14ac:dyDescent="0.35">
      <c r="A265" s="287"/>
      <c r="B265" s="287"/>
      <c r="C265" s="32" t="s">
        <v>1623</v>
      </c>
      <c r="D265" s="32" t="s">
        <v>1773</v>
      </c>
      <c r="E265" s="32" t="s">
        <v>1818</v>
      </c>
      <c r="F265" s="32" t="s">
        <v>1817</v>
      </c>
      <c r="G265" s="33" t="s">
        <v>1349</v>
      </c>
      <c r="H265" s="34">
        <v>12</v>
      </c>
      <c r="I265" s="34">
        <v>20</v>
      </c>
      <c r="J265" s="34">
        <v>38</v>
      </c>
      <c r="K265" s="34">
        <v>57</v>
      </c>
      <c r="L265" s="135">
        <v>19</v>
      </c>
      <c r="M265" s="135">
        <v>15</v>
      </c>
      <c r="N265" s="135">
        <v>20</v>
      </c>
      <c r="O265" s="135">
        <v>15</v>
      </c>
      <c r="P265" s="218">
        <f t="shared" si="11"/>
        <v>196</v>
      </c>
    </row>
    <row r="266" spans="1:16" x14ac:dyDescent="0.35">
      <c r="A266" s="287"/>
      <c r="B266" s="287"/>
      <c r="C266" s="32" t="s">
        <v>1623</v>
      </c>
      <c r="D266" s="32" t="s">
        <v>1773</v>
      </c>
      <c r="E266" s="32" t="s">
        <v>1818</v>
      </c>
      <c r="F266" s="32" t="s">
        <v>1817</v>
      </c>
      <c r="G266" s="33" t="s">
        <v>1350</v>
      </c>
      <c r="H266" s="34">
        <v>1</v>
      </c>
      <c r="I266" s="34">
        <v>2</v>
      </c>
      <c r="J266" s="34">
        <v>19</v>
      </c>
      <c r="K266" s="34">
        <v>29</v>
      </c>
      <c r="L266" s="135">
        <v>5</v>
      </c>
      <c r="M266" s="135">
        <v>3</v>
      </c>
      <c r="N266" s="135">
        <v>5</v>
      </c>
      <c r="O266" s="135">
        <v>6</v>
      </c>
      <c r="P266" s="218">
        <f t="shared" si="11"/>
        <v>70</v>
      </c>
    </row>
    <row r="267" spans="1:16" x14ac:dyDescent="0.35">
      <c r="A267" s="287"/>
      <c r="B267" s="287"/>
      <c r="C267" s="32" t="s">
        <v>1623</v>
      </c>
      <c r="D267" s="32" t="s">
        <v>1773</v>
      </c>
      <c r="E267" s="32" t="s">
        <v>1818</v>
      </c>
      <c r="F267" s="32" t="s">
        <v>1816</v>
      </c>
      <c r="G267" s="33" t="s">
        <v>1351</v>
      </c>
      <c r="H267" s="34">
        <v>0</v>
      </c>
      <c r="I267" s="34">
        <v>3</v>
      </c>
      <c r="J267" s="34">
        <v>39</v>
      </c>
      <c r="K267" s="34">
        <v>58</v>
      </c>
      <c r="L267" s="135">
        <v>7</v>
      </c>
      <c r="M267" s="135">
        <v>15</v>
      </c>
      <c r="N267" s="135">
        <v>12</v>
      </c>
      <c r="O267" s="135">
        <v>16</v>
      </c>
      <c r="P267" s="218">
        <f t="shared" si="11"/>
        <v>150</v>
      </c>
    </row>
    <row r="268" spans="1:16" x14ac:dyDescent="0.35">
      <c r="A268" s="287"/>
      <c r="B268" s="287"/>
      <c r="C268" s="32" t="s">
        <v>1623</v>
      </c>
      <c r="D268" s="32" t="s">
        <v>1773</v>
      </c>
      <c r="E268" s="32" t="s">
        <v>1818</v>
      </c>
      <c r="F268" s="32" t="s">
        <v>1814</v>
      </c>
      <c r="G268" s="33" t="s">
        <v>1352</v>
      </c>
      <c r="H268" s="34">
        <v>0</v>
      </c>
      <c r="I268" s="34">
        <v>1</v>
      </c>
      <c r="J268" s="34">
        <v>23</v>
      </c>
      <c r="K268" s="34">
        <v>35</v>
      </c>
      <c r="L268" s="135">
        <v>3</v>
      </c>
      <c r="M268" s="135">
        <v>5</v>
      </c>
      <c r="N268" s="135">
        <v>6</v>
      </c>
      <c r="O268" s="135">
        <v>9</v>
      </c>
      <c r="P268" s="218">
        <f t="shared" si="11"/>
        <v>82</v>
      </c>
    </row>
    <row r="269" spans="1:16" x14ac:dyDescent="0.35">
      <c r="A269" s="287"/>
      <c r="B269" s="287"/>
      <c r="C269" s="32" t="s">
        <v>1623</v>
      </c>
      <c r="D269" s="32" t="s">
        <v>1773</v>
      </c>
      <c r="E269" s="32" t="s">
        <v>1818</v>
      </c>
      <c r="F269" s="32" t="s">
        <v>1814</v>
      </c>
      <c r="G269" s="33" t="s">
        <v>1353</v>
      </c>
      <c r="H269" s="34">
        <v>2</v>
      </c>
      <c r="I269" s="34">
        <v>3</v>
      </c>
      <c r="J269" s="34">
        <v>11</v>
      </c>
      <c r="K269" s="34">
        <v>5</v>
      </c>
      <c r="L269" s="135">
        <v>3</v>
      </c>
      <c r="M269" s="135">
        <v>3</v>
      </c>
      <c r="N269" s="135">
        <v>5</v>
      </c>
      <c r="O269" s="135">
        <v>4</v>
      </c>
      <c r="P269" s="218">
        <f t="shared" si="11"/>
        <v>36</v>
      </c>
    </row>
    <row r="270" spans="1:16" x14ac:dyDescent="0.35">
      <c r="A270" s="287"/>
      <c r="B270" s="287"/>
      <c r="C270" s="32" t="s">
        <v>1623</v>
      </c>
      <c r="D270" s="32" t="s">
        <v>1773</v>
      </c>
      <c r="E270" s="32" t="s">
        <v>1818</v>
      </c>
      <c r="F270" s="32" t="s">
        <v>1814</v>
      </c>
      <c r="G270" s="33" t="s">
        <v>1354</v>
      </c>
      <c r="H270" s="34">
        <v>1</v>
      </c>
      <c r="I270" s="34">
        <v>0</v>
      </c>
      <c r="J270" s="34">
        <v>32</v>
      </c>
      <c r="K270" s="34">
        <v>47</v>
      </c>
      <c r="L270" s="135">
        <v>5</v>
      </c>
      <c r="M270" s="135">
        <v>3</v>
      </c>
      <c r="N270" s="135">
        <v>10</v>
      </c>
      <c r="O270" s="135">
        <v>11</v>
      </c>
      <c r="P270" s="218">
        <f t="shared" si="11"/>
        <v>109</v>
      </c>
    </row>
    <row r="271" spans="1:16" x14ac:dyDescent="0.35">
      <c r="A271" s="287"/>
      <c r="B271" s="287"/>
      <c r="C271" s="32" t="s">
        <v>1623</v>
      </c>
      <c r="D271" s="32" t="s">
        <v>1773</v>
      </c>
      <c r="E271" s="32" t="s">
        <v>1818</v>
      </c>
      <c r="F271" s="32" t="s">
        <v>1814</v>
      </c>
      <c r="G271" s="33" t="s">
        <v>1355</v>
      </c>
      <c r="H271" s="34">
        <v>2</v>
      </c>
      <c r="I271" s="34">
        <v>2</v>
      </c>
      <c r="J271" s="34">
        <v>30</v>
      </c>
      <c r="K271" s="34">
        <v>45</v>
      </c>
      <c r="L271" s="135">
        <v>11</v>
      </c>
      <c r="M271" s="135">
        <v>8</v>
      </c>
      <c r="N271" s="135">
        <v>11</v>
      </c>
      <c r="O271" s="135">
        <v>12</v>
      </c>
      <c r="P271" s="218">
        <f t="shared" si="11"/>
        <v>121</v>
      </c>
    </row>
    <row r="272" spans="1:16" x14ac:dyDescent="0.35">
      <c r="A272" s="287"/>
      <c r="B272" s="287"/>
      <c r="C272" s="32" t="s">
        <v>1623</v>
      </c>
      <c r="D272" s="32" t="s">
        <v>1773</v>
      </c>
      <c r="E272" s="32" t="s">
        <v>1818</v>
      </c>
      <c r="F272" s="32" t="s">
        <v>1816</v>
      </c>
      <c r="G272" s="33" t="s">
        <v>1356</v>
      </c>
      <c r="H272" s="34">
        <v>1</v>
      </c>
      <c r="I272" s="34">
        <v>1</v>
      </c>
      <c r="J272" s="34">
        <v>18</v>
      </c>
      <c r="K272" s="34">
        <v>26</v>
      </c>
      <c r="L272" s="135">
        <v>1</v>
      </c>
      <c r="M272" s="135">
        <v>1</v>
      </c>
      <c r="N272" s="135">
        <v>6</v>
      </c>
      <c r="O272" s="135">
        <v>5</v>
      </c>
      <c r="P272" s="218">
        <f t="shared" si="11"/>
        <v>59</v>
      </c>
    </row>
    <row r="273" spans="1:16" x14ac:dyDescent="0.35">
      <c r="A273" s="287"/>
      <c r="B273" s="287"/>
      <c r="C273" s="32" t="s">
        <v>1623</v>
      </c>
      <c r="D273" s="32" t="s">
        <v>1773</v>
      </c>
      <c r="E273" s="32" t="s">
        <v>1818</v>
      </c>
      <c r="F273" s="32" t="s">
        <v>1817</v>
      </c>
      <c r="G273" s="33" t="s">
        <v>1357</v>
      </c>
      <c r="H273" s="34">
        <v>4</v>
      </c>
      <c r="I273" s="34">
        <v>1</v>
      </c>
      <c r="J273" s="34">
        <v>114</v>
      </c>
      <c r="K273" s="34">
        <v>172</v>
      </c>
      <c r="L273" s="135">
        <v>4</v>
      </c>
      <c r="M273" s="135">
        <v>6</v>
      </c>
      <c r="N273" s="135">
        <v>12</v>
      </c>
      <c r="O273" s="135">
        <v>21</v>
      </c>
      <c r="P273" s="218">
        <f t="shared" si="11"/>
        <v>334</v>
      </c>
    </row>
    <row r="274" spans="1:16" x14ac:dyDescent="0.35">
      <c r="A274" s="287"/>
      <c r="B274" s="287"/>
      <c r="C274" s="32" t="s">
        <v>1623</v>
      </c>
      <c r="D274" s="32" t="s">
        <v>1773</v>
      </c>
      <c r="E274" s="32" t="s">
        <v>1818</v>
      </c>
      <c r="F274" s="32" t="s">
        <v>1817</v>
      </c>
      <c r="G274" s="33" t="s">
        <v>1358</v>
      </c>
      <c r="H274" s="34">
        <v>1</v>
      </c>
      <c r="I274" s="34">
        <v>2</v>
      </c>
      <c r="J274" s="34">
        <v>25</v>
      </c>
      <c r="K274" s="34">
        <v>31</v>
      </c>
      <c r="L274" s="135">
        <v>2</v>
      </c>
      <c r="M274" s="135">
        <v>4</v>
      </c>
      <c r="N274" s="135">
        <v>6</v>
      </c>
      <c r="O274" s="135">
        <v>5</v>
      </c>
      <c r="P274" s="218">
        <f t="shared" si="11"/>
        <v>76</v>
      </c>
    </row>
    <row r="275" spans="1:16" x14ac:dyDescent="0.35">
      <c r="A275" s="287"/>
      <c r="B275" s="287"/>
      <c r="C275" s="32" t="s">
        <v>1623</v>
      </c>
      <c r="D275" s="32" t="s">
        <v>1773</v>
      </c>
      <c r="E275" s="32" t="s">
        <v>1818</v>
      </c>
      <c r="F275" s="32" t="s">
        <v>1813</v>
      </c>
      <c r="G275" s="33" t="s">
        <v>1168</v>
      </c>
      <c r="H275" s="34">
        <v>6</v>
      </c>
      <c r="I275" s="34">
        <v>5</v>
      </c>
      <c r="J275" s="34">
        <v>38</v>
      </c>
      <c r="K275" s="34">
        <v>58</v>
      </c>
      <c r="L275" s="135">
        <v>6</v>
      </c>
      <c r="M275" s="135">
        <v>10</v>
      </c>
      <c r="N275" s="135">
        <v>25</v>
      </c>
      <c r="O275" s="135">
        <v>30</v>
      </c>
      <c r="P275" s="218">
        <f t="shared" si="11"/>
        <v>178</v>
      </c>
    </row>
    <row r="276" spans="1:16" x14ac:dyDescent="0.35">
      <c r="A276" s="287"/>
      <c r="B276" s="287"/>
      <c r="C276" s="32" t="s">
        <v>1623</v>
      </c>
      <c r="D276" s="32" t="s">
        <v>1773</v>
      </c>
      <c r="E276" s="32" t="s">
        <v>1818</v>
      </c>
      <c r="F276" s="32" t="s">
        <v>1813</v>
      </c>
      <c r="G276" s="33" t="s">
        <v>1359</v>
      </c>
      <c r="H276" s="34">
        <v>1</v>
      </c>
      <c r="I276" s="34">
        <v>3</v>
      </c>
      <c r="J276" s="34">
        <v>34</v>
      </c>
      <c r="K276" s="34">
        <v>51</v>
      </c>
      <c r="L276" s="135">
        <v>1</v>
      </c>
      <c r="M276" s="135">
        <v>2</v>
      </c>
      <c r="N276" s="135">
        <v>19</v>
      </c>
      <c r="O276" s="135">
        <v>10</v>
      </c>
      <c r="P276" s="218">
        <f t="shared" si="11"/>
        <v>121</v>
      </c>
    </row>
    <row r="277" spans="1:16" x14ac:dyDescent="0.35">
      <c r="A277" s="287"/>
      <c r="B277" s="287"/>
      <c r="C277" s="32" t="s">
        <v>1623</v>
      </c>
      <c r="D277" s="32" t="s">
        <v>1773</v>
      </c>
      <c r="E277" s="32" t="s">
        <v>1818</v>
      </c>
      <c r="F277" s="32" t="s">
        <v>1817</v>
      </c>
      <c r="G277" s="33" t="s">
        <v>1360</v>
      </c>
      <c r="H277" s="34">
        <v>1</v>
      </c>
      <c r="I277" s="34">
        <v>2</v>
      </c>
      <c r="J277" s="34">
        <v>18</v>
      </c>
      <c r="K277" s="34">
        <v>23</v>
      </c>
      <c r="L277" s="135">
        <v>5</v>
      </c>
      <c r="M277" s="135">
        <v>7</v>
      </c>
      <c r="N277" s="135">
        <v>6</v>
      </c>
      <c r="O277" s="135">
        <v>7</v>
      </c>
      <c r="P277" s="218">
        <f t="shared" si="11"/>
        <v>69</v>
      </c>
    </row>
    <row r="278" spans="1:16" x14ac:dyDescent="0.35">
      <c r="A278" s="287"/>
      <c r="B278" s="287"/>
      <c r="C278" s="32" t="s">
        <v>1623</v>
      </c>
      <c r="D278" s="32" t="s">
        <v>1773</v>
      </c>
      <c r="E278" s="32" t="s">
        <v>1818</v>
      </c>
      <c r="F278" s="32" t="s">
        <v>1817</v>
      </c>
      <c r="G278" s="33" t="s">
        <v>1361</v>
      </c>
      <c r="H278" s="34">
        <v>1</v>
      </c>
      <c r="I278" s="34">
        <v>1</v>
      </c>
      <c r="J278" s="34">
        <v>30</v>
      </c>
      <c r="K278" s="34">
        <v>45</v>
      </c>
      <c r="L278" s="135">
        <v>1</v>
      </c>
      <c r="M278" s="135">
        <v>1</v>
      </c>
      <c r="N278" s="135">
        <v>15</v>
      </c>
      <c r="O278" s="135">
        <v>10</v>
      </c>
      <c r="P278" s="218">
        <f t="shared" si="11"/>
        <v>104</v>
      </c>
    </row>
    <row r="279" spans="1:16" x14ac:dyDescent="0.35">
      <c r="A279" s="287"/>
      <c r="B279" s="287"/>
      <c r="C279" s="32" t="s">
        <v>1623</v>
      </c>
      <c r="D279" s="32" t="s">
        <v>1773</v>
      </c>
      <c r="E279" s="32" t="s">
        <v>1818</v>
      </c>
      <c r="F279" s="32" t="s">
        <v>1814</v>
      </c>
      <c r="G279" s="33" t="s">
        <v>1362</v>
      </c>
      <c r="H279" s="34">
        <v>2</v>
      </c>
      <c r="I279" s="34">
        <v>0</v>
      </c>
      <c r="J279" s="34">
        <v>19</v>
      </c>
      <c r="K279" s="34">
        <v>30</v>
      </c>
      <c r="L279" s="135">
        <v>4</v>
      </c>
      <c r="M279" s="135">
        <v>3</v>
      </c>
      <c r="N279" s="135">
        <v>3</v>
      </c>
      <c r="O279" s="135">
        <v>16</v>
      </c>
      <c r="P279" s="218">
        <f t="shared" si="11"/>
        <v>77</v>
      </c>
    </row>
    <row r="280" spans="1:16" x14ac:dyDescent="0.35">
      <c r="A280" s="287"/>
      <c r="B280" s="287"/>
      <c r="C280" s="32" t="s">
        <v>1623</v>
      </c>
      <c r="D280" s="32" t="s">
        <v>1773</v>
      </c>
      <c r="E280" s="32" t="s">
        <v>1818</v>
      </c>
      <c r="F280" s="32" t="s">
        <v>1813</v>
      </c>
      <c r="G280" s="33" t="s">
        <v>1174</v>
      </c>
      <c r="H280" s="34">
        <v>2</v>
      </c>
      <c r="I280" s="34">
        <v>3</v>
      </c>
      <c r="J280" s="34">
        <v>60</v>
      </c>
      <c r="K280" s="34">
        <v>89</v>
      </c>
      <c r="L280" s="135">
        <v>7</v>
      </c>
      <c r="M280" s="135">
        <v>6</v>
      </c>
      <c r="N280" s="135">
        <v>15</v>
      </c>
      <c r="O280" s="135">
        <v>15</v>
      </c>
      <c r="P280" s="218">
        <f t="shared" si="11"/>
        <v>197</v>
      </c>
    </row>
    <row r="281" spans="1:16" x14ac:dyDescent="0.35">
      <c r="A281" s="287"/>
      <c r="B281" s="287"/>
      <c r="C281" s="32" t="s">
        <v>1623</v>
      </c>
      <c r="D281" s="32" t="s">
        <v>1773</v>
      </c>
      <c r="E281" s="32" t="s">
        <v>1818</v>
      </c>
      <c r="F281" s="32" t="s">
        <v>1817</v>
      </c>
      <c r="G281" s="33" t="s">
        <v>1363</v>
      </c>
      <c r="H281" s="34">
        <v>1</v>
      </c>
      <c r="I281" s="34">
        <v>4</v>
      </c>
      <c r="J281" s="34">
        <v>60</v>
      </c>
      <c r="K281" s="34">
        <v>91</v>
      </c>
      <c r="L281" s="135">
        <v>14</v>
      </c>
      <c r="M281" s="135">
        <v>16</v>
      </c>
      <c r="N281" s="135">
        <v>17</v>
      </c>
      <c r="O281" s="135">
        <v>20</v>
      </c>
      <c r="P281" s="218">
        <f t="shared" si="11"/>
        <v>223</v>
      </c>
    </row>
    <row r="282" spans="1:16" x14ac:dyDescent="0.35">
      <c r="A282" s="287"/>
      <c r="B282" s="287"/>
      <c r="C282" s="32" t="s">
        <v>1623</v>
      </c>
      <c r="D282" s="32" t="s">
        <v>1773</v>
      </c>
      <c r="E282" s="32" t="s">
        <v>1818</v>
      </c>
      <c r="F282" s="32" t="s">
        <v>1814</v>
      </c>
      <c r="G282" s="33" t="s">
        <v>1364</v>
      </c>
      <c r="H282" s="34">
        <v>1</v>
      </c>
      <c r="I282" s="34">
        <v>1</v>
      </c>
      <c r="J282" s="34">
        <v>14</v>
      </c>
      <c r="K282" s="34">
        <v>22</v>
      </c>
      <c r="L282" s="135">
        <v>4</v>
      </c>
      <c r="M282" s="135">
        <v>3</v>
      </c>
      <c r="N282" s="135">
        <v>4</v>
      </c>
      <c r="O282" s="135">
        <v>3</v>
      </c>
      <c r="P282" s="218">
        <f t="shared" si="11"/>
        <v>52</v>
      </c>
    </row>
    <row r="283" spans="1:16" x14ac:dyDescent="0.35">
      <c r="A283" s="287"/>
      <c r="B283" s="287"/>
      <c r="C283" s="32" t="s">
        <v>1623</v>
      </c>
      <c r="D283" s="32" t="s">
        <v>1773</v>
      </c>
      <c r="E283" s="32" t="s">
        <v>1818</v>
      </c>
      <c r="F283" s="32" t="s">
        <v>1816</v>
      </c>
      <c r="G283" s="33" t="s">
        <v>1365</v>
      </c>
      <c r="H283" s="34">
        <v>3</v>
      </c>
      <c r="I283" s="34">
        <v>3</v>
      </c>
      <c r="J283" s="34">
        <v>48</v>
      </c>
      <c r="K283" s="34">
        <v>72</v>
      </c>
      <c r="L283" s="135">
        <v>15</v>
      </c>
      <c r="M283" s="135">
        <v>13</v>
      </c>
      <c r="N283" s="135">
        <v>13</v>
      </c>
      <c r="O283" s="135">
        <v>10</v>
      </c>
      <c r="P283" s="218">
        <f t="shared" si="11"/>
        <v>177</v>
      </c>
    </row>
    <row r="284" spans="1:16" x14ac:dyDescent="0.35">
      <c r="A284" s="287"/>
      <c r="B284" s="287"/>
      <c r="C284" s="32" t="s">
        <v>1623</v>
      </c>
      <c r="D284" s="32" t="s">
        <v>1773</v>
      </c>
      <c r="E284" s="32" t="s">
        <v>1818</v>
      </c>
      <c r="F284" s="32" t="s">
        <v>1813</v>
      </c>
      <c r="G284" s="33" t="s">
        <v>1366</v>
      </c>
      <c r="H284" s="34">
        <v>7</v>
      </c>
      <c r="I284" s="34">
        <v>4</v>
      </c>
      <c r="J284" s="34">
        <v>63</v>
      </c>
      <c r="K284" s="34">
        <v>95</v>
      </c>
      <c r="L284" s="135">
        <v>5</v>
      </c>
      <c r="M284" s="135">
        <v>8</v>
      </c>
      <c r="N284" s="135">
        <v>15</v>
      </c>
      <c r="O284" s="135">
        <v>20</v>
      </c>
      <c r="P284" s="218">
        <f t="shared" si="11"/>
        <v>217</v>
      </c>
    </row>
    <row r="285" spans="1:16" x14ac:dyDescent="0.35">
      <c r="A285" s="287"/>
      <c r="B285" s="287"/>
      <c r="C285" s="32" t="s">
        <v>1623</v>
      </c>
      <c r="D285" s="32" t="s">
        <v>1773</v>
      </c>
      <c r="E285" s="32" t="s">
        <v>1818</v>
      </c>
      <c r="F285" s="32" t="s">
        <v>1814</v>
      </c>
      <c r="G285" s="33" t="s">
        <v>1367</v>
      </c>
      <c r="H285" s="34">
        <v>2</v>
      </c>
      <c r="I285" s="34">
        <v>2</v>
      </c>
      <c r="J285" s="34">
        <v>18</v>
      </c>
      <c r="K285" s="34">
        <v>28</v>
      </c>
      <c r="L285" s="135">
        <v>5</v>
      </c>
      <c r="M285" s="135">
        <v>6</v>
      </c>
      <c r="N285" s="135">
        <v>5</v>
      </c>
      <c r="O285" s="135">
        <v>6</v>
      </c>
      <c r="P285" s="218">
        <f t="shared" si="11"/>
        <v>72</v>
      </c>
    </row>
    <row r="286" spans="1:16" x14ac:dyDescent="0.35">
      <c r="A286" s="287"/>
      <c r="B286" s="287"/>
      <c r="C286" s="32" t="s">
        <v>1623</v>
      </c>
      <c r="D286" s="32" t="s">
        <v>1773</v>
      </c>
      <c r="E286" s="32" t="s">
        <v>1818</v>
      </c>
      <c r="F286" s="32" t="s">
        <v>1814</v>
      </c>
      <c r="G286" s="33" t="s">
        <v>1368</v>
      </c>
      <c r="H286" s="34">
        <v>3</v>
      </c>
      <c r="I286" s="34">
        <v>3</v>
      </c>
      <c r="J286" s="34">
        <v>19</v>
      </c>
      <c r="K286" s="34">
        <v>28</v>
      </c>
      <c r="L286" s="135">
        <v>2</v>
      </c>
      <c r="M286" s="135">
        <v>2</v>
      </c>
      <c r="N286" s="135">
        <v>5</v>
      </c>
      <c r="O286" s="135">
        <v>8</v>
      </c>
      <c r="P286" s="218">
        <f t="shared" si="11"/>
        <v>70</v>
      </c>
    </row>
    <row r="287" spans="1:16" x14ac:dyDescent="0.35">
      <c r="A287" s="287"/>
      <c r="B287" s="287"/>
      <c r="C287" s="32" t="s">
        <v>1623</v>
      </c>
      <c r="D287" s="32" t="s">
        <v>1773</v>
      </c>
      <c r="E287" s="32" t="s">
        <v>1818</v>
      </c>
      <c r="F287" s="32" t="s">
        <v>1815</v>
      </c>
      <c r="G287" s="33" t="s">
        <v>1369</v>
      </c>
      <c r="H287" s="34">
        <v>3</v>
      </c>
      <c r="I287" s="34">
        <v>5</v>
      </c>
      <c r="J287" s="34">
        <v>46</v>
      </c>
      <c r="K287" s="34">
        <v>68</v>
      </c>
      <c r="L287" s="135">
        <v>12</v>
      </c>
      <c r="M287" s="135">
        <v>9</v>
      </c>
      <c r="N287" s="135">
        <v>24</v>
      </c>
      <c r="O287" s="135">
        <v>17</v>
      </c>
      <c r="P287" s="218">
        <f t="shared" si="11"/>
        <v>184</v>
      </c>
    </row>
    <row r="288" spans="1:16" x14ac:dyDescent="0.35">
      <c r="A288" s="52"/>
      <c r="B288" s="52"/>
      <c r="C288" s="52"/>
      <c r="D288" s="52"/>
      <c r="E288" s="52"/>
      <c r="F288" s="52"/>
      <c r="G288" s="52" t="s">
        <v>2</v>
      </c>
      <c r="H288" s="195">
        <f t="shared" ref="H288:K288" si="12">SUM(H257:H287)</f>
        <v>75</v>
      </c>
      <c r="I288" s="195">
        <f t="shared" si="12"/>
        <v>99</v>
      </c>
      <c r="J288" s="196">
        <f t="shared" si="12"/>
        <v>1068</v>
      </c>
      <c r="K288" s="196">
        <f t="shared" si="12"/>
        <v>1575</v>
      </c>
      <c r="L288" s="191">
        <f>SUM(L257:L287)</f>
        <v>197</v>
      </c>
      <c r="M288" s="191">
        <f>SUM(M257:M287)</f>
        <v>199</v>
      </c>
      <c r="N288" s="192">
        <f>SUM(N257:N287)</f>
        <v>343</v>
      </c>
      <c r="O288" s="192">
        <f>SUM(O257:O287)</f>
        <v>361</v>
      </c>
      <c r="P288" s="217">
        <f t="shared" si="11"/>
        <v>3917</v>
      </c>
    </row>
    <row r="289" spans="1:16" x14ac:dyDescent="0.35">
      <c r="A289" s="287">
        <v>9</v>
      </c>
      <c r="B289" s="287" t="s">
        <v>1902</v>
      </c>
      <c r="C289" s="32" t="s">
        <v>1623</v>
      </c>
      <c r="D289" s="32" t="s">
        <v>1773</v>
      </c>
      <c r="E289" s="32" t="s">
        <v>1823</v>
      </c>
      <c r="F289" s="32" t="s">
        <v>1819</v>
      </c>
      <c r="G289" s="33" t="s">
        <v>1370</v>
      </c>
      <c r="H289" s="34">
        <v>1</v>
      </c>
      <c r="I289" s="34">
        <v>1</v>
      </c>
      <c r="J289" s="34">
        <v>26</v>
      </c>
      <c r="K289" s="34">
        <v>14</v>
      </c>
      <c r="L289" s="135">
        <v>3</v>
      </c>
      <c r="M289" s="135">
        <v>3</v>
      </c>
      <c r="N289" s="135">
        <v>8</v>
      </c>
      <c r="O289" s="135">
        <v>7</v>
      </c>
      <c r="P289" s="218">
        <f t="shared" si="11"/>
        <v>63</v>
      </c>
    </row>
    <row r="290" spans="1:16" x14ac:dyDescent="0.35">
      <c r="A290" s="287"/>
      <c r="B290" s="287"/>
      <c r="C290" s="32" t="s">
        <v>1623</v>
      </c>
      <c r="D290" s="32" t="s">
        <v>1773</v>
      </c>
      <c r="E290" s="32" t="s">
        <v>1823</v>
      </c>
      <c r="F290" s="32" t="s">
        <v>1819</v>
      </c>
      <c r="G290" s="33" t="s">
        <v>1371</v>
      </c>
      <c r="H290" s="34">
        <v>0</v>
      </c>
      <c r="I290" s="34">
        <v>1</v>
      </c>
      <c r="J290" s="34">
        <v>15</v>
      </c>
      <c r="K290" s="34">
        <v>11</v>
      </c>
      <c r="L290" s="135">
        <v>2</v>
      </c>
      <c r="M290" s="135">
        <v>2</v>
      </c>
      <c r="N290" s="135">
        <v>3</v>
      </c>
      <c r="O290" s="135">
        <v>2</v>
      </c>
      <c r="P290" s="218">
        <f t="shared" si="11"/>
        <v>36</v>
      </c>
    </row>
    <row r="291" spans="1:16" x14ac:dyDescent="0.35">
      <c r="A291" s="287"/>
      <c r="B291" s="287"/>
      <c r="C291" s="32" t="s">
        <v>1623</v>
      </c>
      <c r="D291" s="32" t="s">
        <v>1773</v>
      </c>
      <c r="E291" s="32" t="s">
        <v>1823</v>
      </c>
      <c r="F291" s="32" t="s">
        <v>1820</v>
      </c>
      <c r="G291" s="33" t="s">
        <v>1372</v>
      </c>
      <c r="H291" s="34">
        <v>4</v>
      </c>
      <c r="I291" s="34">
        <v>3</v>
      </c>
      <c r="J291" s="34">
        <v>29</v>
      </c>
      <c r="K291" s="34">
        <v>34</v>
      </c>
      <c r="L291" s="135">
        <v>1</v>
      </c>
      <c r="M291" s="135">
        <v>0</v>
      </c>
      <c r="N291" s="135">
        <v>10</v>
      </c>
      <c r="O291" s="135">
        <v>10</v>
      </c>
      <c r="P291" s="218">
        <f t="shared" si="11"/>
        <v>91</v>
      </c>
    </row>
    <row r="292" spans="1:16" x14ac:dyDescent="0.35">
      <c r="A292" s="287"/>
      <c r="B292" s="287"/>
      <c r="C292" s="32" t="s">
        <v>1623</v>
      </c>
      <c r="D292" s="32" t="s">
        <v>1773</v>
      </c>
      <c r="E292" s="32" t="s">
        <v>1823</v>
      </c>
      <c r="F292" s="32" t="s">
        <v>1821</v>
      </c>
      <c r="G292" s="33" t="s">
        <v>1373</v>
      </c>
      <c r="H292" s="34">
        <v>4</v>
      </c>
      <c r="I292" s="34">
        <v>5</v>
      </c>
      <c r="J292" s="34">
        <v>60</v>
      </c>
      <c r="K292" s="34">
        <v>68</v>
      </c>
      <c r="L292" s="135">
        <v>15</v>
      </c>
      <c r="M292" s="135">
        <v>15</v>
      </c>
      <c r="N292" s="135">
        <v>10</v>
      </c>
      <c r="O292" s="135">
        <v>10</v>
      </c>
      <c r="P292" s="218">
        <f t="shared" si="11"/>
        <v>187</v>
      </c>
    </row>
    <row r="293" spans="1:16" x14ac:dyDescent="0.35">
      <c r="A293" s="287"/>
      <c r="B293" s="287"/>
      <c r="C293" s="32" t="s">
        <v>1623</v>
      </c>
      <c r="D293" s="32" t="s">
        <v>1773</v>
      </c>
      <c r="E293" s="32" t="s">
        <v>1823</v>
      </c>
      <c r="F293" s="32" t="s">
        <v>1819</v>
      </c>
      <c r="G293" s="33" t="s">
        <v>1374</v>
      </c>
      <c r="H293" s="34">
        <v>17</v>
      </c>
      <c r="I293" s="34">
        <v>11</v>
      </c>
      <c r="J293" s="34">
        <v>65</v>
      </c>
      <c r="K293" s="34">
        <v>73</v>
      </c>
      <c r="L293" s="135">
        <v>20</v>
      </c>
      <c r="M293" s="135">
        <v>29</v>
      </c>
      <c r="N293" s="135">
        <v>20</v>
      </c>
      <c r="O293" s="135">
        <v>30</v>
      </c>
      <c r="P293" s="218">
        <f t="shared" si="11"/>
        <v>265</v>
      </c>
    </row>
    <row r="294" spans="1:16" x14ac:dyDescent="0.35">
      <c r="A294" s="287"/>
      <c r="B294" s="287"/>
      <c r="C294" s="32" t="s">
        <v>1623</v>
      </c>
      <c r="D294" s="32" t="s">
        <v>1773</v>
      </c>
      <c r="E294" s="32" t="s">
        <v>1823</v>
      </c>
      <c r="F294" s="32" t="s">
        <v>1821</v>
      </c>
      <c r="G294" s="33" t="s">
        <v>1375</v>
      </c>
      <c r="H294" s="34">
        <v>3</v>
      </c>
      <c r="I294" s="34">
        <v>3</v>
      </c>
      <c r="J294" s="34">
        <v>40</v>
      </c>
      <c r="K294" s="34">
        <v>55</v>
      </c>
      <c r="L294" s="135">
        <v>36</v>
      </c>
      <c r="M294" s="135">
        <v>48</v>
      </c>
      <c r="N294" s="135">
        <v>15</v>
      </c>
      <c r="O294" s="135">
        <v>15</v>
      </c>
      <c r="P294" s="218">
        <f t="shared" si="11"/>
        <v>215</v>
      </c>
    </row>
    <row r="295" spans="1:16" x14ac:dyDescent="0.35">
      <c r="A295" s="287"/>
      <c r="B295" s="287"/>
      <c r="C295" s="32" t="s">
        <v>1623</v>
      </c>
      <c r="D295" s="32" t="s">
        <v>1773</v>
      </c>
      <c r="E295" s="32" t="s">
        <v>1823</v>
      </c>
      <c r="F295" s="32" t="s">
        <v>1820</v>
      </c>
      <c r="G295" s="33" t="s">
        <v>1376</v>
      </c>
      <c r="H295" s="34">
        <v>3</v>
      </c>
      <c r="I295" s="34">
        <v>4</v>
      </c>
      <c r="J295" s="34">
        <v>45</v>
      </c>
      <c r="K295" s="34">
        <v>47</v>
      </c>
      <c r="L295" s="135">
        <v>5</v>
      </c>
      <c r="M295" s="135">
        <v>10</v>
      </c>
      <c r="N295" s="135">
        <v>15</v>
      </c>
      <c r="O295" s="135">
        <v>19</v>
      </c>
      <c r="P295" s="218">
        <f t="shared" si="11"/>
        <v>148</v>
      </c>
    </row>
    <row r="296" spans="1:16" x14ac:dyDescent="0.35">
      <c r="A296" s="287"/>
      <c r="B296" s="287"/>
      <c r="C296" s="32" t="s">
        <v>1623</v>
      </c>
      <c r="D296" s="32" t="s">
        <v>1773</v>
      </c>
      <c r="E296" s="32" t="s">
        <v>1823</v>
      </c>
      <c r="F296" s="32" t="s">
        <v>1820</v>
      </c>
      <c r="G296" s="33" t="s">
        <v>1377</v>
      </c>
      <c r="H296" s="34">
        <v>6</v>
      </c>
      <c r="I296" s="34">
        <v>7</v>
      </c>
      <c r="J296" s="34">
        <v>20</v>
      </c>
      <c r="K296" s="34">
        <v>19</v>
      </c>
      <c r="L296" s="135">
        <v>9</v>
      </c>
      <c r="M296" s="135">
        <v>8</v>
      </c>
      <c r="N296" s="135">
        <v>7</v>
      </c>
      <c r="O296" s="135">
        <v>8</v>
      </c>
      <c r="P296" s="218">
        <f t="shared" si="11"/>
        <v>84</v>
      </c>
    </row>
    <row r="297" spans="1:16" x14ac:dyDescent="0.35">
      <c r="A297" s="287"/>
      <c r="B297" s="287"/>
      <c r="C297" s="32" t="s">
        <v>1623</v>
      </c>
      <c r="D297" s="32" t="s">
        <v>1773</v>
      </c>
      <c r="E297" s="32" t="s">
        <v>1823</v>
      </c>
      <c r="F297" s="32" t="s">
        <v>1819</v>
      </c>
      <c r="G297" s="33" t="s">
        <v>1378</v>
      </c>
      <c r="H297" s="34">
        <v>2</v>
      </c>
      <c r="I297" s="34">
        <v>1</v>
      </c>
      <c r="J297" s="34">
        <v>29</v>
      </c>
      <c r="K297" s="34">
        <v>24</v>
      </c>
      <c r="L297" s="135">
        <v>12</v>
      </c>
      <c r="M297" s="135">
        <v>18</v>
      </c>
      <c r="N297" s="135">
        <v>26</v>
      </c>
      <c r="O297" s="135">
        <v>24</v>
      </c>
      <c r="P297" s="218">
        <f t="shared" si="11"/>
        <v>136</v>
      </c>
    </row>
    <row r="298" spans="1:16" x14ac:dyDescent="0.35">
      <c r="A298" s="287"/>
      <c r="B298" s="287"/>
      <c r="C298" s="32" t="s">
        <v>1623</v>
      </c>
      <c r="D298" s="32" t="s">
        <v>1773</v>
      </c>
      <c r="E298" s="32" t="s">
        <v>1823</v>
      </c>
      <c r="F298" s="32" t="s">
        <v>1821</v>
      </c>
      <c r="G298" s="33" t="s">
        <v>1379</v>
      </c>
      <c r="H298" s="34">
        <v>0</v>
      </c>
      <c r="I298" s="34">
        <v>5</v>
      </c>
      <c r="J298" s="34">
        <v>62</v>
      </c>
      <c r="K298" s="34">
        <v>64</v>
      </c>
      <c r="L298" s="135">
        <v>14</v>
      </c>
      <c r="M298" s="135">
        <v>15</v>
      </c>
      <c r="N298" s="135">
        <v>44</v>
      </c>
      <c r="O298" s="135">
        <v>50</v>
      </c>
      <c r="P298" s="218">
        <f t="shared" si="11"/>
        <v>254</v>
      </c>
    </row>
    <row r="299" spans="1:16" x14ac:dyDescent="0.35">
      <c r="A299" s="287"/>
      <c r="B299" s="287"/>
      <c r="C299" s="32" t="s">
        <v>1623</v>
      </c>
      <c r="D299" s="32" t="s">
        <v>1773</v>
      </c>
      <c r="E299" s="32" t="s">
        <v>1823</v>
      </c>
      <c r="F299" s="32" t="s">
        <v>1820</v>
      </c>
      <c r="G299" s="33" t="s">
        <v>1380</v>
      </c>
      <c r="H299" s="34">
        <v>4</v>
      </c>
      <c r="I299" s="34">
        <v>1</v>
      </c>
      <c r="J299" s="34">
        <v>50</v>
      </c>
      <c r="K299" s="34">
        <v>47</v>
      </c>
      <c r="L299" s="135">
        <v>2</v>
      </c>
      <c r="M299" s="135">
        <v>13</v>
      </c>
      <c r="N299" s="135">
        <v>8</v>
      </c>
      <c r="O299" s="135">
        <v>9</v>
      </c>
      <c r="P299" s="218">
        <f t="shared" si="11"/>
        <v>134</v>
      </c>
    </row>
    <row r="300" spans="1:16" x14ac:dyDescent="0.35">
      <c r="A300" s="287"/>
      <c r="B300" s="287"/>
      <c r="C300" s="32" t="s">
        <v>1623</v>
      </c>
      <c r="D300" s="32" t="s">
        <v>1773</v>
      </c>
      <c r="E300" s="32" t="s">
        <v>1823</v>
      </c>
      <c r="F300" s="32" t="s">
        <v>1820</v>
      </c>
      <c r="G300" s="33" t="s">
        <v>1381</v>
      </c>
      <c r="H300" s="34">
        <v>1</v>
      </c>
      <c r="I300" s="34">
        <v>2</v>
      </c>
      <c r="J300" s="34">
        <v>30</v>
      </c>
      <c r="K300" s="34">
        <v>36</v>
      </c>
      <c r="L300" s="135">
        <v>4</v>
      </c>
      <c r="M300" s="135">
        <v>3</v>
      </c>
      <c r="N300" s="135">
        <v>11</v>
      </c>
      <c r="O300" s="135">
        <v>15</v>
      </c>
      <c r="P300" s="218">
        <f t="shared" si="11"/>
        <v>102</v>
      </c>
    </row>
    <row r="301" spans="1:16" x14ac:dyDescent="0.35">
      <c r="A301" s="287"/>
      <c r="B301" s="287"/>
      <c r="C301" s="32" t="s">
        <v>1623</v>
      </c>
      <c r="D301" s="32" t="s">
        <v>1773</v>
      </c>
      <c r="E301" s="32" t="s">
        <v>1823</v>
      </c>
      <c r="F301" s="32" t="s">
        <v>1821</v>
      </c>
      <c r="G301" s="33" t="s">
        <v>1382</v>
      </c>
      <c r="H301" s="34">
        <v>2</v>
      </c>
      <c r="I301" s="34">
        <v>0</v>
      </c>
      <c r="J301" s="34">
        <v>109</v>
      </c>
      <c r="K301" s="34">
        <v>93</v>
      </c>
      <c r="L301" s="135">
        <v>33</v>
      </c>
      <c r="M301" s="135">
        <v>27</v>
      </c>
      <c r="N301" s="135">
        <v>48</v>
      </c>
      <c r="O301" s="135">
        <v>40</v>
      </c>
      <c r="P301" s="218">
        <f t="shared" si="11"/>
        <v>352</v>
      </c>
    </row>
    <row r="302" spans="1:16" x14ac:dyDescent="0.35">
      <c r="A302" s="287"/>
      <c r="B302" s="287"/>
      <c r="C302" s="32" t="s">
        <v>1623</v>
      </c>
      <c r="D302" s="32" t="s">
        <v>1773</v>
      </c>
      <c r="E302" s="32" t="s">
        <v>1823</v>
      </c>
      <c r="F302" s="32" t="s">
        <v>1821</v>
      </c>
      <c r="G302" s="33" t="s">
        <v>1383</v>
      </c>
      <c r="H302" s="34">
        <v>3</v>
      </c>
      <c r="I302" s="34">
        <v>3</v>
      </c>
      <c r="J302" s="34">
        <v>48</v>
      </c>
      <c r="K302" s="34">
        <v>57</v>
      </c>
      <c r="L302" s="135">
        <v>25</v>
      </c>
      <c r="M302" s="135">
        <v>30</v>
      </c>
      <c r="N302" s="135">
        <v>21</v>
      </c>
      <c r="O302" s="135">
        <v>24</v>
      </c>
      <c r="P302" s="218">
        <f t="shared" si="11"/>
        <v>211</v>
      </c>
    </row>
    <row r="303" spans="1:16" x14ac:dyDescent="0.35">
      <c r="A303" s="287"/>
      <c r="B303" s="287"/>
      <c r="C303" s="32" t="s">
        <v>1623</v>
      </c>
      <c r="D303" s="32" t="s">
        <v>1773</v>
      </c>
      <c r="E303" s="32" t="s">
        <v>1823</v>
      </c>
      <c r="F303" s="32" t="s">
        <v>1820</v>
      </c>
      <c r="G303" s="33" t="s">
        <v>1384</v>
      </c>
      <c r="H303" s="34">
        <v>4</v>
      </c>
      <c r="I303" s="34">
        <v>1</v>
      </c>
      <c r="J303" s="34">
        <v>32</v>
      </c>
      <c r="K303" s="34">
        <v>30</v>
      </c>
      <c r="L303" s="135">
        <v>10</v>
      </c>
      <c r="M303" s="135">
        <v>4</v>
      </c>
      <c r="N303" s="135">
        <v>9</v>
      </c>
      <c r="O303" s="135">
        <v>7</v>
      </c>
      <c r="P303" s="218">
        <f t="shared" si="11"/>
        <v>97</v>
      </c>
    </row>
    <row r="304" spans="1:16" x14ac:dyDescent="0.35">
      <c r="A304" s="287"/>
      <c r="B304" s="287"/>
      <c r="C304" s="32" t="s">
        <v>1623</v>
      </c>
      <c r="D304" s="32" t="s">
        <v>1773</v>
      </c>
      <c r="E304" s="32" t="s">
        <v>1823</v>
      </c>
      <c r="F304" s="32" t="s">
        <v>1819</v>
      </c>
      <c r="G304" s="33" t="s">
        <v>1385</v>
      </c>
      <c r="H304" s="34">
        <v>1</v>
      </c>
      <c r="I304" s="34">
        <v>2</v>
      </c>
      <c r="J304" s="34">
        <v>22</v>
      </c>
      <c r="K304" s="34">
        <v>32</v>
      </c>
      <c r="L304" s="135">
        <v>10</v>
      </c>
      <c r="M304" s="135">
        <v>8</v>
      </c>
      <c r="N304" s="135">
        <v>6</v>
      </c>
      <c r="O304" s="135">
        <v>14</v>
      </c>
      <c r="P304" s="218">
        <f t="shared" si="11"/>
        <v>95</v>
      </c>
    </row>
    <row r="305" spans="1:16" x14ac:dyDescent="0.35">
      <c r="A305" s="287"/>
      <c r="B305" s="287"/>
      <c r="C305" s="32" t="s">
        <v>1623</v>
      </c>
      <c r="D305" s="32" t="s">
        <v>1773</v>
      </c>
      <c r="E305" s="32" t="s">
        <v>1823</v>
      </c>
      <c r="F305" s="32" t="s">
        <v>1820</v>
      </c>
      <c r="G305" s="33" t="s">
        <v>1386</v>
      </c>
      <c r="H305" s="34">
        <v>4</v>
      </c>
      <c r="I305" s="34">
        <v>7</v>
      </c>
      <c r="J305" s="34">
        <v>63</v>
      </c>
      <c r="K305" s="34">
        <v>59</v>
      </c>
      <c r="L305" s="135">
        <v>20</v>
      </c>
      <c r="M305" s="135">
        <v>21</v>
      </c>
      <c r="N305" s="135">
        <v>13</v>
      </c>
      <c r="O305" s="135">
        <v>10</v>
      </c>
      <c r="P305" s="218">
        <f t="shared" si="11"/>
        <v>197</v>
      </c>
    </row>
    <row r="306" spans="1:16" x14ac:dyDescent="0.35">
      <c r="A306" s="287"/>
      <c r="B306" s="287"/>
      <c r="C306" s="32" t="s">
        <v>1623</v>
      </c>
      <c r="D306" s="32" t="s">
        <v>1773</v>
      </c>
      <c r="E306" s="32" t="s">
        <v>1823</v>
      </c>
      <c r="F306" s="32" t="s">
        <v>1819</v>
      </c>
      <c r="G306" s="33" t="s">
        <v>1387</v>
      </c>
      <c r="H306" s="34">
        <v>3</v>
      </c>
      <c r="I306" s="34">
        <v>2</v>
      </c>
      <c r="J306" s="34">
        <v>13</v>
      </c>
      <c r="K306" s="34">
        <v>17</v>
      </c>
      <c r="L306" s="135">
        <v>5</v>
      </c>
      <c r="M306" s="135">
        <v>4</v>
      </c>
      <c r="N306" s="135">
        <v>6</v>
      </c>
      <c r="O306" s="135">
        <v>8</v>
      </c>
      <c r="P306" s="218">
        <f t="shared" si="11"/>
        <v>58</v>
      </c>
    </row>
    <row r="307" spans="1:16" x14ac:dyDescent="0.35">
      <c r="A307" s="287"/>
      <c r="B307" s="287"/>
      <c r="C307" s="32" t="s">
        <v>1623</v>
      </c>
      <c r="D307" s="32" t="s">
        <v>1773</v>
      </c>
      <c r="E307" s="32" t="s">
        <v>1823</v>
      </c>
      <c r="F307" s="32" t="s">
        <v>1819</v>
      </c>
      <c r="G307" s="33" t="s">
        <v>1388</v>
      </c>
      <c r="H307" s="34">
        <v>1</v>
      </c>
      <c r="I307" s="34">
        <v>1</v>
      </c>
      <c r="J307" s="34">
        <v>14</v>
      </c>
      <c r="K307" s="34">
        <v>13</v>
      </c>
      <c r="L307" s="135">
        <v>3</v>
      </c>
      <c r="M307" s="135">
        <v>1</v>
      </c>
      <c r="N307" s="135">
        <v>3</v>
      </c>
      <c r="O307" s="135">
        <v>2</v>
      </c>
      <c r="P307" s="218">
        <f t="shared" si="11"/>
        <v>38</v>
      </c>
    </row>
    <row r="308" spans="1:16" x14ac:dyDescent="0.35">
      <c r="A308" s="287"/>
      <c r="B308" s="287"/>
      <c r="C308" s="32" t="s">
        <v>1623</v>
      </c>
      <c r="D308" s="32" t="s">
        <v>1773</v>
      </c>
      <c r="E308" s="32" t="s">
        <v>1823</v>
      </c>
      <c r="F308" s="43" t="s">
        <v>1822</v>
      </c>
      <c r="G308" s="33" t="s">
        <v>1389</v>
      </c>
      <c r="H308" s="34">
        <v>5</v>
      </c>
      <c r="I308" s="34">
        <v>6</v>
      </c>
      <c r="J308" s="34">
        <v>36</v>
      </c>
      <c r="K308" s="34">
        <v>41</v>
      </c>
      <c r="L308" s="135">
        <v>12</v>
      </c>
      <c r="M308" s="135">
        <v>13</v>
      </c>
      <c r="N308" s="135">
        <v>7</v>
      </c>
      <c r="O308" s="135">
        <v>8</v>
      </c>
      <c r="P308" s="218">
        <f t="shared" si="11"/>
        <v>128</v>
      </c>
    </row>
    <row r="309" spans="1:16" x14ac:dyDescent="0.35">
      <c r="A309" s="287"/>
      <c r="B309" s="287"/>
      <c r="C309" s="32" t="s">
        <v>1623</v>
      </c>
      <c r="D309" s="32" t="s">
        <v>1773</v>
      </c>
      <c r="E309" s="32" t="s">
        <v>1823</v>
      </c>
      <c r="F309" s="43" t="s">
        <v>1822</v>
      </c>
      <c r="G309" s="33" t="s">
        <v>1390</v>
      </c>
      <c r="H309" s="34">
        <v>1</v>
      </c>
      <c r="I309" s="34">
        <v>3</v>
      </c>
      <c r="J309" s="34">
        <v>18</v>
      </c>
      <c r="K309" s="34">
        <v>23</v>
      </c>
      <c r="L309" s="135">
        <v>2</v>
      </c>
      <c r="M309" s="135">
        <v>3</v>
      </c>
      <c r="N309" s="135">
        <v>6</v>
      </c>
      <c r="O309" s="135">
        <v>7</v>
      </c>
      <c r="P309" s="218">
        <f t="shared" si="11"/>
        <v>63</v>
      </c>
    </row>
    <row r="310" spans="1:16" x14ac:dyDescent="0.35">
      <c r="A310" s="287"/>
      <c r="B310" s="287"/>
      <c r="C310" s="32" t="s">
        <v>1623</v>
      </c>
      <c r="D310" s="32" t="s">
        <v>1773</v>
      </c>
      <c r="E310" s="32" t="s">
        <v>1823</v>
      </c>
      <c r="F310" s="32" t="s">
        <v>1822</v>
      </c>
      <c r="G310" s="33" t="s">
        <v>1391</v>
      </c>
      <c r="H310" s="34">
        <v>0</v>
      </c>
      <c r="I310" s="34">
        <v>2</v>
      </c>
      <c r="J310" s="34">
        <v>34</v>
      </c>
      <c r="K310" s="34">
        <v>33</v>
      </c>
      <c r="L310" s="135">
        <v>3</v>
      </c>
      <c r="M310" s="135">
        <v>14</v>
      </c>
      <c r="N310" s="135">
        <v>4</v>
      </c>
      <c r="O310" s="135">
        <v>10</v>
      </c>
      <c r="P310" s="218">
        <f t="shared" si="11"/>
        <v>100</v>
      </c>
    </row>
    <row r="311" spans="1:16" x14ac:dyDescent="0.35">
      <c r="A311" s="287"/>
      <c r="B311" s="287"/>
      <c r="C311" s="32" t="s">
        <v>1623</v>
      </c>
      <c r="D311" s="32" t="s">
        <v>1773</v>
      </c>
      <c r="E311" s="32" t="s">
        <v>1823</v>
      </c>
      <c r="F311" s="32" t="s">
        <v>1822</v>
      </c>
      <c r="G311" s="33" t="s">
        <v>1392</v>
      </c>
      <c r="H311" s="34">
        <v>8</v>
      </c>
      <c r="I311" s="34">
        <v>10</v>
      </c>
      <c r="J311" s="34">
        <v>77</v>
      </c>
      <c r="K311" s="34">
        <v>81</v>
      </c>
      <c r="L311" s="135">
        <v>20</v>
      </c>
      <c r="M311" s="135">
        <v>25</v>
      </c>
      <c r="N311" s="135">
        <v>18</v>
      </c>
      <c r="O311" s="135">
        <v>22</v>
      </c>
      <c r="P311" s="218">
        <f t="shared" si="11"/>
        <v>261</v>
      </c>
    </row>
    <row r="312" spans="1:16" x14ac:dyDescent="0.35">
      <c r="A312" s="287"/>
      <c r="B312" s="287"/>
      <c r="C312" s="32" t="s">
        <v>1623</v>
      </c>
      <c r="D312" s="32" t="s">
        <v>1773</v>
      </c>
      <c r="E312" s="32" t="s">
        <v>1823</v>
      </c>
      <c r="F312" s="32" t="s">
        <v>1821</v>
      </c>
      <c r="G312" s="33" t="s">
        <v>1393</v>
      </c>
      <c r="H312" s="34">
        <v>0</v>
      </c>
      <c r="I312" s="34">
        <v>1</v>
      </c>
      <c r="J312" s="34">
        <v>30</v>
      </c>
      <c r="K312" s="34">
        <v>42</v>
      </c>
      <c r="L312" s="135">
        <v>5</v>
      </c>
      <c r="M312" s="135">
        <v>10</v>
      </c>
      <c r="N312" s="135">
        <v>5</v>
      </c>
      <c r="O312" s="135">
        <v>2</v>
      </c>
      <c r="P312" s="218">
        <f t="shared" si="11"/>
        <v>95</v>
      </c>
    </row>
    <row r="313" spans="1:16" x14ac:dyDescent="0.35">
      <c r="A313" s="287"/>
      <c r="B313" s="287"/>
      <c r="C313" s="32" t="s">
        <v>1623</v>
      </c>
      <c r="D313" s="32" t="s">
        <v>1773</v>
      </c>
      <c r="E313" s="32" t="s">
        <v>1823</v>
      </c>
      <c r="F313" s="32" t="s">
        <v>1822</v>
      </c>
      <c r="G313" s="33" t="s">
        <v>1394</v>
      </c>
      <c r="H313" s="34">
        <v>0</v>
      </c>
      <c r="I313" s="34">
        <v>4</v>
      </c>
      <c r="J313" s="34">
        <v>29</v>
      </c>
      <c r="K313" s="34">
        <v>34</v>
      </c>
      <c r="L313" s="135">
        <v>9</v>
      </c>
      <c r="M313" s="135">
        <v>11</v>
      </c>
      <c r="N313" s="135">
        <v>8</v>
      </c>
      <c r="O313" s="135">
        <v>10</v>
      </c>
      <c r="P313" s="218">
        <f t="shared" si="11"/>
        <v>105</v>
      </c>
    </row>
    <row r="314" spans="1:16" x14ac:dyDescent="0.35">
      <c r="A314" s="287"/>
      <c r="B314" s="287"/>
      <c r="C314" s="32" t="s">
        <v>1623</v>
      </c>
      <c r="D314" s="32" t="s">
        <v>1773</v>
      </c>
      <c r="E314" s="32" t="s">
        <v>1823</v>
      </c>
      <c r="F314" s="32" t="s">
        <v>1819</v>
      </c>
      <c r="G314" s="33" t="s">
        <v>1395</v>
      </c>
      <c r="H314" s="34">
        <v>2</v>
      </c>
      <c r="I314" s="34">
        <v>3</v>
      </c>
      <c r="J314" s="34">
        <v>10</v>
      </c>
      <c r="K314" s="34">
        <v>20</v>
      </c>
      <c r="L314" s="135">
        <v>3</v>
      </c>
      <c r="M314" s="135">
        <v>1</v>
      </c>
      <c r="N314" s="135">
        <v>3</v>
      </c>
      <c r="O314" s="135">
        <v>4</v>
      </c>
      <c r="P314" s="218">
        <f t="shared" si="11"/>
        <v>46</v>
      </c>
    </row>
    <row r="315" spans="1:16" x14ac:dyDescent="0.35">
      <c r="A315" s="287"/>
      <c r="B315" s="287"/>
      <c r="C315" s="32" t="s">
        <v>1623</v>
      </c>
      <c r="D315" s="32" t="s">
        <v>1773</v>
      </c>
      <c r="E315" s="32" t="s">
        <v>1823</v>
      </c>
      <c r="F315" s="32" t="s">
        <v>1822</v>
      </c>
      <c r="G315" s="33" t="s">
        <v>1365</v>
      </c>
      <c r="H315" s="34">
        <v>4</v>
      </c>
      <c r="I315" s="34">
        <v>0</v>
      </c>
      <c r="J315" s="34">
        <v>40</v>
      </c>
      <c r="K315" s="34">
        <v>39</v>
      </c>
      <c r="L315" s="135">
        <v>10</v>
      </c>
      <c r="M315" s="135">
        <v>15</v>
      </c>
      <c r="N315" s="135">
        <v>20</v>
      </c>
      <c r="O315" s="135">
        <v>15</v>
      </c>
      <c r="P315" s="218">
        <f t="shared" si="11"/>
        <v>143</v>
      </c>
    </row>
    <row r="316" spans="1:16" x14ac:dyDescent="0.35">
      <c r="A316" s="287"/>
      <c r="B316" s="287"/>
      <c r="C316" s="32" t="s">
        <v>1623</v>
      </c>
      <c r="D316" s="32" t="s">
        <v>1773</v>
      </c>
      <c r="E316" s="32" t="s">
        <v>1823</v>
      </c>
      <c r="F316" s="32" t="s">
        <v>1819</v>
      </c>
      <c r="G316" s="33" t="s">
        <v>1396</v>
      </c>
      <c r="H316" s="34">
        <v>3</v>
      </c>
      <c r="I316" s="34">
        <v>2</v>
      </c>
      <c r="J316" s="34">
        <v>23</v>
      </c>
      <c r="K316" s="34">
        <v>25</v>
      </c>
      <c r="L316" s="135">
        <v>2</v>
      </c>
      <c r="M316" s="135">
        <v>3</v>
      </c>
      <c r="N316" s="135">
        <v>3</v>
      </c>
      <c r="O316" s="135">
        <v>8</v>
      </c>
      <c r="P316" s="218">
        <f t="shared" si="11"/>
        <v>69</v>
      </c>
    </row>
    <row r="317" spans="1:16" x14ac:dyDescent="0.35">
      <c r="A317" s="287"/>
      <c r="B317" s="287"/>
      <c r="C317" s="32" t="s">
        <v>1623</v>
      </c>
      <c r="D317" s="32" t="s">
        <v>1773</v>
      </c>
      <c r="E317" s="32" t="s">
        <v>1823</v>
      </c>
      <c r="F317" s="43" t="s">
        <v>1822</v>
      </c>
      <c r="G317" s="33" t="s">
        <v>1397</v>
      </c>
      <c r="H317" s="34">
        <v>2</v>
      </c>
      <c r="I317" s="34">
        <v>2</v>
      </c>
      <c r="J317" s="34">
        <v>31</v>
      </c>
      <c r="K317" s="34">
        <v>29</v>
      </c>
      <c r="L317" s="135">
        <v>4</v>
      </c>
      <c r="M317" s="135">
        <v>7</v>
      </c>
      <c r="N317" s="135">
        <v>20</v>
      </c>
      <c r="O317" s="135">
        <v>14</v>
      </c>
      <c r="P317" s="218">
        <f t="shared" si="11"/>
        <v>109</v>
      </c>
    </row>
    <row r="318" spans="1:16" x14ac:dyDescent="0.35">
      <c r="A318" s="52"/>
      <c r="B318" s="52"/>
      <c r="C318" s="52"/>
      <c r="D318" s="52"/>
      <c r="E318" s="52"/>
      <c r="F318" s="52"/>
      <c r="G318" s="52" t="s">
        <v>2</v>
      </c>
      <c r="H318" s="195">
        <f>SUM(H289:H317)</f>
        <v>88</v>
      </c>
      <c r="I318" s="195">
        <f>SUM(I289:I317)</f>
        <v>93</v>
      </c>
      <c r="J318" s="196">
        <f>SUM(J289:J317)</f>
        <v>1100</v>
      </c>
      <c r="K318" s="196">
        <f>SUM(K289:K317)</f>
        <v>1160</v>
      </c>
      <c r="L318" s="191">
        <f t="shared" ref="L318:O318" si="13">SUM(L289:L317)</f>
        <v>299</v>
      </c>
      <c r="M318" s="191">
        <f t="shared" si="13"/>
        <v>361</v>
      </c>
      <c r="N318" s="192">
        <f t="shared" si="13"/>
        <v>377</v>
      </c>
      <c r="O318" s="192">
        <f t="shared" si="13"/>
        <v>404</v>
      </c>
      <c r="P318" s="217">
        <f t="shared" si="11"/>
        <v>3882</v>
      </c>
    </row>
    <row r="319" spans="1:16" x14ac:dyDescent="0.35">
      <c r="A319" s="287">
        <v>10</v>
      </c>
      <c r="B319" s="287" t="s">
        <v>1903</v>
      </c>
      <c r="C319" s="32" t="s">
        <v>1623</v>
      </c>
      <c r="D319" s="32" t="s">
        <v>1773</v>
      </c>
      <c r="E319" s="32" t="s">
        <v>1823</v>
      </c>
      <c r="F319" s="32" t="s">
        <v>1824</v>
      </c>
      <c r="G319" s="33" t="s">
        <v>1398</v>
      </c>
      <c r="H319" s="34">
        <v>1</v>
      </c>
      <c r="I319" s="34">
        <v>3</v>
      </c>
      <c r="J319" s="34">
        <v>22</v>
      </c>
      <c r="K319" s="34">
        <v>26</v>
      </c>
      <c r="L319" s="135">
        <v>5</v>
      </c>
      <c r="M319" s="135">
        <v>3</v>
      </c>
      <c r="N319" s="135">
        <v>13</v>
      </c>
      <c r="O319" s="135">
        <v>11</v>
      </c>
      <c r="P319" s="218">
        <f t="shared" si="11"/>
        <v>84</v>
      </c>
    </row>
    <row r="320" spans="1:16" x14ac:dyDescent="0.35">
      <c r="A320" s="287"/>
      <c r="B320" s="287"/>
      <c r="C320" s="32" t="s">
        <v>1623</v>
      </c>
      <c r="D320" s="32" t="s">
        <v>1773</v>
      </c>
      <c r="E320" s="32" t="s">
        <v>1823</v>
      </c>
      <c r="F320" s="32" t="s">
        <v>1824</v>
      </c>
      <c r="G320" s="33" t="s">
        <v>1399</v>
      </c>
      <c r="H320" s="34">
        <v>2</v>
      </c>
      <c r="I320" s="34">
        <v>1</v>
      </c>
      <c r="J320" s="34">
        <v>21</v>
      </c>
      <c r="K320" s="34">
        <v>27</v>
      </c>
      <c r="L320" s="135">
        <v>5</v>
      </c>
      <c r="M320" s="135">
        <v>2</v>
      </c>
      <c r="N320" s="135">
        <v>6</v>
      </c>
      <c r="O320" s="135">
        <v>4</v>
      </c>
      <c r="P320" s="218">
        <f t="shared" si="11"/>
        <v>68</v>
      </c>
    </row>
    <row r="321" spans="1:16" x14ac:dyDescent="0.35">
      <c r="A321" s="287"/>
      <c r="B321" s="287"/>
      <c r="C321" s="32" t="s">
        <v>1623</v>
      </c>
      <c r="D321" s="32" t="s">
        <v>1773</v>
      </c>
      <c r="E321" s="32" t="s">
        <v>1823</v>
      </c>
      <c r="F321" s="32" t="s">
        <v>1825</v>
      </c>
      <c r="G321" s="33" t="s">
        <v>1400</v>
      </c>
      <c r="H321" s="34">
        <v>1</v>
      </c>
      <c r="I321" s="34">
        <v>4</v>
      </c>
      <c r="J321" s="34">
        <v>18</v>
      </c>
      <c r="K321" s="34">
        <v>22</v>
      </c>
      <c r="L321" s="135">
        <v>10</v>
      </c>
      <c r="M321" s="135">
        <v>9</v>
      </c>
      <c r="N321" s="135">
        <v>9</v>
      </c>
      <c r="O321" s="135">
        <v>6</v>
      </c>
      <c r="P321" s="218">
        <f t="shared" si="11"/>
        <v>79</v>
      </c>
    </row>
    <row r="322" spans="1:16" x14ac:dyDescent="0.35">
      <c r="A322" s="287"/>
      <c r="B322" s="287"/>
      <c r="C322" s="32" t="s">
        <v>1623</v>
      </c>
      <c r="D322" s="32" t="s">
        <v>1773</v>
      </c>
      <c r="E322" s="32" t="s">
        <v>1823</v>
      </c>
      <c r="F322" s="32" t="s">
        <v>1824</v>
      </c>
      <c r="G322" s="33" t="s">
        <v>1401</v>
      </c>
      <c r="H322" s="34">
        <v>1</v>
      </c>
      <c r="I322" s="34">
        <v>4</v>
      </c>
      <c r="J322" s="34">
        <v>27</v>
      </c>
      <c r="K322" s="34">
        <v>27</v>
      </c>
      <c r="L322" s="135">
        <v>4</v>
      </c>
      <c r="M322" s="135">
        <v>2</v>
      </c>
      <c r="N322" s="135">
        <v>6</v>
      </c>
      <c r="O322" s="135">
        <v>6</v>
      </c>
      <c r="P322" s="218">
        <f t="shared" si="11"/>
        <v>77</v>
      </c>
    </row>
    <row r="323" spans="1:16" x14ac:dyDescent="0.35">
      <c r="A323" s="287"/>
      <c r="B323" s="287"/>
      <c r="C323" s="32" t="s">
        <v>1623</v>
      </c>
      <c r="D323" s="32" t="s">
        <v>1773</v>
      </c>
      <c r="E323" s="32" t="s">
        <v>1823</v>
      </c>
      <c r="F323" s="32" t="s">
        <v>1824</v>
      </c>
      <c r="G323" s="33" t="s">
        <v>1402</v>
      </c>
      <c r="H323" s="34">
        <v>2</v>
      </c>
      <c r="I323" s="34">
        <v>1</v>
      </c>
      <c r="J323" s="34">
        <v>18</v>
      </c>
      <c r="K323" s="34">
        <v>17</v>
      </c>
      <c r="L323" s="135">
        <v>7</v>
      </c>
      <c r="M323" s="135">
        <v>7</v>
      </c>
      <c r="N323" s="135">
        <v>3</v>
      </c>
      <c r="O323" s="135">
        <v>4</v>
      </c>
      <c r="P323" s="218">
        <f t="shared" si="11"/>
        <v>59</v>
      </c>
    </row>
    <row r="324" spans="1:16" x14ac:dyDescent="0.35">
      <c r="A324" s="287"/>
      <c r="B324" s="287"/>
      <c r="C324" s="32" t="s">
        <v>1623</v>
      </c>
      <c r="D324" s="32" t="s">
        <v>1773</v>
      </c>
      <c r="E324" s="32" t="s">
        <v>1823</v>
      </c>
      <c r="F324" s="32" t="s">
        <v>1825</v>
      </c>
      <c r="G324" s="33" t="s">
        <v>1403</v>
      </c>
      <c r="H324" s="34">
        <v>1</v>
      </c>
      <c r="I324" s="34">
        <v>4</v>
      </c>
      <c r="J324" s="34">
        <v>18</v>
      </c>
      <c r="K324" s="34">
        <v>18</v>
      </c>
      <c r="L324" s="135">
        <v>7</v>
      </c>
      <c r="M324" s="135">
        <v>10</v>
      </c>
      <c r="N324" s="135">
        <v>5</v>
      </c>
      <c r="O324" s="135">
        <v>4</v>
      </c>
      <c r="P324" s="218">
        <f t="shared" si="11"/>
        <v>67</v>
      </c>
    </row>
    <row r="325" spans="1:16" x14ac:dyDescent="0.35">
      <c r="A325" s="287"/>
      <c r="B325" s="287"/>
      <c r="C325" s="32" t="s">
        <v>1623</v>
      </c>
      <c r="D325" s="32" t="s">
        <v>1773</v>
      </c>
      <c r="E325" s="32" t="s">
        <v>1823</v>
      </c>
      <c r="F325" s="32" t="s">
        <v>1825</v>
      </c>
      <c r="G325" s="33" t="s">
        <v>1404</v>
      </c>
      <c r="H325" s="34">
        <v>1</v>
      </c>
      <c r="I325" s="34">
        <v>2</v>
      </c>
      <c r="J325" s="34">
        <v>30</v>
      </c>
      <c r="K325" s="34">
        <v>25</v>
      </c>
      <c r="L325" s="135">
        <v>6</v>
      </c>
      <c r="M325" s="135">
        <v>5</v>
      </c>
      <c r="N325" s="135">
        <v>8</v>
      </c>
      <c r="O325" s="135">
        <v>6</v>
      </c>
      <c r="P325" s="218">
        <f t="shared" si="11"/>
        <v>83</v>
      </c>
    </row>
    <row r="326" spans="1:16" x14ac:dyDescent="0.35">
      <c r="A326" s="287"/>
      <c r="B326" s="287"/>
      <c r="C326" s="32" t="s">
        <v>1623</v>
      </c>
      <c r="D326" s="32" t="s">
        <v>1773</v>
      </c>
      <c r="E326" s="32" t="s">
        <v>1823</v>
      </c>
      <c r="F326" s="32" t="s">
        <v>1825</v>
      </c>
      <c r="G326" s="33" t="s">
        <v>1405</v>
      </c>
      <c r="H326" s="34">
        <v>2</v>
      </c>
      <c r="I326" s="34">
        <v>3</v>
      </c>
      <c r="J326" s="34">
        <v>15</v>
      </c>
      <c r="K326" s="34">
        <v>20</v>
      </c>
      <c r="L326" s="135">
        <v>2</v>
      </c>
      <c r="M326" s="135">
        <v>3</v>
      </c>
      <c r="N326" s="135">
        <v>10</v>
      </c>
      <c r="O326" s="135">
        <v>5</v>
      </c>
      <c r="P326" s="218">
        <f t="shared" ref="P326:P389" si="14">H326+I326+J326+K326+L326+M326+N326+O326</f>
        <v>60</v>
      </c>
    </row>
    <row r="327" spans="1:16" x14ac:dyDescent="0.35">
      <c r="A327" s="287"/>
      <c r="B327" s="287"/>
      <c r="C327" s="32" t="s">
        <v>1623</v>
      </c>
      <c r="D327" s="32" t="s">
        <v>1773</v>
      </c>
      <c r="E327" s="32" t="s">
        <v>1823</v>
      </c>
      <c r="F327" s="32" t="s">
        <v>1824</v>
      </c>
      <c r="G327" s="33" t="s">
        <v>1406</v>
      </c>
      <c r="H327" s="34">
        <v>8</v>
      </c>
      <c r="I327" s="34">
        <v>4</v>
      </c>
      <c r="J327" s="34">
        <v>20</v>
      </c>
      <c r="K327" s="34">
        <v>22</v>
      </c>
      <c r="L327" s="135">
        <v>5</v>
      </c>
      <c r="M327" s="135">
        <v>4</v>
      </c>
      <c r="N327" s="135">
        <v>4</v>
      </c>
      <c r="O327" s="135">
        <v>9</v>
      </c>
      <c r="P327" s="218">
        <f t="shared" si="14"/>
        <v>76</v>
      </c>
    </row>
    <row r="328" spans="1:16" x14ac:dyDescent="0.35">
      <c r="A328" s="287"/>
      <c r="B328" s="287"/>
      <c r="C328" s="32" t="s">
        <v>1623</v>
      </c>
      <c r="D328" s="32" t="s">
        <v>1773</v>
      </c>
      <c r="E328" s="32" t="s">
        <v>1823</v>
      </c>
      <c r="F328" s="32" t="s">
        <v>1824</v>
      </c>
      <c r="G328" s="33" t="s">
        <v>1255</v>
      </c>
      <c r="H328" s="34">
        <v>4</v>
      </c>
      <c r="I328" s="34">
        <v>0</v>
      </c>
      <c r="J328" s="34">
        <v>16</v>
      </c>
      <c r="K328" s="34">
        <v>34</v>
      </c>
      <c r="L328" s="135">
        <v>3</v>
      </c>
      <c r="M328" s="135">
        <v>5</v>
      </c>
      <c r="N328" s="135">
        <v>7</v>
      </c>
      <c r="O328" s="135">
        <v>8</v>
      </c>
      <c r="P328" s="218">
        <f t="shared" si="14"/>
        <v>77</v>
      </c>
    </row>
    <row r="329" spans="1:16" x14ac:dyDescent="0.35">
      <c r="A329" s="287"/>
      <c r="B329" s="287"/>
      <c r="C329" s="32" t="s">
        <v>1623</v>
      </c>
      <c r="D329" s="32" t="s">
        <v>1773</v>
      </c>
      <c r="E329" s="32" t="s">
        <v>1823</v>
      </c>
      <c r="F329" s="32" t="s">
        <v>1825</v>
      </c>
      <c r="G329" s="33" t="s">
        <v>1407</v>
      </c>
      <c r="H329" s="34">
        <v>0</v>
      </c>
      <c r="I329" s="34">
        <v>0</v>
      </c>
      <c r="J329" s="34">
        <v>23</v>
      </c>
      <c r="K329" s="34">
        <v>14</v>
      </c>
      <c r="L329" s="135">
        <v>5</v>
      </c>
      <c r="M329" s="135">
        <v>5</v>
      </c>
      <c r="N329" s="135">
        <v>10</v>
      </c>
      <c r="O329" s="135">
        <v>7</v>
      </c>
      <c r="P329" s="218">
        <f t="shared" si="14"/>
        <v>64</v>
      </c>
    </row>
    <row r="330" spans="1:16" x14ac:dyDescent="0.35">
      <c r="A330" s="287"/>
      <c r="B330" s="287"/>
      <c r="C330" s="32" t="s">
        <v>1623</v>
      </c>
      <c r="D330" s="32" t="s">
        <v>1773</v>
      </c>
      <c r="E330" s="32" t="s">
        <v>1823</v>
      </c>
      <c r="F330" s="32" t="s">
        <v>1824</v>
      </c>
      <c r="G330" s="33" t="s">
        <v>1254</v>
      </c>
      <c r="H330" s="34">
        <v>3</v>
      </c>
      <c r="I330" s="34">
        <v>2</v>
      </c>
      <c r="J330" s="34">
        <v>20</v>
      </c>
      <c r="K330" s="34">
        <v>34</v>
      </c>
      <c r="L330" s="135">
        <v>5</v>
      </c>
      <c r="M330" s="135">
        <v>10</v>
      </c>
      <c r="N330" s="135">
        <v>10</v>
      </c>
      <c r="O330" s="135">
        <v>10</v>
      </c>
      <c r="P330" s="218">
        <f t="shared" si="14"/>
        <v>94</v>
      </c>
    </row>
    <row r="331" spans="1:16" x14ac:dyDescent="0.35">
      <c r="A331" s="287"/>
      <c r="B331" s="287"/>
      <c r="C331" s="32" t="s">
        <v>1623</v>
      </c>
      <c r="D331" s="32" t="s">
        <v>1773</v>
      </c>
      <c r="E331" s="43" t="s">
        <v>1823</v>
      </c>
      <c r="F331" s="32" t="s">
        <v>1825</v>
      </c>
      <c r="G331" s="33" t="s">
        <v>1408</v>
      </c>
      <c r="H331" s="34">
        <v>1</v>
      </c>
      <c r="I331" s="34">
        <v>2</v>
      </c>
      <c r="J331" s="34">
        <v>19</v>
      </c>
      <c r="K331" s="34">
        <v>24</v>
      </c>
      <c r="L331" s="135">
        <v>8</v>
      </c>
      <c r="M331" s="135">
        <v>6</v>
      </c>
      <c r="N331" s="135">
        <v>9</v>
      </c>
      <c r="O331" s="135">
        <v>15</v>
      </c>
      <c r="P331" s="218">
        <f t="shared" si="14"/>
        <v>84</v>
      </c>
    </row>
    <row r="332" spans="1:16" x14ac:dyDescent="0.35">
      <c r="A332" s="287"/>
      <c r="B332" s="287"/>
      <c r="C332" s="32" t="s">
        <v>1623</v>
      </c>
      <c r="D332" s="32" t="s">
        <v>1773</v>
      </c>
      <c r="E332" s="43" t="s">
        <v>1823</v>
      </c>
      <c r="F332" s="32" t="s">
        <v>1824</v>
      </c>
      <c r="G332" s="33" t="s">
        <v>1409</v>
      </c>
      <c r="H332" s="34">
        <v>0</v>
      </c>
      <c r="I332" s="34">
        <v>2</v>
      </c>
      <c r="J332" s="34">
        <v>46</v>
      </c>
      <c r="K332" s="34">
        <v>80</v>
      </c>
      <c r="L332" s="135">
        <v>5</v>
      </c>
      <c r="M332" s="135">
        <v>7</v>
      </c>
      <c r="N332" s="135">
        <v>10</v>
      </c>
      <c r="O332" s="135">
        <v>7</v>
      </c>
      <c r="P332" s="218">
        <f t="shared" si="14"/>
        <v>157</v>
      </c>
    </row>
    <row r="333" spans="1:16" x14ac:dyDescent="0.35">
      <c r="A333" s="52"/>
      <c r="B333" s="52"/>
      <c r="C333" s="52"/>
      <c r="D333" s="52"/>
      <c r="E333" s="52"/>
      <c r="F333" s="54"/>
      <c r="G333" s="52" t="s">
        <v>2</v>
      </c>
      <c r="H333" s="195">
        <f>SUM(H319:H332)</f>
        <v>27</v>
      </c>
      <c r="I333" s="195">
        <f t="shared" ref="I333:O333" si="15">SUM(I319:I332)</f>
        <v>32</v>
      </c>
      <c r="J333" s="196">
        <f t="shared" si="15"/>
        <v>313</v>
      </c>
      <c r="K333" s="196">
        <f t="shared" si="15"/>
        <v>390</v>
      </c>
      <c r="L333" s="193">
        <f t="shared" si="15"/>
        <v>77</v>
      </c>
      <c r="M333" s="193">
        <f t="shared" si="15"/>
        <v>78</v>
      </c>
      <c r="N333" s="194">
        <f t="shared" si="15"/>
        <v>110</v>
      </c>
      <c r="O333" s="194">
        <f t="shared" si="15"/>
        <v>102</v>
      </c>
      <c r="P333" s="217">
        <f t="shared" si="14"/>
        <v>1129</v>
      </c>
    </row>
    <row r="334" spans="1:16" x14ac:dyDescent="0.35">
      <c r="A334" s="287">
        <v>11</v>
      </c>
      <c r="B334" s="287" t="s">
        <v>1904</v>
      </c>
      <c r="C334" s="32" t="s">
        <v>1623</v>
      </c>
      <c r="D334" s="32" t="s">
        <v>1773</v>
      </c>
      <c r="E334" s="32" t="s">
        <v>1827</v>
      </c>
      <c r="F334" s="32" t="s">
        <v>1826</v>
      </c>
      <c r="G334" s="33" t="s">
        <v>1410</v>
      </c>
      <c r="H334" s="34">
        <v>20</v>
      </c>
      <c r="I334" s="34">
        <v>25</v>
      </c>
      <c r="J334" s="34">
        <v>190</v>
      </c>
      <c r="K334" s="34">
        <v>319</v>
      </c>
      <c r="L334" s="135">
        <v>63</v>
      </c>
      <c r="M334" s="135">
        <v>64</v>
      </c>
      <c r="N334" s="135">
        <v>71</v>
      </c>
      <c r="O334" s="135">
        <v>72</v>
      </c>
      <c r="P334" s="218">
        <f t="shared" si="14"/>
        <v>824</v>
      </c>
    </row>
    <row r="335" spans="1:16" x14ac:dyDescent="0.35">
      <c r="A335" s="287"/>
      <c r="B335" s="287"/>
      <c r="C335" s="32" t="s">
        <v>1623</v>
      </c>
      <c r="D335" s="32" t="s">
        <v>1773</v>
      </c>
      <c r="E335" s="32" t="s">
        <v>1827</v>
      </c>
      <c r="F335" s="32" t="s">
        <v>1826</v>
      </c>
      <c r="G335" s="33" t="s">
        <v>1411</v>
      </c>
      <c r="H335" s="34">
        <v>35</v>
      </c>
      <c r="I335" s="34">
        <v>50</v>
      </c>
      <c r="J335" s="34">
        <v>195</v>
      </c>
      <c r="K335" s="34">
        <v>244</v>
      </c>
      <c r="L335" s="135">
        <v>60</v>
      </c>
      <c r="M335" s="135">
        <v>80</v>
      </c>
      <c r="N335" s="135">
        <v>47</v>
      </c>
      <c r="O335" s="135">
        <v>47</v>
      </c>
      <c r="P335" s="218">
        <f t="shared" si="14"/>
        <v>758</v>
      </c>
    </row>
    <row r="336" spans="1:16" x14ac:dyDescent="0.35">
      <c r="A336" s="287"/>
      <c r="B336" s="287"/>
      <c r="C336" s="32" t="s">
        <v>1623</v>
      </c>
      <c r="D336" s="32" t="s">
        <v>1773</v>
      </c>
      <c r="E336" s="32" t="s">
        <v>1827</v>
      </c>
      <c r="F336" s="32" t="s">
        <v>1826</v>
      </c>
      <c r="G336" s="33" t="s">
        <v>1412</v>
      </c>
      <c r="H336" s="34">
        <v>4</v>
      </c>
      <c r="I336" s="34">
        <v>5</v>
      </c>
      <c r="J336" s="34">
        <v>102</v>
      </c>
      <c r="K336" s="34">
        <v>105</v>
      </c>
      <c r="L336" s="135">
        <v>29</v>
      </c>
      <c r="M336" s="135">
        <v>16</v>
      </c>
      <c r="N336" s="135">
        <v>34</v>
      </c>
      <c r="O336" s="135">
        <v>35</v>
      </c>
      <c r="P336" s="218">
        <f t="shared" si="14"/>
        <v>330</v>
      </c>
    </row>
    <row r="337" spans="1:16" x14ac:dyDescent="0.35">
      <c r="A337" s="287"/>
      <c r="B337" s="287"/>
      <c r="C337" s="32" t="s">
        <v>1623</v>
      </c>
      <c r="D337" s="32" t="s">
        <v>1773</v>
      </c>
      <c r="E337" s="32" t="s">
        <v>1827</v>
      </c>
      <c r="F337" s="32" t="s">
        <v>1826</v>
      </c>
      <c r="G337" s="33" t="s">
        <v>1413</v>
      </c>
      <c r="H337" s="34">
        <v>18</v>
      </c>
      <c r="I337" s="34">
        <v>24</v>
      </c>
      <c r="J337" s="34">
        <v>171</v>
      </c>
      <c r="K337" s="34">
        <v>232</v>
      </c>
      <c r="L337" s="135">
        <v>103</v>
      </c>
      <c r="M337" s="135">
        <v>118</v>
      </c>
      <c r="N337" s="135">
        <v>60</v>
      </c>
      <c r="O337" s="135">
        <v>92</v>
      </c>
      <c r="P337" s="218">
        <f t="shared" si="14"/>
        <v>818</v>
      </c>
    </row>
    <row r="338" spans="1:16" x14ac:dyDescent="0.35">
      <c r="A338" s="287"/>
      <c r="B338" s="287"/>
      <c r="C338" s="32" t="s">
        <v>1623</v>
      </c>
      <c r="D338" s="32" t="s">
        <v>1773</v>
      </c>
      <c r="E338" s="32" t="s">
        <v>1827</v>
      </c>
      <c r="F338" s="32" t="s">
        <v>1826</v>
      </c>
      <c r="G338" s="33" t="s">
        <v>1414</v>
      </c>
      <c r="H338" s="34">
        <v>29</v>
      </c>
      <c r="I338" s="34">
        <v>21</v>
      </c>
      <c r="J338" s="34">
        <v>224</v>
      </c>
      <c r="K338" s="34">
        <v>213</v>
      </c>
      <c r="L338" s="135">
        <v>57</v>
      </c>
      <c r="M338" s="135">
        <v>27</v>
      </c>
      <c r="N338" s="135">
        <v>42</v>
      </c>
      <c r="O338" s="135">
        <v>36</v>
      </c>
      <c r="P338" s="218">
        <f t="shared" si="14"/>
        <v>649</v>
      </c>
    </row>
    <row r="339" spans="1:16" x14ac:dyDescent="0.35">
      <c r="A339" s="287"/>
      <c r="B339" s="287"/>
      <c r="C339" s="32" t="s">
        <v>1623</v>
      </c>
      <c r="D339" s="32" t="s">
        <v>1773</v>
      </c>
      <c r="E339" s="32" t="s">
        <v>1827</v>
      </c>
      <c r="F339" s="32" t="s">
        <v>1826</v>
      </c>
      <c r="G339" s="33" t="s">
        <v>1415</v>
      </c>
      <c r="H339" s="34">
        <v>21</v>
      </c>
      <c r="I339" s="34">
        <v>16</v>
      </c>
      <c r="J339" s="34">
        <v>229</v>
      </c>
      <c r="K339" s="34">
        <v>233</v>
      </c>
      <c r="L339" s="135">
        <v>70</v>
      </c>
      <c r="M339" s="135">
        <v>40</v>
      </c>
      <c r="N339" s="135">
        <v>40</v>
      </c>
      <c r="O339" s="135">
        <v>46</v>
      </c>
      <c r="P339" s="218">
        <f t="shared" si="14"/>
        <v>695</v>
      </c>
    </row>
    <row r="340" spans="1:16" x14ac:dyDescent="0.35">
      <c r="A340" s="287"/>
      <c r="B340" s="287"/>
      <c r="C340" s="32" t="s">
        <v>1623</v>
      </c>
      <c r="D340" s="32" t="s">
        <v>1773</v>
      </c>
      <c r="E340" s="32" t="s">
        <v>1827</v>
      </c>
      <c r="F340" s="32" t="s">
        <v>1826</v>
      </c>
      <c r="G340" s="33" t="s">
        <v>1416</v>
      </c>
      <c r="H340" s="34">
        <v>43</v>
      </c>
      <c r="I340" s="34">
        <v>57</v>
      </c>
      <c r="J340" s="34">
        <v>319</v>
      </c>
      <c r="K340" s="34">
        <v>309</v>
      </c>
      <c r="L340" s="135">
        <v>80</v>
      </c>
      <c r="M340" s="135">
        <v>71</v>
      </c>
      <c r="N340" s="135">
        <v>60</v>
      </c>
      <c r="O340" s="135">
        <v>40</v>
      </c>
      <c r="P340" s="218">
        <f t="shared" si="14"/>
        <v>979</v>
      </c>
    </row>
    <row r="341" spans="1:16" x14ac:dyDescent="0.35">
      <c r="A341" s="287"/>
      <c r="B341" s="287"/>
      <c r="C341" s="32" t="s">
        <v>1623</v>
      </c>
      <c r="D341" s="32" t="s">
        <v>1773</v>
      </c>
      <c r="E341" s="32" t="s">
        <v>1827</v>
      </c>
      <c r="F341" s="32" t="s">
        <v>1826</v>
      </c>
      <c r="G341" s="33" t="s">
        <v>1417</v>
      </c>
      <c r="H341" s="34">
        <v>49</v>
      </c>
      <c r="I341" s="34">
        <v>51</v>
      </c>
      <c r="J341" s="34">
        <v>260</v>
      </c>
      <c r="K341" s="34">
        <v>291</v>
      </c>
      <c r="L341" s="135">
        <v>76</v>
      </c>
      <c r="M341" s="135">
        <v>92</v>
      </c>
      <c r="N341" s="135">
        <v>109</v>
      </c>
      <c r="O341" s="135">
        <v>131</v>
      </c>
      <c r="P341" s="218">
        <f t="shared" si="14"/>
        <v>1059</v>
      </c>
    </row>
    <row r="342" spans="1:16" x14ac:dyDescent="0.35">
      <c r="A342" s="287"/>
      <c r="B342" s="287"/>
      <c r="C342" s="32" t="s">
        <v>1623</v>
      </c>
      <c r="D342" s="32" t="s">
        <v>1773</v>
      </c>
      <c r="E342" s="32" t="s">
        <v>1827</v>
      </c>
      <c r="F342" s="32" t="s">
        <v>1826</v>
      </c>
      <c r="G342" s="33" t="s">
        <v>1418</v>
      </c>
      <c r="H342" s="34">
        <v>10</v>
      </c>
      <c r="I342" s="34">
        <v>8</v>
      </c>
      <c r="J342" s="34">
        <v>128</v>
      </c>
      <c r="K342" s="34">
        <v>142</v>
      </c>
      <c r="L342" s="135">
        <v>57</v>
      </c>
      <c r="M342" s="135">
        <v>27</v>
      </c>
      <c r="N342" s="135">
        <v>42</v>
      </c>
      <c r="O342" s="135">
        <v>36</v>
      </c>
      <c r="P342" s="218">
        <f t="shared" si="14"/>
        <v>450</v>
      </c>
    </row>
    <row r="343" spans="1:16" x14ac:dyDescent="0.35">
      <c r="A343" s="287"/>
      <c r="B343" s="287"/>
      <c r="C343" s="32" t="s">
        <v>1623</v>
      </c>
      <c r="D343" s="32" t="s">
        <v>1773</v>
      </c>
      <c r="E343" s="32" t="s">
        <v>1827</v>
      </c>
      <c r="F343" s="32" t="s">
        <v>1826</v>
      </c>
      <c r="G343" s="33" t="s">
        <v>1419</v>
      </c>
      <c r="H343" s="34">
        <v>20</v>
      </c>
      <c r="I343" s="34">
        <v>15</v>
      </c>
      <c r="J343" s="34">
        <v>118</v>
      </c>
      <c r="K343" s="34">
        <v>111</v>
      </c>
      <c r="L343" s="135">
        <v>33</v>
      </c>
      <c r="M343" s="135">
        <v>35</v>
      </c>
      <c r="N343" s="135">
        <v>30</v>
      </c>
      <c r="O343" s="135">
        <v>31</v>
      </c>
      <c r="P343" s="218">
        <f t="shared" si="14"/>
        <v>393</v>
      </c>
    </row>
    <row r="344" spans="1:16" x14ac:dyDescent="0.35">
      <c r="A344" s="287"/>
      <c r="B344" s="287"/>
      <c r="C344" s="32" t="s">
        <v>1623</v>
      </c>
      <c r="D344" s="32" t="s">
        <v>1773</v>
      </c>
      <c r="E344" s="32" t="s">
        <v>1827</v>
      </c>
      <c r="F344" s="32" t="s">
        <v>1826</v>
      </c>
      <c r="G344" s="33" t="s">
        <v>1155</v>
      </c>
      <c r="H344" s="34">
        <v>18</v>
      </c>
      <c r="I344" s="34">
        <v>22</v>
      </c>
      <c r="J344" s="34">
        <v>155</v>
      </c>
      <c r="K344" s="34">
        <v>162</v>
      </c>
      <c r="L344" s="135">
        <v>90</v>
      </c>
      <c r="M344" s="135">
        <v>80</v>
      </c>
      <c r="N344" s="135">
        <v>50</v>
      </c>
      <c r="O344" s="135">
        <v>30</v>
      </c>
      <c r="P344" s="218">
        <f t="shared" si="14"/>
        <v>607</v>
      </c>
    </row>
    <row r="345" spans="1:16" x14ac:dyDescent="0.35">
      <c r="A345" s="52"/>
      <c r="B345" s="52"/>
      <c r="C345" s="52"/>
      <c r="D345" s="52"/>
      <c r="E345" s="52"/>
      <c r="F345" s="52"/>
      <c r="G345" s="52" t="s">
        <v>2</v>
      </c>
      <c r="H345" s="195">
        <f t="shared" ref="H345:O345" si="16">SUM(H334:H344)</f>
        <v>267</v>
      </c>
      <c r="I345" s="195">
        <f t="shared" si="16"/>
        <v>294</v>
      </c>
      <c r="J345" s="196">
        <f t="shared" si="16"/>
        <v>2091</v>
      </c>
      <c r="K345" s="196">
        <f t="shared" si="16"/>
        <v>2361</v>
      </c>
      <c r="L345" s="193">
        <f t="shared" si="16"/>
        <v>718</v>
      </c>
      <c r="M345" s="193">
        <f t="shared" si="16"/>
        <v>650</v>
      </c>
      <c r="N345" s="194">
        <f t="shared" si="16"/>
        <v>585</v>
      </c>
      <c r="O345" s="194">
        <f t="shared" si="16"/>
        <v>596</v>
      </c>
      <c r="P345" s="217">
        <f t="shared" si="14"/>
        <v>7562</v>
      </c>
    </row>
    <row r="346" spans="1:16" x14ac:dyDescent="0.35">
      <c r="A346" s="287">
        <v>12</v>
      </c>
      <c r="B346" s="287" t="s">
        <v>1905</v>
      </c>
      <c r="C346" s="32" t="s">
        <v>1623</v>
      </c>
      <c r="D346" s="32" t="s">
        <v>1773</v>
      </c>
      <c r="E346" s="43" t="s">
        <v>1834</v>
      </c>
      <c r="F346" s="43" t="s">
        <v>1828</v>
      </c>
      <c r="G346" s="33" t="s">
        <v>1420</v>
      </c>
      <c r="H346" s="34">
        <v>5</v>
      </c>
      <c r="I346" s="34">
        <v>4</v>
      </c>
      <c r="J346" s="34">
        <v>36</v>
      </c>
      <c r="K346" s="34">
        <v>24</v>
      </c>
      <c r="L346" s="135">
        <v>8</v>
      </c>
      <c r="M346" s="135">
        <v>10</v>
      </c>
      <c r="N346" s="135">
        <v>5</v>
      </c>
      <c r="O346" s="135">
        <v>4</v>
      </c>
      <c r="P346" s="218">
        <f t="shared" si="14"/>
        <v>96</v>
      </c>
    </row>
    <row r="347" spans="1:16" x14ac:dyDescent="0.35">
      <c r="A347" s="287"/>
      <c r="B347" s="287"/>
      <c r="C347" s="32" t="s">
        <v>1623</v>
      </c>
      <c r="D347" s="32" t="s">
        <v>1773</v>
      </c>
      <c r="E347" s="43" t="s">
        <v>1834</v>
      </c>
      <c r="F347" s="43" t="s">
        <v>1829</v>
      </c>
      <c r="G347" s="33" t="s">
        <v>1421</v>
      </c>
      <c r="H347" s="34">
        <v>3</v>
      </c>
      <c r="I347" s="34">
        <v>3</v>
      </c>
      <c r="J347" s="34">
        <v>87</v>
      </c>
      <c r="K347" s="34">
        <v>58</v>
      </c>
      <c r="L347" s="135">
        <v>3</v>
      </c>
      <c r="M347" s="135">
        <v>2</v>
      </c>
      <c r="N347" s="135">
        <v>3</v>
      </c>
      <c r="O347" s="135">
        <v>2</v>
      </c>
      <c r="P347" s="218">
        <f t="shared" si="14"/>
        <v>161</v>
      </c>
    </row>
    <row r="348" spans="1:16" x14ac:dyDescent="0.35">
      <c r="A348" s="287"/>
      <c r="B348" s="287"/>
      <c r="C348" s="32" t="s">
        <v>1623</v>
      </c>
      <c r="D348" s="32" t="s">
        <v>1773</v>
      </c>
      <c r="E348" s="43" t="s">
        <v>1834</v>
      </c>
      <c r="F348" s="43" t="s">
        <v>1830</v>
      </c>
      <c r="G348" s="33" t="s">
        <v>1422</v>
      </c>
      <c r="H348" s="34">
        <v>6</v>
      </c>
      <c r="I348" s="34">
        <v>4</v>
      </c>
      <c r="J348" s="34">
        <v>41</v>
      </c>
      <c r="K348" s="34">
        <v>27</v>
      </c>
      <c r="L348" s="135">
        <v>5</v>
      </c>
      <c r="M348" s="135">
        <v>7</v>
      </c>
      <c r="N348" s="135">
        <v>8</v>
      </c>
      <c r="O348" s="135">
        <v>8</v>
      </c>
      <c r="P348" s="218">
        <f t="shared" si="14"/>
        <v>106</v>
      </c>
    </row>
    <row r="349" spans="1:16" x14ac:dyDescent="0.35">
      <c r="A349" s="287"/>
      <c r="B349" s="287"/>
      <c r="C349" s="32" t="s">
        <v>1623</v>
      </c>
      <c r="D349" s="32" t="s">
        <v>1773</v>
      </c>
      <c r="E349" s="43" t="s">
        <v>1834</v>
      </c>
      <c r="F349" s="43" t="s">
        <v>1828</v>
      </c>
      <c r="G349" s="33" t="s">
        <v>1423</v>
      </c>
      <c r="H349" s="34">
        <v>6</v>
      </c>
      <c r="I349" s="34">
        <v>8</v>
      </c>
      <c r="J349" s="34">
        <v>34</v>
      </c>
      <c r="K349" s="34">
        <v>22</v>
      </c>
      <c r="L349" s="135">
        <v>7</v>
      </c>
      <c r="M349" s="135">
        <v>10</v>
      </c>
      <c r="N349" s="135">
        <v>11</v>
      </c>
      <c r="O349" s="135">
        <v>9</v>
      </c>
      <c r="P349" s="218">
        <f t="shared" si="14"/>
        <v>107</v>
      </c>
    </row>
    <row r="350" spans="1:16" x14ac:dyDescent="0.35">
      <c r="A350" s="287"/>
      <c r="B350" s="287"/>
      <c r="C350" s="32" t="s">
        <v>1623</v>
      </c>
      <c r="D350" s="32" t="s">
        <v>1773</v>
      </c>
      <c r="E350" s="43" t="s">
        <v>1834</v>
      </c>
      <c r="F350" s="43" t="s">
        <v>1829</v>
      </c>
      <c r="G350" s="33" t="s">
        <v>1424</v>
      </c>
      <c r="H350" s="34">
        <v>5</v>
      </c>
      <c r="I350" s="34">
        <v>4</v>
      </c>
      <c r="J350" s="34">
        <v>34</v>
      </c>
      <c r="K350" s="34">
        <v>22</v>
      </c>
      <c r="L350" s="135">
        <v>4</v>
      </c>
      <c r="M350" s="135">
        <v>3</v>
      </c>
      <c r="N350" s="135">
        <v>3</v>
      </c>
      <c r="O350" s="135">
        <v>4</v>
      </c>
      <c r="P350" s="218">
        <f t="shared" si="14"/>
        <v>79</v>
      </c>
    </row>
    <row r="351" spans="1:16" x14ac:dyDescent="0.35">
      <c r="A351" s="287"/>
      <c r="B351" s="287"/>
      <c r="C351" s="32" t="s">
        <v>1623</v>
      </c>
      <c r="D351" s="32" t="s">
        <v>1773</v>
      </c>
      <c r="E351" s="43" t="s">
        <v>1834</v>
      </c>
      <c r="F351" s="43" t="s">
        <v>1828</v>
      </c>
      <c r="G351" s="33" t="s">
        <v>1425</v>
      </c>
      <c r="H351" s="34">
        <v>5</v>
      </c>
      <c r="I351" s="34">
        <v>0</v>
      </c>
      <c r="J351" s="34">
        <v>76</v>
      </c>
      <c r="K351" s="34">
        <v>50</v>
      </c>
      <c r="L351" s="135">
        <v>0</v>
      </c>
      <c r="M351" s="135">
        <v>0</v>
      </c>
      <c r="N351" s="135">
        <v>0</v>
      </c>
      <c r="O351" s="135">
        <v>0</v>
      </c>
      <c r="P351" s="218">
        <f t="shared" si="14"/>
        <v>131</v>
      </c>
    </row>
    <row r="352" spans="1:16" x14ac:dyDescent="0.35">
      <c r="A352" s="287"/>
      <c r="B352" s="287"/>
      <c r="C352" s="32" t="s">
        <v>1623</v>
      </c>
      <c r="D352" s="32" t="s">
        <v>1773</v>
      </c>
      <c r="E352" s="43" t="s">
        <v>1834</v>
      </c>
      <c r="F352" s="43" t="s">
        <v>1830</v>
      </c>
      <c r="G352" s="33" t="s">
        <v>1426</v>
      </c>
      <c r="H352" s="34">
        <v>12</v>
      </c>
      <c r="I352" s="34">
        <v>8</v>
      </c>
      <c r="J352" s="34">
        <v>30</v>
      </c>
      <c r="K352" s="34">
        <v>20</v>
      </c>
      <c r="L352" s="135">
        <v>8</v>
      </c>
      <c r="M352" s="135">
        <v>6</v>
      </c>
      <c r="N352" s="135">
        <v>9</v>
      </c>
      <c r="O352" s="135">
        <v>5</v>
      </c>
      <c r="P352" s="218">
        <f t="shared" si="14"/>
        <v>98</v>
      </c>
    </row>
    <row r="353" spans="1:16" x14ac:dyDescent="0.35">
      <c r="A353" s="287"/>
      <c r="B353" s="287"/>
      <c r="C353" s="32" t="s">
        <v>1623</v>
      </c>
      <c r="D353" s="32" t="s">
        <v>1773</v>
      </c>
      <c r="E353" s="43" t="s">
        <v>1834</v>
      </c>
      <c r="F353" s="43" t="s">
        <v>1828</v>
      </c>
      <c r="G353" s="33" t="s">
        <v>1427</v>
      </c>
      <c r="H353" s="34">
        <v>4</v>
      </c>
      <c r="I353" s="34">
        <v>3</v>
      </c>
      <c r="J353" s="34">
        <v>18</v>
      </c>
      <c r="K353" s="34">
        <v>12</v>
      </c>
      <c r="L353" s="135">
        <v>0</v>
      </c>
      <c r="M353" s="135">
        <v>0</v>
      </c>
      <c r="N353" s="135">
        <v>3</v>
      </c>
      <c r="O353" s="135">
        <v>4</v>
      </c>
      <c r="P353" s="218">
        <f t="shared" si="14"/>
        <v>44</v>
      </c>
    </row>
    <row r="354" spans="1:16" x14ac:dyDescent="0.35">
      <c r="A354" s="287"/>
      <c r="B354" s="287"/>
      <c r="C354" s="32" t="s">
        <v>1623</v>
      </c>
      <c r="D354" s="32" t="s">
        <v>1773</v>
      </c>
      <c r="E354" s="43" t="s">
        <v>1834</v>
      </c>
      <c r="F354" s="72" t="s">
        <v>1830</v>
      </c>
      <c r="G354" s="33" t="s">
        <v>1428</v>
      </c>
      <c r="H354" s="34">
        <v>2</v>
      </c>
      <c r="I354" s="21">
        <v>10</v>
      </c>
      <c r="J354" s="34">
        <v>61</v>
      </c>
      <c r="K354" s="34">
        <v>41</v>
      </c>
      <c r="L354" s="135">
        <v>3</v>
      </c>
      <c r="M354" s="135">
        <v>5</v>
      </c>
      <c r="N354" s="135">
        <v>2</v>
      </c>
      <c r="O354" s="135">
        <v>2</v>
      </c>
      <c r="P354" s="218">
        <f t="shared" si="14"/>
        <v>126</v>
      </c>
    </row>
    <row r="355" spans="1:16" x14ac:dyDescent="0.35">
      <c r="A355" s="287"/>
      <c r="B355" s="287"/>
      <c r="C355" s="32" t="s">
        <v>1623</v>
      </c>
      <c r="D355" s="32" t="s">
        <v>1773</v>
      </c>
      <c r="E355" s="43" t="s">
        <v>1834</v>
      </c>
      <c r="F355" s="43" t="s">
        <v>1833</v>
      </c>
      <c r="G355" s="33" t="s">
        <v>1914</v>
      </c>
      <c r="H355" s="34">
        <v>2</v>
      </c>
      <c r="I355" s="34">
        <v>2</v>
      </c>
      <c r="J355" s="34">
        <v>30</v>
      </c>
      <c r="K355" s="34">
        <v>20</v>
      </c>
      <c r="L355" s="135">
        <v>6</v>
      </c>
      <c r="M355" s="135">
        <v>8</v>
      </c>
      <c r="N355" s="135">
        <v>8</v>
      </c>
      <c r="O355" s="135">
        <v>2</v>
      </c>
      <c r="P355" s="218">
        <f t="shared" si="14"/>
        <v>78</v>
      </c>
    </row>
    <row r="356" spans="1:16" x14ac:dyDescent="0.35">
      <c r="A356" s="287"/>
      <c r="B356" s="287"/>
      <c r="C356" s="32" t="s">
        <v>1623</v>
      </c>
      <c r="D356" s="32" t="s">
        <v>1773</v>
      </c>
      <c r="E356" s="43" t="s">
        <v>1834</v>
      </c>
      <c r="F356" s="43" t="s">
        <v>1832</v>
      </c>
      <c r="G356" s="33" t="s">
        <v>1429</v>
      </c>
      <c r="H356" s="34">
        <v>9</v>
      </c>
      <c r="I356" s="34">
        <v>6</v>
      </c>
      <c r="J356" s="34">
        <v>18</v>
      </c>
      <c r="K356" s="34">
        <v>12</v>
      </c>
      <c r="L356" s="135">
        <v>10</v>
      </c>
      <c r="M356" s="135">
        <v>18</v>
      </c>
      <c r="N356" s="135">
        <v>9</v>
      </c>
      <c r="O356" s="135">
        <v>21</v>
      </c>
      <c r="P356" s="218">
        <f t="shared" si="14"/>
        <v>103</v>
      </c>
    </row>
    <row r="357" spans="1:16" x14ac:dyDescent="0.35">
      <c r="A357" s="287"/>
      <c r="B357" s="287"/>
      <c r="C357" s="32" t="s">
        <v>1623</v>
      </c>
      <c r="D357" s="32" t="s">
        <v>1773</v>
      </c>
      <c r="E357" s="43" t="s">
        <v>1834</v>
      </c>
      <c r="F357" s="43" t="s">
        <v>1833</v>
      </c>
      <c r="G357" s="33" t="s">
        <v>1430</v>
      </c>
      <c r="H357" s="34">
        <v>6</v>
      </c>
      <c r="I357" s="34">
        <v>10</v>
      </c>
      <c r="J357" s="34">
        <v>18</v>
      </c>
      <c r="K357" s="34">
        <v>12</v>
      </c>
      <c r="L357" s="135">
        <v>1</v>
      </c>
      <c r="M357" s="135">
        <v>1</v>
      </c>
      <c r="N357" s="135">
        <v>3</v>
      </c>
      <c r="O357" s="135">
        <v>0</v>
      </c>
      <c r="P357" s="218">
        <f t="shared" si="14"/>
        <v>51</v>
      </c>
    </row>
    <row r="358" spans="1:16" x14ac:dyDescent="0.35">
      <c r="A358" s="287"/>
      <c r="B358" s="287"/>
      <c r="C358" s="32" t="s">
        <v>1623</v>
      </c>
      <c r="D358" s="32" t="s">
        <v>1773</v>
      </c>
      <c r="E358" s="43" t="s">
        <v>1834</v>
      </c>
      <c r="F358" s="43" t="s">
        <v>1828</v>
      </c>
      <c r="G358" s="33" t="s">
        <v>1915</v>
      </c>
      <c r="H358" s="34">
        <v>7</v>
      </c>
      <c r="I358" s="34">
        <v>10</v>
      </c>
      <c r="J358" s="34">
        <v>61</v>
      </c>
      <c r="K358" s="34">
        <v>41</v>
      </c>
      <c r="L358" s="135">
        <v>0</v>
      </c>
      <c r="M358" s="135">
        <v>2</v>
      </c>
      <c r="N358" s="135">
        <v>5</v>
      </c>
      <c r="O358" s="135">
        <v>3</v>
      </c>
      <c r="P358" s="218">
        <f t="shared" si="14"/>
        <v>129</v>
      </c>
    </row>
    <row r="359" spans="1:16" x14ac:dyDescent="0.35">
      <c r="A359" s="287"/>
      <c r="B359" s="287"/>
      <c r="C359" s="32" t="s">
        <v>1623</v>
      </c>
      <c r="D359" s="32" t="s">
        <v>1773</v>
      </c>
      <c r="E359" s="43" t="s">
        <v>1834</v>
      </c>
      <c r="F359" s="72" t="s">
        <v>1830</v>
      </c>
      <c r="G359" s="33" t="s">
        <v>1916</v>
      </c>
      <c r="H359" s="34">
        <v>6</v>
      </c>
      <c r="I359" s="34">
        <v>9</v>
      </c>
      <c r="J359" s="34">
        <v>34</v>
      </c>
      <c r="K359" s="34">
        <v>22</v>
      </c>
      <c r="L359" s="135">
        <v>2</v>
      </c>
      <c r="M359" s="135">
        <v>4</v>
      </c>
      <c r="N359" s="135">
        <v>2</v>
      </c>
      <c r="O359" s="135">
        <v>4</v>
      </c>
      <c r="P359" s="218">
        <f t="shared" si="14"/>
        <v>83</v>
      </c>
    </row>
    <row r="360" spans="1:16" x14ac:dyDescent="0.35">
      <c r="A360" s="287"/>
      <c r="B360" s="287"/>
      <c r="C360" s="32" t="s">
        <v>1623</v>
      </c>
      <c r="D360" s="32" t="s">
        <v>1773</v>
      </c>
      <c r="E360" s="43" t="s">
        <v>1834</v>
      </c>
      <c r="F360" s="43" t="s">
        <v>1831</v>
      </c>
      <c r="G360" s="33" t="s">
        <v>1431</v>
      </c>
      <c r="H360" s="34">
        <v>9</v>
      </c>
      <c r="I360" s="34">
        <v>9</v>
      </c>
      <c r="J360" s="34">
        <v>44</v>
      </c>
      <c r="K360" s="34">
        <v>29</v>
      </c>
      <c r="L360" s="135">
        <v>0</v>
      </c>
      <c r="M360" s="135">
        <v>0</v>
      </c>
      <c r="N360" s="135">
        <v>0</v>
      </c>
      <c r="O360" s="135">
        <v>0</v>
      </c>
      <c r="P360" s="218">
        <f t="shared" si="14"/>
        <v>91</v>
      </c>
    </row>
    <row r="361" spans="1:16" x14ac:dyDescent="0.35">
      <c r="A361" s="287"/>
      <c r="B361" s="287"/>
      <c r="C361" s="32" t="s">
        <v>1623</v>
      </c>
      <c r="D361" s="32" t="s">
        <v>1773</v>
      </c>
      <c r="E361" s="43" t="s">
        <v>1834</v>
      </c>
      <c r="F361" s="43" t="s">
        <v>1832</v>
      </c>
      <c r="G361" s="33" t="s">
        <v>1432</v>
      </c>
      <c r="H361" s="34">
        <v>3</v>
      </c>
      <c r="I361" s="34">
        <v>2</v>
      </c>
      <c r="J361" s="34">
        <v>28</v>
      </c>
      <c r="K361" s="34">
        <v>19</v>
      </c>
      <c r="L361" s="135">
        <v>0</v>
      </c>
      <c r="M361" s="135">
        <v>3</v>
      </c>
      <c r="N361" s="135">
        <v>0</v>
      </c>
      <c r="O361" s="135">
        <v>1</v>
      </c>
      <c r="P361" s="218">
        <f t="shared" si="14"/>
        <v>56</v>
      </c>
    </row>
    <row r="362" spans="1:16" x14ac:dyDescent="0.35">
      <c r="A362" s="287"/>
      <c r="B362" s="287"/>
      <c r="C362" s="32" t="s">
        <v>1623</v>
      </c>
      <c r="D362" s="32" t="s">
        <v>1773</v>
      </c>
      <c r="E362" s="43" t="s">
        <v>1834</v>
      </c>
      <c r="F362" s="43" t="s">
        <v>1831</v>
      </c>
      <c r="G362" s="33" t="s">
        <v>1433</v>
      </c>
      <c r="H362" s="34">
        <v>10</v>
      </c>
      <c r="I362" s="34">
        <v>10</v>
      </c>
      <c r="J362" s="34">
        <v>29</v>
      </c>
      <c r="K362" s="34">
        <v>19</v>
      </c>
      <c r="L362" s="135">
        <v>4</v>
      </c>
      <c r="M362" s="135">
        <v>3</v>
      </c>
      <c r="N362" s="135">
        <v>0</v>
      </c>
      <c r="O362" s="135">
        <v>0</v>
      </c>
      <c r="P362" s="218">
        <f t="shared" si="14"/>
        <v>75</v>
      </c>
    </row>
    <row r="363" spans="1:16" x14ac:dyDescent="0.35">
      <c r="A363" s="287"/>
      <c r="B363" s="287"/>
      <c r="C363" s="32" t="s">
        <v>1623</v>
      </c>
      <c r="D363" s="32" t="s">
        <v>1773</v>
      </c>
      <c r="E363" s="43" t="s">
        <v>1834</v>
      </c>
      <c r="F363" s="43" t="s">
        <v>1829</v>
      </c>
      <c r="G363" s="33" t="s">
        <v>1434</v>
      </c>
      <c r="H363" s="34">
        <v>7</v>
      </c>
      <c r="I363" s="34">
        <v>9</v>
      </c>
      <c r="J363" s="34">
        <v>15</v>
      </c>
      <c r="K363" s="34">
        <v>10</v>
      </c>
      <c r="L363" s="135">
        <v>5</v>
      </c>
      <c r="M363" s="135">
        <v>6</v>
      </c>
      <c r="N363" s="135">
        <v>4</v>
      </c>
      <c r="O363" s="135">
        <v>1</v>
      </c>
      <c r="P363" s="218">
        <f t="shared" si="14"/>
        <v>57</v>
      </c>
    </row>
    <row r="364" spans="1:16" x14ac:dyDescent="0.35">
      <c r="A364" s="287"/>
      <c r="B364" s="287"/>
      <c r="C364" s="32" t="s">
        <v>1623</v>
      </c>
      <c r="D364" s="32" t="s">
        <v>1773</v>
      </c>
      <c r="E364" s="43" t="s">
        <v>1834</v>
      </c>
      <c r="F364" s="43" t="s">
        <v>1833</v>
      </c>
      <c r="G364" s="33" t="s">
        <v>1435</v>
      </c>
      <c r="H364" s="34">
        <v>12</v>
      </c>
      <c r="I364" s="34">
        <v>8</v>
      </c>
      <c r="J364" s="34">
        <v>28</v>
      </c>
      <c r="K364" s="34">
        <v>18</v>
      </c>
      <c r="L364" s="135">
        <v>4</v>
      </c>
      <c r="M364" s="135">
        <v>4</v>
      </c>
      <c r="N364" s="135">
        <v>2</v>
      </c>
      <c r="O364" s="135">
        <v>3</v>
      </c>
      <c r="P364" s="218">
        <f t="shared" si="14"/>
        <v>79</v>
      </c>
    </row>
    <row r="365" spans="1:16" x14ac:dyDescent="0.35">
      <c r="A365" s="287"/>
      <c r="B365" s="287"/>
      <c r="C365" s="32" t="s">
        <v>1623</v>
      </c>
      <c r="D365" s="32" t="s">
        <v>1773</v>
      </c>
      <c r="E365" s="43" t="s">
        <v>1834</v>
      </c>
      <c r="F365" s="43" t="s">
        <v>1831</v>
      </c>
      <c r="G365" s="33" t="s">
        <v>1436</v>
      </c>
      <c r="H365" s="34">
        <v>8</v>
      </c>
      <c r="I365" s="34">
        <v>7</v>
      </c>
      <c r="J365" s="34">
        <v>18</v>
      </c>
      <c r="K365" s="34">
        <v>12</v>
      </c>
      <c r="L365" s="135">
        <v>0</v>
      </c>
      <c r="M365" s="135">
        <v>3</v>
      </c>
      <c r="N365" s="135">
        <v>1</v>
      </c>
      <c r="O365" s="135">
        <v>2</v>
      </c>
      <c r="P365" s="218">
        <f t="shared" si="14"/>
        <v>51</v>
      </c>
    </row>
    <row r="366" spans="1:16" x14ac:dyDescent="0.35">
      <c r="A366" s="287"/>
      <c r="B366" s="287"/>
      <c r="C366" s="32" t="s">
        <v>1623</v>
      </c>
      <c r="D366" s="32" t="s">
        <v>1773</v>
      </c>
      <c r="E366" s="43" t="s">
        <v>1834</v>
      </c>
      <c r="F366" s="43" t="s">
        <v>1829</v>
      </c>
      <c r="G366" s="33" t="s">
        <v>1437</v>
      </c>
      <c r="H366" s="34">
        <v>10</v>
      </c>
      <c r="I366" s="34">
        <v>8</v>
      </c>
      <c r="J366" s="34">
        <v>34</v>
      </c>
      <c r="K366" s="34">
        <v>22</v>
      </c>
      <c r="L366" s="135">
        <v>3</v>
      </c>
      <c r="M366" s="135">
        <v>4</v>
      </c>
      <c r="N366" s="135">
        <v>2</v>
      </c>
      <c r="O366" s="135">
        <v>4</v>
      </c>
      <c r="P366" s="218">
        <f t="shared" si="14"/>
        <v>87</v>
      </c>
    </row>
    <row r="367" spans="1:16" x14ac:dyDescent="0.35">
      <c r="A367" s="287"/>
      <c r="B367" s="287"/>
      <c r="C367" s="32" t="s">
        <v>1623</v>
      </c>
      <c r="D367" s="32" t="s">
        <v>1773</v>
      </c>
      <c r="E367" s="43" t="s">
        <v>1834</v>
      </c>
      <c r="F367" s="43" t="s">
        <v>1829</v>
      </c>
      <c r="G367" s="33" t="s">
        <v>1438</v>
      </c>
      <c r="H367" s="34">
        <v>4</v>
      </c>
      <c r="I367" s="34">
        <v>5</v>
      </c>
      <c r="J367" s="34">
        <v>30</v>
      </c>
      <c r="K367" s="34">
        <v>20</v>
      </c>
      <c r="L367" s="135">
        <v>4</v>
      </c>
      <c r="M367" s="135">
        <v>5</v>
      </c>
      <c r="N367" s="135">
        <v>4</v>
      </c>
      <c r="O367" s="135">
        <v>3</v>
      </c>
      <c r="P367" s="218">
        <f t="shared" si="14"/>
        <v>75</v>
      </c>
    </row>
    <row r="368" spans="1:16" x14ac:dyDescent="0.35">
      <c r="A368" s="287"/>
      <c r="B368" s="287"/>
      <c r="C368" s="32" t="s">
        <v>1623</v>
      </c>
      <c r="D368" s="32" t="s">
        <v>1773</v>
      </c>
      <c r="E368" s="43" t="s">
        <v>1834</v>
      </c>
      <c r="F368" s="43" t="s">
        <v>1828</v>
      </c>
      <c r="G368" s="33" t="s">
        <v>1439</v>
      </c>
      <c r="H368" s="34">
        <v>10</v>
      </c>
      <c r="I368" s="34">
        <v>6</v>
      </c>
      <c r="J368" s="34">
        <v>46</v>
      </c>
      <c r="K368" s="34">
        <v>30</v>
      </c>
      <c r="L368" s="135">
        <v>2</v>
      </c>
      <c r="M368" s="135">
        <v>3</v>
      </c>
      <c r="N368" s="135">
        <v>3</v>
      </c>
      <c r="O368" s="135">
        <v>5</v>
      </c>
      <c r="P368" s="218">
        <f t="shared" si="14"/>
        <v>105</v>
      </c>
    </row>
    <row r="369" spans="1:16" x14ac:dyDescent="0.35">
      <c r="A369" s="287"/>
      <c r="B369" s="287"/>
      <c r="C369" s="32" t="s">
        <v>1623</v>
      </c>
      <c r="D369" s="32" t="s">
        <v>1773</v>
      </c>
      <c r="E369" s="43" t="s">
        <v>1834</v>
      </c>
      <c r="F369" s="43" t="s">
        <v>1829</v>
      </c>
      <c r="G369" s="33" t="s">
        <v>1440</v>
      </c>
      <c r="H369" s="34">
        <v>7</v>
      </c>
      <c r="I369" s="34">
        <v>9</v>
      </c>
      <c r="J369" s="34">
        <v>59</v>
      </c>
      <c r="K369" s="34">
        <v>39</v>
      </c>
      <c r="L369" s="135">
        <v>3</v>
      </c>
      <c r="M369" s="135">
        <v>4</v>
      </c>
      <c r="N369" s="135">
        <v>2</v>
      </c>
      <c r="O369" s="135">
        <v>1</v>
      </c>
      <c r="P369" s="218">
        <f t="shared" si="14"/>
        <v>124</v>
      </c>
    </row>
    <row r="370" spans="1:16" x14ac:dyDescent="0.35">
      <c r="A370" s="287"/>
      <c r="B370" s="287"/>
      <c r="C370" s="32" t="s">
        <v>1623</v>
      </c>
      <c r="D370" s="32" t="s">
        <v>1773</v>
      </c>
      <c r="E370" s="43" t="s">
        <v>1834</v>
      </c>
      <c r="F370" s="43" t="s">
        <v>1833</v>
      </c>
      <c r="G370" s="33" t="s">
        <v>1441</v>
      </c>
      <c r="H370" s="34">
        <v>5</v>
      </c>
      <c r="I370" s="34">
        <v>6</v>
      </c>
      <c r="J370" s="34">
        <v>28</v>
      </c>
      <c r="K370" s="34">
        <v>18</v>
      </c>
      <c r="L370" s="135">
        <v>6</v>
      </c>
      <c r="M370" s="135">
        <v>4</v>
      </c>
      <c r="N370" s="135">
        <v>9</v>
      </c>
      <c r="O370" s="135">
        <v>6</v>
      </c>
      <c r="P370" s="218">
        <f t="shared" si="14"/>
        <v>82</v>
      </c>
    </row>
    <row r="371" spans="1:16" x14ac:dyDescent="0.35">
      <c r="A371" s="287"/>
      <c r="B371" s="287"/>
      <c r="C371" s="32" t="s">
        <v>1623</v>
      </c>
      <c r="D371" s="32" t="s">
        <v>1773</v>
      </c>
      <c r="E371" s="43" t="s">
        <v>1834</v>
      </c>
      <c r="F371" s="43" t="s">
        <v>1828</v>
      </c>
      <c r="G371" s="33" t="s">
        <v>1442</v>
      </c>
      <c r="H371" s="34">
        <v>6</v>
      </c>
      <c r="I371" s="34">
        <v>6</v>
      </c>
      <c r="J371" s="34">
        <v>27</v>
      </c>
      <c r="K371" s="34">
        <v>18</v>
      </c>
      <c r="L371" s="135">
        <v>1</v>
      </c>
      <c r="M371" s="135">
        <v>0</v>
      </c>
      <c r="N371" s="135">
        <v>5</v>
      </c>
      <c r="O371" s="135">
        <v>2</v>
      </c>
      <c r="P371" s="218">
        <f t="shared" si="14"/>
        <v>65</v>
      </c>
    </row>
    <row r="372" spans="1:16" x14ac:dyDescent="0.35">
      <c r="A372" s="287"/>
      <c r="B372" s="287"/>
      <c r="C372" s="32" t="s">
        <v>1623</v>
      </c>
      <c r="D372" s="32" t="s">
        <v>1773</v>
      </c>
      <c r="E372" s="43" t="s">
        <v>1834</v>
      </c>
      <c r="F372" s="43" t="s">
        <v>1828</v>
      </c>
      <c r="G372" s="33" t="s">
        <v>1443</v>
      </c>
      <c r="H372" s="34">
        <v>8</v>
      </c>
      <c r="I372" s="34">
        <v>10</v>
      </c>
      <c r="J372" s="34">
        <v>39</v>
      </c>
      <c r="K372" s="34">
        <v>25</v>
      </c>
      <c r="L372" s="135">
        <v>3</v>
      </c>
      <c r="M372" s="135">
        <v>3</v>
      </c>
      <c r="N372" s="135">
        <v>0</v>
      </c>
      <c r="O372" s="135">
        <v>0</v>
      </c>
      <c r="P372" s="218">
        <f t="shared" si="14"/>
        <v>88</v>
      </c>
    </row>
    <row r="373" spans="1:16" x14ac:dyDescent="0.35">
      <c r="A373" s="287"/>
      <c r="B373" s="287"/>
      <c r="C373" s="32" t="s">
        <v>1623</v>
      </c>
      <c r="D373" s="32" t="s">
        <v>1773</v>
      </c>
      <c r="E373" s="43" t="s">
        <v>1834</v>
      </c>
      <c r="F373" s="43" t="s">
        <v>1831</v>
      </c>
      <c r="G373" s="33" t="s">
        <v>1444</v>
      </c>
      <c r="H373" s="34">
        <v>6</v>
      </c>
      <c r="I373" s="34">
        <v>4</v>
      </c>
      <c r="J373" s="34">
        <v>27</v>
      </c>
      <c r="K373" s="34">
        <v>18</v>
      </c>
      <c r="L373" s="135">
        <v>5</v>
      </c>
      <c r="M373" s="135">
        <v>6</v>
      </c>
      <c r="N373" s="135">
        <v>7</v>
      </c>
      <c r="O373" s="135">
        <v>5</v>
      </c>
      <c r="P373" s="218">
        <f t="shared" si="14"/>
        <v>78</v>
      </c>
    </row>
    <row r="374" spans="1:16" x14ac:dyDescent="0.35">
      <c r="A374" s="287"/>
      <c r="B374" s="287"/>
      <c r="C374" s="32" t="s">
        <v>1623</v>
      </c>
      <c r="D374" s="32" t="s">
        <v>1773</v>
      </c>
      <c r="E374" s="43" t="s">
        <v>1834</v>
      </c>
      <c r="F374" s="43" t="s">
        <v>1832</v>
      </c>
      <c r="G374" s="33" t="s">
        <v>1445</v>
      </c>
      <c r="H374" s="34">
        <v>8</v>
      </c>
      <c r="I374" s="34">
        <v>7</v>
      </c>
      <c r="J374" s="34">
        <v>31</v>
      </c>
      <c r="K374" s="34">
        <v>21</v>
      </c>
      <c r="L374" s="135">
        <v>2</v>
      </c>
      <c r="M374" s="135">
        <v>2</v>
      </c>
      <c r="N374" s="135">
        <v>1</v>
      </c>
      <c r="O374" s="135">
        <v>3</v>
      </c>
      <c r="P374" s="218">
        <f t="shared" si="14"/>
        <v>75</v>
      </c>
    </row>
    <row r="375" spans="1:16" x14ac:dyDescent="0.35">
      <c r="A375" s="287"/>
      <c r="B375" s="287"/>
      <c r="C375" s="32" t="s">
        <v>1623</v>
      </c>
      <c r="D375" s="32" t="s">
        <v>1773</v>
      </c>
      <c r="E375" s="43" t="s">
        <v>1834</v>
      </c>
      <c r="F375" s="43" t="s">
        <v>1832</v>
      </c>
      <c r="G375" s="33" t="s">
        <v>1446</v>
      </c>
      <c r="H375" s="34">
        <v>7</v>
      </c>
      <c r="I375" s="34">
        <v>10</v>
      </c>
      <c r="J375" s="34">
        <v>50</v>
      </c>
      <c r="K375" s="34">
        <v>34</v>
      </c>
      <c r="L375" s="135">
        <v>2</v>
      </c>
      <c r="M375" s="135">
        <v>2</v>
      </c>
      <c r="N375" s="135">
        <v>1</v>
      </c>
      <c r="O375" s="135">
        <v>2</v>
      </c>
      <c r="P375" s="218">
        <f t="shared" si="14"/>
        <v>108</v>
      </c>
    </row>
    <row r="376" spans="1:16" x14ac:dyDescent="0.35">
      <c r="A376" s="287"/>
      <c r="B376" s="287"/>
      <c r="C376" s="32" t="s">
        <v>1623</v>
      </c>
      <c r="D376" s="32" t="s">
        <v>1773</v>
      </c>
      <c r="E376" s="43" t="s">
        <v>1834</v>
      </c>
      <c r="F376" s="43" t="s">
        <v>1833</v>
      </c>
      <c r="G376" s="33" t="s">
        <v>1447</v>
      </c>
      <c r="H376" s="34">
        <v>7</v>
      </c>
      <c r="I376" s="34">
        <v>5</v>
      </c>
      <c r="J376" s="34">
        <v>40</v>
      </c>
      <c r="K376" s="34">
        <v>27</v>
      </c>
      <c r="L376" s="135">
        <v>0</v>
      </c>
      <c r="M376" s="135">
        <v>0</v>
      </c>
      <c r="N376" s="135">
        <v>7</v>
      </c>
      <c r="O376" s="135">
        <v>13</v>
      </c>
      <c r="P376" s="218">
        <f t="shared" si="14"/>
        <v>99</v>
      </c>
    </row>
    <row r="377" spans="1:16" x14ac:dyDescent="0.35">
      <c r="A377" s="287"/>
      <c r="B377" s="287"/>
      <c r="C377" s="32" t="s">
        <v>1623</v>
      </c>
      <c r="D377" s="32" t="s">
        <v>1773</v>
      </c>
      <c r="E377" s="43" t="s">
        <v>1834</v>
      </c>
      <c r="F377" s="43" t="s">
        <v>1833</v>
      </c>
      <c r="G377" s="33" t="s">
        <v>1448</v>
      </c>
      <c r="H377" s="34">
        <v>9</v>
      </c>
      <c r="I377" s="34">
        <v>8</v>
      </c>
      <c r="J377" s="34">
        <v>36</v>
      </c>
      <c r="K377" s="34">
        <v>24</v>
      </c>
      <c r="L377" s="135">
        <v>5</v>
      </c>
      <c r="M377" s="135">
        <v>8</v>
      </c>
      <c r="N377" s="135">
        <v>13</v>
      </c>
      <c r="O377" s="135">
        <v>16</v>
      </c>
      <c r="P377" s="218">
        <f t="shared" si="14"/>
        <v>119</v>
      </c>
    </row>
    <row r="378" spans="1:16" x14ac:dyDescent="0.35">
      <c r="A378" s="287"/>
      <c r="B378" s="287"/>
      <c r="C378" s="32" t="s">
        <v>1623</v>
      </c>
      <c r="D378" s="32" t="s">
        <v>1773</v>
      </c>
      <c r="E378" s="43" t="s">
        <v>1834</v>
      </c>
      <c r="F378" s="43" t="s">
        <v>1829</v>
      </c>
      <c r="G378" s="33" t="s">
        <v>1438</v>
      </c>
      <c r="H378" s="34">
        <v>5</v>
      </c>
      <c r="I378" s="34">
        <v>7</v>
      </c>
      <c r="J378" s="34">
        <v>19</v>
      </c>
      <c r="K378" s="34">
        <v>13</v>
      </c>
      <c r="L378" s="135">
        <v>8</v>
      </c>
      <c r="M378" s="135">
        <v>12</v>
      </c>
      <c r="N378" s="135">
        <v>15</v>
      </c>
      <c r="O378" s="135">
        <v>18</v>
      </c>
      <c r="P378" s="218">
        <f t="shared" si="14"/>
        <v>97</v>
      </c>
    </row>
    <row r="379" spans="1:16" x14ac:dyDescent="0.35">
      <c r="A379" s="287"/>
      <c r="B379" s="287"/>
      <c r="C379" s="32" t="s">
        <v>1623</v>
      </c>
      <c r="D379" s="32" t="s">
        <v>1773</v>
      </c>
      <c r="E379" s="43" t="s">
        <v>1834</v>
      </c>
      <c r="F379" s="43" t="s">
        <v>1831</v>
      </c>
      <c r="G379" s="33" t="s">
        <v>1449</v>
      </c>
      <c r="H379" s="34">
        <v>9</v>
      </c>
      <c r="I379" s="34">
        <v>6</v>
      </c>
      <c r="J379" s="34">
        <v>34</v>
      </c>
      <c r="K379" s="34">
        <v>22</v>
      </c>
      <c r="L379" s="135">
        <v>11</v>
      </c>
      <c r="M379" s="135">
        <v>13</v>
      </c>
      <c r="N379" s="135">
        <v>12</v>
      </c>
      <c r="O379" s="135">
        <v>11</v>
      </c>
      <c r="P379" s="218">
        <f t="shared" si="14"/>
        <v>118</v>
      </c>
    </row>
    <row r="380" spans="1:16" x14ac:dyDescent="0.35">
      <c r="A380" s="287"/>
      <c r="B380" s="287"/>
      <c r="C380" s="32" t="s">
        <v>1623</v>
      </c>
      <c r="D380" s="32" t="s">
        <v>1773</v>
      </c>
      <c r="E380" s="43" t="s">
        <v>1834</v>
      </c>
      <c r="F380" s="43" t="s">
        <v>1830</v>
      </c>
      <c r="G380" s="33" t="s">
        <v>1450</v>
      </c>
      <c r="H380" s="34">
        <v>5</v>
      </c>
      <c r="I380" s="34">
        <v>7</v>
      </c>
      <c r="J380" s="34">
        <v>30</v>
      </c>
      <c r="K380" s="34">
        <v>20</v>
      </c>
      <c r="L380" s="135">
        <v>6</v>
      </c>
      <c r="M380" s="135">
        <v>9</v>
      </c>
      <c r="N380" s="135">
        <v>2</v>
      </c>
      <c r="O380" s="135">
        <v>4</v>
      </c>
      <c r="P380" s="218">
        <f t="shared" si="14"/>
        <v>83</v>
      </c>
    </row>
    <row r="381" spans="1:16" x14ac:dyDescent="0.35">
      <c r="A381" s="287"/>
      <c r="B381" s="287"/>
      <c r="C381" s="32" t="s">
        <v>1623</v>
      </c>
      <c r="D381" s="32" t="s">
        <v>1773</v>
      </c>
      <c r="E381" s="43" t="s">
        <v>1834</v>
      </c>
      <c r="F381" s="43" t="s">
        <v>1830</v>
      </c>
      <c r="G381" s="33" t="s">
        <v>1422</v>
      </c>
      <c r="H381" s="34">
        <v>9</v>
      </c>
      <c r="I381" s="34">
        <v>4</v>
      </c>
      <c r="J381" s="34">
        <v>39</v>
      </c>
      <c r="K381" s="34">
        <v>26</v>
      </c>
      <c r="L381" s="135">
        <v>4</v>
      </c>
      <c r="M381" s="135">
        <v>2</v>
      </c>
      <c r="N381" s="135">
        <v>3</v>
      </c>
      <c r="O381" s="135">
        <v>1</v>
      </c>
      <c r="P381" s="218">
        <f t="shared" si="14"/>
        <v>88</v>
      </c>
    </row>
    <row r="382" spans="1:16" x14ac:dyDescent="0.35">
      <c r="A382" s="52"/>
      <c r="B382" s="52"/>
      <c r="C382" s="52"/>
      <c r="D382" s="52"/>
      <c r="E382" s="52"/>
      <c r="F382" s="52"/>
      <c r="G382" s="52" t="s">
        <v>2</v>
      </c>
      <c r="H382" s="195">
        <f t="shared" ref="H382:O382" si="17">SUM(H346:H381)</f>
        <v>242</v>
      </c>
      <c r="I382" s="195">
        <f t="shared" si="17"/>
        <v>234</v>
      </c>
      <c r="J382" s="196">
        <f t="shared" si="17"/>
        <v>1309</v>
      </c>
      <c r="K382" s="196">
        <f t="shared" si="17"/>
        <v>867</v>
      </c>
      <c r="L382" s="193">
        <f t="shared" si="17"/>
        <v>135</v>
      </c>
      <c r="M382" s="193">
        <f t="shared" si="17"/>
        <v>172</v>
      </c>
      <c r="N382" s="194">
        <f t="shared" si="17"/>
        <v>164</v>
      </c>
      <c r="O382" s="194">
        <f t="shared" si="17"/>
        <v>169</v>
      </c>
      <c r="P382" s="217">
        <f t="shared" si="14"/>
        <v>3292</v>
      </c>
    </row>
    <row r="383" spans="1:16" x14ac:dyDescent="0.35">
      <c r="A383" s="287">
        <v>13</v>
      </c>
      <c r="B383" s="287" t="s">
        <v>1906</v>
      </c>
      <c r="C383" s="32" t="s">
        <v>1623</v>
      </c>
      <c r="D383" s="32" t="s">
        <v>1773</v>
      </c>
      <c r="E383" s="32" t="s">
        <v>1836</v>
      </c>
      <c r="F383" s="32" t="s">
        <v>1835</v>
      </c>
      <c r="G383" s="33" t="s">
        <v>1451</v>
      </c>
      <c r="H383" s="34">
        <v>30</v>
      </c>
      <c r="I383" s="34">
        <v>35</v>
      </c>
      <c r="J383" s="34">
        <v>80</v>
      </c>
      <c r="K383" s="34">
        <v>168</v>
      </c>
      <c r="L383" s="135">
        <v>32</v>
      </c>
      <c r="M383" s="135">
        <v>53</v>
      </c>
      <c r="N383" s="135">
        <v>42</v>
      </c>
      <c r="O383" s="135">
        <v>65</v>
      </c>
      <c r="P383" s="218">
        <f t="shared" si="14"/>
        <v>505</v>
      </c>
    </row>
    <row r="384" spans="1:16" x14ac:dyDescent="0.35">
      <c r="A384" s="287"/>
      <c r="B384" s="287"/>
      <c r="C384" s="32" t="s">
        <v>1623</v>
      </c>
      <c r="D384" s="32" t="s">
        <v>1773</v>
      </c>
      <c r="E384" s="32" t="s">
        <v>1836</v>
      </c>
      <c r="F384" s="32" t="s">
        <v>357</v>
      </c>
      <c r="G384" s="33" t="s">
        <v>1452</v>
      </c>
      <c r="H384" s="34">
        <v>23</v>
      </c>
      <c r="I384" s="34">
        <v>38</v>
      </c>
      <c r="J384" s="34">
        <v>79</v>
      </c>
      <c r="K384" s="34">
        <v>130</v>
      </c>
      <c r="L384" s="135">
        <v>20</v>
      </c>
      <c r="M384" s="135">
        <v>30</v>
      </c>
      <c r="N384" s="135">
        <v>65</v>
      </c>
      <c r="O384" s="135">
        <v>85</v>
      </c>
      <c r="P384" s="218">
        <f t="shared" si="14"/>
        <v>470</v>
      </c>
    </row>
    <row r="385" spans="1:16" x14ac:dyDescent="0.35">
      <c r="A385" s="287"/>
      <c r="B385" s="287"/>
      <c r="C385" s="32" t="s">
        <v>1623</v>
      </c>
      <c r="D385" s="32" t="s">
        <v>1773</v>
      </c>
      <c r="E385" s="32" t="s">
        <v>1836</v>
      </c>
      <c r="F385" s="32" t="s">
        <v>357</v>
      </c>
      <c r="G385" s="33" t="s">
        <v>1453</v>
      </c>
      <c r="H385" s="34">
        <v>49</v>
      </c>
      <c r="I385" s="34">
        <v>51</v>
      </c>
      <c r="J385" s="34">
        <v>141</v>
      </c>
      <c r="K385" s="34">
        <v>225</v>
      </c>
      <c r="L385" s="135">
        <v>49</v>
      </c>
      <c r="M385" s="135">
        <v>56</v>
      </c>
      <c r="N385" s="135">
        <v>53</v>
      </c>
      <c r="O385" s="135">
        <v>73</v>
      </c>
      <c r="P385" s="218">
        <f t="shared" si="14"/>
        <v>697</v>
      </c>
    </row>
    <row r="386" spans="1:16" x14ac:dyDescent="0.35">
      <c r="A386" s="287"/>
      <c r="B386" s="287"/>
      <c r="C386" s="32" t="s">
        <v>1623</v>
      </c>
      <c r="D386" s="32" t="s">
        <v>1773</v>
      </c>
      <c r="E386" s="32" t="s">
        <v>1836</v>
      </c>
      <c r="F386" s="32" t="s">
        <v>357</v>
      </c>
      <c r="G386" s="33" t="s">
        <v>1454</v>
      </c>
      <c r="H386" s="34">
        <v>24</v>
      </c>
      <c r="I386" s="34">
        <v>40</v>
      </c>
      <c r="J386" s="34">
        <v>67</v>
      </c>
      <c r="K386" s="34">
        <v>116</v>
      </c>
      <c r="L386" s="135">
        <v>32</v>
      </c>
      <c r="M386" s="135">
        <v>46</v>
      </c>
      <c r="N386" s="135">
        <v>27</v>
      </c>
      <c r="O386" s="135">
        <v>36</v>
      </c>
      <c r="P386" s="218">
        <f t="shared" si="14"/>
        <v>388</v>
      </c>
    </row>
    <row r="387" spans="1:16" x14ac:dyDescent="0.35">
      <c r="A387" s="287"/>
      <c r="B387" s="287"/>
      <c r="C387" s="32" t="s">
        <v>1623</v>
      </c>
      <c r="D387" s="32" t="s">
        <v>1773</v>
      </c>
      <c r="E387" s="32" t="s">
        <v>1836</v>
      </c>
      <c r="F387" s="32" t="s">
        <v>357</v>
      </c>
      <c r="G387" s="33" t="s">
        <v>1455</v>
      </c>
      <c r="H387" s="34">
        <v>28</v>
      </c>
      <c r="I387" s="34">
        <v>25</v>
      </c>
      <c r="J387" s="34">
        <v>65</v>
      </c>
      <c r="K387" s="34">
        <v>131</v>
      </c>
      <c r="L387" s="135">
        <v>28</v>
      </c>
      <c r="M387" s="135">
        <v>47</v>
      </c>
      <c r="N387" s="135">
        <v>22</v>
      </c>
      <c r="O387" s="135">
        <v>47</v>
      </c>
      <c r="P387" s="218">
        <f t="shared" si="14"/>
        <v>393</v>
      </c>
    </row>
    <row r="388" spans="1:16" x14ac:dyDescent="0.35">
      <c r="A388" s="287"/>
      <c r="B388" s="287"/>
      <c r="C388" s="32" t="s">
        <v>1623</v>
      </c>
      <c r="D388" s="32" t="s">
        <v>1773</v>
      </c>
      <c r="E388" s="32" t="s">
        <v>1836</v>
      </c>
      <c r="F388" s="32" t="s">
        <v>357</v>
      </c>
      <c r="G388" s="33" t="s">
        <v>1456</v>
      </c>
      <c r="H388" s="34">
        <v>33</v>
      </c>
      <c r="I388" s="34">
        <v>38</v>
      </c>
      <c r="J388" s="34">
        <v>69</v>
      </c>
      <c r="K388" s="34">
        <v>106</v>
      </c>
      <c r="L388" s="135">
        <v>24</v>
      </c>
      <c r="M388" s="135">
        <v>52</v>
      </c>
      <c r="N388" s="135">
        <v>19</v>
      </c>
      <c r="O388" s="135">
        <v>37</v>
      </c>
      <c r="P388" s="218">
        <f t="shared" si="14"/>
        <v>378</v>
      </c>
    </row>
    <row r="389" spans="1:16" x14ac:dyDescent="0.35">
      <c r="A389" s="287"/>
      <c r="B389" s="287"/>
      <c r="C389" s="32" t="s">
        <v>1623</v>
      </c>
      <c r="D389" s="32" t="s">
        <v>1773</v>
      </c>
      <c r="E389" s="32" t="s">
        <v>1836</v>
      </c>
      <c r="F389" s="32" t="s">
        <v>357</v>
      </c>
      <c r="G389" s="33" t="s">
        <v>1457</v>
      </c>
      <c r="H389" s="34">
        <v>30</v>
      </c>
      <c r="I389" s="34">
        <v>39</v>
      </c>
      <c r="J389" s="34">
        <v>66</v>
      </c>
      <c r="K389" s="34">
        <v>96</v>
      </c>
      <c r="L389" s="135">
        <v>34</v>
      </c>
      <c r="M389" s="135">
        <v>41</v>
      </c>
      <c r="N389" s="135">
        <v>39</v>
      </c>
      <c r="O389" s="135">
        <v>51</v>
      </c>
      <c r="P389" s="218">
        <f t="shared" si="14"/>
        <v>396</v>
      </c>
    </row>
    <row r="390" spans="1:16" x14ac:dyDescent="0.35">
      <c r="A390" s="287"/>
      <c r="B390" s="287"/>
      <c r="C390" s="32" t="s">
        <v>1623</v>
      </c>
      <c r="D390" s="32" t="s">
        <v>1773</v>
      </c>
      <c r="E390" s="32" t="s">
        <v>1836</v>
      </c>
      <c r="F390" s="32" t="s">
        <v>357</v>
      </c>
      <c r="G390" s="33" t="s">
        <v>1458</v>
      </c>
      <c r="H390" s="34">
        <v>26</v>
      </c>
      <c r="I390" s="34">
        <v>32</v>
      </c>
      <c r="J390" s="34">
        <v>45</v>
      </c>
      <c r="K390" s="34">
        <v>96</v>
      </c>
      <c r="L390" s="135">
        <v>28</v>
      </c>
      <c r="M390" s="135">
        <v>46</v>
      </c>
      <c r="N390" s="135">
        <v>40</v>
      </c>
      <c r="O390" s="135">
        <v>51</v>
      </c>
      <c r="P390" s="218">
        <f t="shared" ref="P390:P453" si="18">H390+I390+J390+K390+L390+M390+N390+O390</f>
        <v>364</v>
      </c>
    </row>
    <row r="391" spans="1:16" x14ac:dyDescent="0.35">
      <c r="A391" s="287"/>
      <c r="B391" s="287"/>
      <c r="C391" s="32" t="s">
        <v>1623</v>
      </c>
      <c r="D391" s="32" t="s">
        <v>1773</v>
      </c>
      <c r="E391" s="32" t="s">
        <v>1836</v>
      </c>
      <c r="F391" s="32" t="s">
        <v>357</v>
      </c>
      <c r="G391" s="33" t="s">
        <v>1459</v>
      </c>
      <c r="H391" s="34">
        <v>29</v>
      </c>
      <c r="I391" s="34">
        <v>41</v>
      </c>
      <c r="J391" s="34">
        <v>71</v>
      </c>
      <c r="K391" s="34">
        <v>92</v>
      </c>
      <c r="L391" s="135">
        <v>19</v>
      </c>
      <c r="M391" s="135">
        <v>28</v>
      </c>
      <c r="N391" s="135">
        <v>31</v>
      </c>
      <c r="O391" s="135">
        <v>55</v>
      </c>
      <c r="P391" s="218">
        <f t="shared" si="18"/>
        <v>366</v>
      </c>
    </row>
    <row r="392" spans="1:16" x14ac:dyDescent="0.35">
      <c r="A392" s="287"/>
      <c r="B392" s="287"/>
      <c r="C392" s="32" t="s">
        <v>1623</v>
      </c>
      <c r="D392" s="32" t="s">
        <v>1773</v>
      </c>
      <c r="E392" s="32" t="s">
        <v>1836</v>
      </c>
      <c r="F392" s="32" t="s">
        <v>357</v>
      </c>
      <c r="G392" s="33" t="s">
        <v>915</v>
      </c>
      <c r="H392" s="34">
        <v>28</v>
      </c>
      <c r="I392" s="34">
        <v>35</v>
      </c>
      <c r="J392" s="34">
        <v>108</v>
      </c>
      <c r="K392" s="34">
        <v>220</v>
      </c>
      <c r="L392" s="135">
        <v>33</v>
      </c>
      <c r="M392" s="135">
        <v>57</v>
      </c>
      <c r="N392" s="135">
        <v>50</v>
      </c>
      <c r="O392" s="135">
        <v>85</v>
      </c>
      <c r="P392" s="218">
        <f t="shared" si="18"/>
        <v>616</v>
      </c>
    </row>
    <row r="393" spans="1:16" x14ac:dyDescent="0.35">
      <c r="A393" s="287"/>
      <c r="B393" s="287"/>
      <c r="C393" s="32" t="s">
        <v>1623</v>
      </c>
      <c r="D393" s="32" t="s">
        <v>1773</v>
      </c>
      <c r="E393" s="32" t="s">
        <v>1836</v>
      </c>
      <c r="F393" s="32" t="s">
        <v>1835</v>
      </c>
      <c r="G393" s="33" t="s">
        <v>1460</v>
      </c>
      <c r="H393" s="34">
        <v>33</v>
      </c>
      <c r="I393" s="34">
        <v>45</v>
      </c>
      <c r="J393" s="34">
        <v>100</v>
      </c>
      <c r="K393" s="34">
        <v>104</v>
      </c>
      <c r="L393" s="135">
        <v>46</v>
      </c>
      <c r="M393" s="135">
        <v>74</v>
      </c>
      <c r="N393" s="135">
        <v>61</v>
      </c>
      <c r="O393" s="135">
        <v>95</v>
      </c>
      <c r="P393" s="218">
        <f t="shared" si="18"/>
        <v>558</v>
      </c>
    </row>
    <row r="394" spans="1:16" x14ac:dyDescent="0.35">
      <c r="A394" s="287"/>
      <c r="B394" s="287"/>
      <c r="C394" s="32" t="s">
        <v>1623</v>
      </c>
      <c r="D394" s="32" t="s">
        <v>1773</v>
      </c>
      <c r="E394" s="32" t="s">
        <v>1836</v>
      </c>
      <c r="F394" s="32" t="s">
        <v>1835</v>
      </c>
      <c r="G394" s="33" t="s">
        <v>1461</v>
      </c>
      <c r="H394" s="34">
        <v>27</v>
      </c>
      <c r="I394" s="34">
        <v>42</v>
      </c>
      <c r="J394" s="34">
        <v>32</v>
      </c>
      <c r="K394" s="34">
        <v>140</v>
      </c>
      <c r="L394" s="135">
        <v>22</v>
      </c>
      <c r="M394" s="135">
        <v>28</v>
      </c>
      <c r="N394" s="135">
        <v>44</v>
      </c>
      <c r="O394" s="135">
        <v>61</v>
      </c>
      <c r="P394" s="218">
        <f t="shared" si="18"/>
        <v>396</v>
      </c>
    </row>
    <row r="395" spans="1:16" x14ac:dyDescent="0.35">
      <c r="A395" s="287"/>
      <c r="B395" s="287"/>
      <c r="C395" s="32" t="s">
        <v>1623</v>
      </c>
      <c r="D395" s="32" t="s">
        <v>1773</v>
      </c>
      <c r="E395" s="32" t="s">
        <v>1836</v>
      </c>
      <c r="F395" s="32" t="s">
        <v>1835</v>
      </c>
      <c r="G395" s="33" t="s">
        <v>1462</v>
      </c>
      <c r="H395" s="34">
        <v>42</v>
      </c>
      <c r="I395" s="34">
        <v>49</v>
      </c>
      <c r="J395" s="34">
        <v>84</v>
      </c>
      <c r="K395" s="34">
        <v>188</v>
      </c>
      <c r="L395" s="135">
        <v>42</v>
      </c>
      <c r="M395" s="135">
        <v>58</v>
      </c>
      <c r="N395" s="135">
        <v>20</v>
      </c>
      <c r="O395" s="135">
        <v>35</v>
      </c>
      <c r="P395" s="218">
        <f t="shared" si="18"/>
        <v>518</v>
      </c>
    </row>
    <row r="396" spans="1:16" x14ac:dyDescent="0.35">
      <c r="A396" s="287"/>
      <c r="B396" s="287"/>
      <c r="C396" s="32" t="s">
        <v>1623</v>
      </c>
      <c r="D396" s="32" t="s">
        <v>1773</v>
      </c>
      <c r="E396" s="32" t="s">
        <v>1836</v>
      </c>
      <c r="F396" s="32" t="s">
        <v>1835</v>
      </c>
      <c r="G396" s="33" t="s">
        <v>1463</v>
      </c>
      <c r="H396" s="34">
        <v>44</v>
      </c>
      <c r="I396" s="34">
        <v>62</v>
      </c>
      <c r="J396" s="34">
        <v>153</v>
      </c>
      <c r="K396" s="34">
        <v>204</v>
      </c>
      <c r="L396" s="135">
        <v>31</v>
      </c>
      <c r="M396" s="135">
        <v>44</v>
      </c>
      <c r="N396" s="135">
        <v>52</v>
      </c>
      <c r="O396" s="135">
        <v>77</v>
      </c>
      <c r="P396" s="218">
        <f t="shared" si="18"/>
        <v>667</v>
      </c>
    </row>
    <row r="397" spans="1:16" x14ac:dyDescent="0.35">
      <c r="A397" s="287"/>
      <c r="B397" s="287"/>
      <c r="C397" s="32" t="s">
        <v>1623</v>
      </c>
      <c r="D397" s="32" t="s">
        <v>1773</v>
      </c>
      <c r="E397" s="32" t="s">
        <v>1836</v>
      </c>
      <c r="F397" s="32" t="s">
        <v>357</v>
      </c>
      <c r="G397" s="33" t="s">
        <v>1464</v>
      </c>
      <c r="H397" s="34">
        <v>39</v>
      </c>
      <c r="I397" s="34">
        <v>41</v>
      </c>
      <c r="J397" s="34">
        <v>108</v>
      </c>
      <c r="K397" s="34">
        <v>196</v>
      </c>
      <c r="L397" s="135">
        <v>31</v>
      </c>
      <c r="M397" s="135">
        <v>39</v>
      </c>
      <c r="N397" s="135">
        <v>44</v>
      </c>
      <c r="O397" s="135">
        <v>56</v>
      </c>
      <c r="P397" s="218">
        <f t="shared" si="18"/>
        <v>554</v>
      </c>
    </row>
    <row r="398" spans="1:16" x14ac:dyDescent="0.35">
      <c r="A398" s="287"/>
      <c r="B398" s="287"/>
      <c r="C398" s="32" t="s">
        <v>1623</v>
      </c>
      <c r="D398" s="32" t="s">
        <v>1773</v>
      </c>
      <c r="E398" s="32" t="s">
        <v>1836</v>
      </c>
      <c r="F398" s="32" t="s">
        <v>357</v>
      </c>
      <c r="G398" s="33" t="s">
        <v>1206</v>
      </c>
      <c r="H398" s="34">
        <v>21</v>
      </c>
      <c r="I398" s="34">
        <v>26</v>
      </c>
      <c r="J398" s="34">
        <v>42</v>
      </c>
      <c r="K398" s="34">
        <v>100</v>
      </c>
      <c r="L398" s="135">
        <v>14</v>
      </c>
      <c r="M398" s="135">
        <v>26</v>
      </c>
      <c r="N398" s="135">
        <v>56</v>
      </c>
      <c r="O398" s="135">
        <v>79</v>
      </c>
      <c r="P398" s="218">
        <f t="shared" si="18"/>
        <v>364</v>
      </c>
    </row>
    <row r="399" spans="1:16" x14ac:dyDescent="0.35">
      <c r="A399" s="52"/>
      <c r="B399" s="52"/>
      <c r="C399" s="52"/>
      <c r="D399" s="52"/>
      <c r="E399" s="52"/>
      <c r="F399" s="52"/>
      <c r="G399" s="52" t="s">
        <v>2</v>
      </c>
      <c r="H399" s="195">
        <f t="shared" ref="H399:O399" si="19">SUM(H383:H398)</f>
        <v>506</v>
      </c>
      <c r="I399" s="195">
        <f t="shared" si="19"/>
        <v>639</v>
      </c>
      <c r="J399" s="196">
        <f t="shared" si="19"/>
        <v>1310</v>
      </c>
      <c r="K399" s="196">
        <f t="shared" si="19"/>
        <v>2312</v>
      </c>
      <c r="L399" s="193">
        <f t="shared" si="19"/>
        <v>485</v>
      </c>
      <c r="M399" s="193">
        <f t="shared" si="19"/>
        <v>725</v>
      </c>
      <c r="N399" s="194">
        <f t="shared" si="19"/>
        <v>665</v>
      </c>
      <c r="O399" s="194">
        <f t="shared" si="19"/>
        <v>988</v>
      </c>
      <c r="P399" s="217">
        <f t="shared" si="18"/>
        <v>7630</v>
      </c>
    </row>
    <row r="400" spans="1:16" x14ac:dyDescent="0.35">
      <c r="A400" s="287">
        <v>14</v>
      </c>
      <c r="B400" s="287" t="s">
        <v>1907</v>
      </c>
      <c r="C400" s="32" t="s">
        <v>1623</v>
      </c>
      <c r="D400" s="32" t="s">
        <v>1773</v>
      </c>
      <c r="E400" s="32" t="s">
        <v>1836</v>
      </c>
      <c r="F400" s="32" t="s">
        <v>1837</v>
      </c>
      <c r="G400" s="33" t="s">
        <v>1465</v>
      </c>
      <c r="H400" s="34">
        <v>23</v>
      </c>
      <c r="I400" s="34">
        <v>23</v>
      </c>
      <c r="J400" s="34">
        <v>236</v>
      </c>
      <c r="K400" s="34">
        <v>263</v>
      </c>
      <c r="L400" s="135">
        <v>57</v>
      </c>
      <c r="M400" s="135">
        <v>67</v>
      </c>
      <c r="N400" s="135">
        <v>136</v>
      </c>
      <c r="O400" s="135">
        <v>147</v>
      </c>
      <c r="P400" s="218">
        <f t="shared" si="18"/>
        <v>952</v>
      </c>
    </row>
    <row r="401" spans="1:16" x14ac:dyDescent="0.35">
      <c r="A401" s="287"/>
      <c r="B401" s="287"/>
      <c r="C401" s="32" t="s">
        <v>1623</v>
      </c>
      <c r="D401" s="32" t="s">
        <v>1773</v>
      </c>
      <c r="E401" s="32" t="s">
        <v>1836</v>
      </c>
      <c r="F401" s="32" t="s">
        <v>1837</v>
      </c>
      <c r="G401" s="33" t="s">
        <v>1466</v>
      </c>
      <c r="H401" s="34">
        <v>6</v>
      </c>
      <c r="I401" s="34">
        <v>4</v>
      </c>
      <c r="J401" s="34">
        <v>129</v>
      </c>
      <c r="K401" s="34">
        <v>142</v>
      </c>
      <c r="L401" s="135">
        <v>33</v>
      </c>
      <c r="M401" s="135">
        <v>40</v>
      </c>
      <c r="N401" s="135">
        <v>77</v>
      </c>
      <c r="O401" s="135">
        <v>82</v>
      </c>
      <c r="P401" s="218">
        <f t="shared" si="18"/>
        <v>513</v>
      </c>
    </row>
    <row r="402" spans="1:16" x14ac:dyDescent="0.35">
      <c r="A402" s="287"/>
      <c r="B402" s="287"/>
      <c r="C402" s="32" t="s">
        <v>1623</v>
      </c>
      <c r="D402" s="32" t="s">
        <v>1773</v>
      </c>
      <c r="E402" s="32" t="s">
        <v>1836</v>
      </c>
      <c r="F402" s="32" t="s">
        <v>1837</v>
      </c>
      <c r="G402" s="33" t="s">
        <v>1467</v>
      </c>
      <c r="H402" s="34">
        <v>13</v>
      </c>
      <c r="I402" s="34">
        <v>17</v>
      </c>
      <c r="J402" s="34">
        <v>92</v>
      </c>
      <c r="K402" s="34">
        <v>101</v>
      </c>
      <c r="L402" s="135">
        <v>30</v>
      </c>
      <c r="M402" s="135">
        <v>28</v>
      </c>
      <c r="N402" s="135">
        <v>42</v>
      </c>
      <c r="O402" s="135">
        <v>48</v>
      </c>
      <c r="P402" s="218">
        <f t="shared" si="18"/>
        <v>371</v>
      </c>
    </row>
    <row r="403" spans="1:16" x14ac:dyDescent="0.35">
      <c r="A403" s="287"/>
      <c r="B403" s="287"/>
      <c r="C403" s="32" t="s">
        <v>1623</v>
      </c>
      <c r="D403" s="32" t="s">
        <v>1773</v>
      </c>
      <c r="E403" s="32" t="s">
        <v>1836</v>
      </c>
      <c r="F403" s="32" t="s">
        <v>1837</v>
      </c>
      <c r="G403" s="33" t="s">
        <v>1468</v>
      </c>
      <c r="H403" s="34">
        <v>23</v>
      </c>
      <c r="I403" s="34">
        <v>19</v>
      </c>
      <c r="J403" s="34">
        <v>154</v>
      </c>
      <c r="K403" s="34">
        <v>176</v>
      </c>
      <c r="L403" s="135">
        <v>30</v>
      </c>
      <c r="M403" s="135">
        <v>35</v>
      </c>
      <c r="N403" s="135">
        <v>72</v>
      </c>
      <c r="O403" s="135">
        <v>78</v>
      </c>
      <c r="P403" s="218">
        <f t="shared" si="18"/>
        <v>587</v>
      </c>
    </row>
    <row r="404" spans="1:16" x14ac:dyDescent="0.35">
      <c r="A404" s="287"/>
      <c r="B404" s="287"/>
      <c r="C404" s="32" t="s">
        <v>1623</v>
      </c>
      <c r="D404" s="32" t="s">
        <v>1773</v>
      </c>
      <c r="E404" s="32" t="s">
        <v>1836</v>
      </c>
      <c r="F404" s="32" t="s">
        <v>1837</v>
      </c>
      <c r="G404" s="33" t="s">
        <v>1307</v>
      </c>
      <c r="H404" s="34">
        <v>15</v>
      </c>
      <c r="I404" s="34">
        <v>15</v>
      </c>
      <c r="J404" s="34">
        <v>96</v>
      </c>
      <c r="K404" s="34">
        <v>112</v>
      </c>
      <c r="L404" s="135">
        <v>26</v>
      </c>
      <c r="M404" s="135">
        <v>23</v>
      </c>
      <c r="N404" s="135">
        <v>57</v>
      </c>
      <c r="O404" s="135">
        <v>62</v>
      </c>
      <c r="P404" s="218">
        <f t="shared" si="18"/>
        <v>406</v>
      </c>
    </row>
    <row r="405" spans="1:16" x14ac:dyDescent="0.35">
      <c r="A405" s="287"/>
      <c r="B405" s="287"/>
      <c r="C405" s="32" t="s">
        <v>1623</v>
      </c>
      <c r="D405" s="32" t="s">
        <v>1773</v>
      </c>
      <c r="E405" s="32" t="s">
        <v>1836</v>
      </c>
      <c r="F405" s="32" t="s">
        <v>1837</v>
      </c>
      <c r="G405" s="33" t="s">
        <v>1153</v>
      </c>
      <c r="H405" s="34">
        <v>20</v>
      </c>
      <c r="I405" s="34">
        <v>13</v>
      </c>
      <c r="J405" s="34">
        <v>127</v>
      </c>
      <c r="K405" s="34">
        <v>140</v>
      </c>
      <c r="L405" s="135">
        <v>25</v>
      </c>
      <c r="M405" s="135">
        <v>31</v>
      </c>
      <c r="N405" s="135">
        <v>69</v>
      </c>
      <c r="O405" s="135">
        <v>73</v>
      </c>
      <c r="P405" s="218">
        <f t="shared" si="18"/>
        <v>498</v>
      </c>
    </row>
    <row r="406" spans="1:16" x14ac:dyDescent="0.35">
      <c r="A406" s="287"/>
      <c r="B406" s="287"/>
      <c r="C406" s="32" t="s">
        <v>1623</v>
      </c>
      <c r="D406" s="32" t="s">
        <v>1773</v>
      </c>
      <c r="E406" s="32" t="s">
        <v>1836</v>
      </c>
      <c r="F406" s="32" t="s">
        <v>1837</v>
      </c>
      <c r="G406" s="33" t="s">
        <v>1469</v>
      </c>
      <c r="H406" s="34">
        <v>11</v>
      </c>
      <c r="I406" s="34">
        <v>9</v>
      </c>
      <c r="J406" s="34">
        <v>142</v>
      </c>
      <c r="K406" s="34">
        <v>131</v>
      </c>
      <c r="L406" s="135">
        <v>34</v>
      </c>
      <c r="M406" s="135">
        <v>28</v>
      </c>
      <c r="N406" s="135">
        <v>65</v>
      </c>
      <c r="O406" s="135">
        <v>56</v>
      </c>
      <c r="P406" s="218">
        <f t="shared" si="18"/>
        <v>476</v>
      </c>
    </row>
    <row r="407" spans="1:16" x14ac:dyDescent="0.35">
      <c r="A407" s="287"/>
      <c r="B407" s="287"/>
      <c r="C407" s="32" t="s">
        <v>1623</v>
      </c>
      <c r="D407" s="32" t="s">
        <v>1773</v>
      </c>
      <c r="E407" s="32" t="s">
        <v>1836</v>
      </c>
      <c r="F407" s="32" t="s">
        <v>1837</v>
      </c>
      <c r="G407" s="33" t="s">
        <v>1262</v>
      </c>
      <c r="H407" s="34">
        <v>24</v>
      </c>
      <c r="I407" s="34">
        <v>23</v>
      </c>
      <c r="J407" s="34">
        <v>126</v>
      </c>
      <c r="K407" s="34">
        <v>132</v>
      </c>
      <c r="L407" s="135">
        <v>25</v>
      </c>
      <c r="M407" s="135">
        <v>28</v>
      </c>
      <c r="N407" s="135">
        <v>77</v>
      </c>
      <c r="O407" s="135">
        <v>78</v>
      </c>
      <c r="P407" s="218">
        <f t="shared" si="18"/>
        <v>513</v>
      </c>
    </row>
    <row r="408" spans="1:16" x14ac:dyDescent="0.35">
      <c r="A408" s="287"/>
      <c r="B408" s="287"/>
      <c r="C408" s="32" t="s">
        <v>1623</v>
      </c>
      <c r="D408" s="32" t="s">
        <v>1773</v>
      </c>
      <c r="E408" s="32" t="s">
        <v>1836</v>
      </c>
      <c r="F408" s="32" t="s">
        <v>1837</v>
      </c>
      <c r="G408" s="33" t="s">
        <v>1470</v>
      </c>
      <c r="H408" s="34">
        <v>13</v>
      </c>
      <c r="I408" s="34">
        <v>14</v>
      </c>
      <c r="J408" s="34">
        <v>83</v>
      </c>
      <c r="K408" s="34">
        <v>91</v>
      </c>
      <c r="L408" s="135">
        <v>11</v>
      </c>
      <c r="M408" s="135">
        <v>13</v>
      </c>
      <c r="N408" s="135">
        <v>51</v>
      </c>
      <c r="O408" s="135">
        <v>53</v>
      </c>
      <c r="P408" s="218">
        <f t="shared" si="18"/>
        <v>329</v>
      </c>
    </row>
    <row r="409" spans="1:16" x14ac:dyDescent="0.35">
      <c r="A409" s="287"/>
      <c r="B409" s="287"/>
      <c r="C409" s="32" t="s">
        <v>1623</v>
      </c>
      <c r="D409" s="32" t="s">
        <v>1773</v>
      </c>
      <c r="E409" s="32" t="s">
        <v>1836</v>
      </c>
      <c r="F409" s="32" t="s">
        <v>1837</v>
      </c>
      <c r="G409" s="33" t="s">
        <v>1471</v>
      </c>
      <c r="H409" s="34">
        <v>14</v>
      </c>
      <c r="I409" s="34">
        <v>12</v>
      </c>
      <c r="J409" s="34">
        <v>107</v>
      </c>
      <c r="K409" s="34">
        <v>102</v>
      </c>
      <c r="L409" s="135">
        <v>19</v>
      </c>
      <c r="M409" s="135">
        <v>21</v>
      </c>
      <c r="N409" s="135">
        <v>55</v>
      </c>
      <c r="O409" s="135">
        <v>50</v>
      </c>
      <c r="P409" s="218">
        <f t="shared" si="18"/>
        <v>380</v>
      </c>
    </row>
    <row r="410" spans="1:16" x14ac:dyDescent="0.35">
      <c r="A410" s="287"/>
      <c r="B410" s="287"/>
      <c r="C410" s="32" t="s">
        <v>1623</v>
      </c>
      <c r="D410" s="32" t="s">
        <v>1773</v>
      </c>
      <c r="E410" s="32" t="s">
        <v>1836</v>
      </c>
      <c r="F410" s="32" t="s">
        <v>1837</v>
      </c>
      <c r="G410" s="33" t="s">
        <v>1281</v>
      </c>
      <c r="H410" s="34">
        <v>2</v>
      </c>
      <c r="I410" s="34">
        <v>3</v>
      </c>
      <c r="J410" s="34">
        <v>76</v>
      </c>
      <c r="K410" s="34">
        <v>62</v>
      </c>
      <c r="L410" s="135">
        <v>17</v>
      </c>
      <c r="M410" s="135">
        <v>13</v>
      </c>
      <c r="N410" s="135">
        <v>38</v>
      </c>
      <c r="O410" s="135">
        <v>31</v>
      </c>
      <c r="P410" s="218">
        <f t="shared" si="18"/>
        <v>242</v>
      </c>
    </row>
    <row r="411" spans="1:16" x14ac:dyDescent="0.35">
      <c r="A411" s="52"/>
      <c r="B411" s="52"/>
      <c r="C411" s="52"/>
      <c r="D411" s="52"/>
      <c r="E411" s="52"/>
      <c r="F411" s="52"/>
      <c r="G411" s="52" t="s">
        <v>2</v>
      </c>
      <c r="H411" s="195">
        <f>SUM(H400:H410)</f>
        <v>164</v>
      </c>
      <c r="I411" s="195">
        <f t="shared" ref="I411:O411" si="20">SUM(I400:I410)</f>
        <v>152</v>
      </c>
      <c r="J411" s="196">
        <f t="shared" si="20"/>
        <v>1368</v>
      </c>
      <c r="K411" s="196">
        <f t="shared" si="20"/>
        <v>1452</v>
      </c>
      <c r="L411" s="193">
        <f t="shared" si="20"/>
        <v>307</v>
      </c>
      <c r="M411" s="193">
        <f t="shared" si="20"/>
        <v>327</v>
      </c>
      <c r="N411" s="194">
        <f t="shared" si="20"/>
        <v>739</v>
      </c>
      <c r="O411" s="194">
        <f t="shared" si="20"/>
        <v>758</v>
      </c>
      <c r="P411" s="217">
        <f t="shared" si="18"/>
        <v>5267</v>
      </c>
    </row>
    <row r="412" spans="1:16" x14ac:dyDescent="0.35">
      <c r="A412" s="287">
        <v>15</v>
      </c>
      <c r="B412" s="287" t="s">
        <v>1908</v>
      </c>
      <c r="C412" s="32" t="s">
        <v>1623</v>
      </c>
      <c r="D412" s="32" t="s">
        <v>1773</v>
      </c>
      <c r="E412" s="32" t="s">
        <v>1836</v>
      </c>
      <c r="F412" s="32" t="s">
        <v>1838</v>
      </c>
      <c r="G412" s="33" t="s">
        <v>1472</v>
      </c>
      <c r="H412" s="34">
        <v>10</v>
      </c>
      <c r="I412" s="34">
        <v>16</v>
      </c>
      <c r="J412" s="34">
        <v>62</v>
      </c>
      <c r="K412" s="34">
        <v>92</v>
      </c>
      <c r="L412" s="135">
        <v>14</v>
      </c>
      <c r="M412" s="135">
        <v>10</v>
      </c>
      <c r="N412" s="135">
        <v>25</v>
      </c>
      <c r="O412" s="135">
        <v>24</v>
      </c>
      <c r="P412" s="218">
        <f t="shared" si="18"/>
        <v>253</v>
      </c>
    </row>
    <row r="413" spans="1:16" x14ac:dyDescent="0.35">
      <c r="A413" s="287"/>
      <c r="B413" s="287"/>
      <c r="C413" s="32" t="s">
        <v>1623</v>
      </c>
      <c r="D413" s="32" t="s">
        <v>1773</v>
      </c>
      <c r="E413" s="32" t="s">
        <v>1836</v>
      </c>
      <c r="F413" s="32" t="s">
        <v>1839</v>
      </c>
      <c r="G413" s="33" t="s">
        <v>1473</v>
      </c>
      <c r="H413" s="34">
        <v>7</v>
      </c>
      <c r="I413" s="34">
        <v>11</v>
      </c>
      <c r="J413" s="34">
        <v>50</v>
      </c>
      <c r="K413" s="34">
        <v>76</v>
      </c>
      <c r="L413" s="135">
        <v>8</v>
      </c>
      <c r="M413" s="135">
        <v>4</v>
      </c>
      <c r="N413" s="135">
        <v>18</v>
      </c>
      <c r="O413" s="135">
        <v>22</v>
      </c>
      <c r="P413" s="218">
        <f t="shared" si="18"/>
        <v>196</v>
      </c>
    </row>
    <row r="414" spans="1:16" x14ac:dyDescent="0.35">
      <c r="A414" s="287"/>
      <c r="B414" s="287"/>
      <c r="C414" s="32" t="s">
        <v>1623</v>
      </c>
      <c r="D414" s="32" t="s">
        <v>1773</v>
      </c>
      <c r="E414" s="32" t="s">
        <v>1836</v>
      </c>
      <c r="F414" s="32" t="s">
        <v>1839</v>
      </c>
      <c r="G414" s="33" t="s">
        <v>1474</v>
      </c>
      <c r="H414" s="34">
        <v>8</v>
      </c>
      <c r="I414" s="34">
        <v>12</v>
      </c>
      <c r="J414" s="34">
        <v>54</v>
      </c>
      <c r="K414" s="34">
        <v>80</v>
      </c>
      <c r="L414" s="135">
        <v>8</v>
      </c>
      <c r="M414" s="135">
        <v>4</v>
      </c>
      <c r="N414" s="135">
        <v>16</v>
      </c>
      <c r="O414" s="135">
        <v>28</v>
      </c>
      <c r="P414" s="218">
        <f t="shared" si="18"/>
        <v>210</v>
      </c>
    </row>
    <row r="415" spans="1:16" x14ac:dyDescent="0.35">
      <c r="A415" s="287"/>
      <c r="B415" s="287"/>
      <c r="C415" s="32" t="s">
        <v>1623</v>
      </c>
      <c r="D415" s="32" t="s">
        <v>1773</v>
      </c>
      <c r="E415" s="32" t="s">
        <v>1836</v>
      </c>
      <c r="F415" s="32" t="s">
        <v>1840</v>
      </c>
      <c r="G415" s="33" t="s">
        <v>1475</v>
      </c>
      <c r="H415" s="34">
        <v>11</v>
      </c>
      <c r="I415" s="34">
        <v>17</v>
      </c>
      <c r="J415" s="34">
        <v>46</v>
      </c>
      <c r="K415" s="34">
        <v>69</v>
      </c>
      <c r="L415" s="135">
        <v>7</v>
      </c>
      <c r="M415" s="135">
        <v>11</v>
      </c>
      <c r="N415" s="135">
        <v>16</v>
      </c>
      <c r="O415" s="135">
        <v>20</v>
      </c>
      <c r="P415" s="218">
        <f t="shared" si="18"/>
        <v>197</v>
      </c>
    </row>
    <row r="416" spans="1:16" x14ac:dyDescent="0.35">
      <c r="A416" s="287"/>
      <c r="B416" s="287"/>
      <c r="C416" s="32" t="s">
        <v>1623</v>
      </c>
      <c r="D416" s="32" t="s">
        <v>1773</v>
      </c>
      <c r="E416" s="32" t="s">
        <v>1836</v>
      </c>
      <c r="F416" s="32" t="s">
        <v>1838</v>
      </c>
      <c r="G416" s="33" t="s">
        <v>1476</v>
      </c>
      <c r="H416" s="34">
        <v>9</v>
      </c>
      <c r="I416" s="34">
        <v>13</v>
      </c>
      <c r="J416" s="34">
        <v>55</v>
      </c>
      <c r="K416" s="34">
        <v>82</v>
      </c>
      <c r="L416" s="135">
        <v>6</v>
      </c>
      <c r="M416" s="135">
        <v>14</v>
      </c>
      <c r="N416" s="135">
        <v>30</v>
      </c>
      <c r="O416" s="135">
        <v>21</v>
      </c>
      <c r="P416" s="218">
        <f t="shared" si="18"/>
        <v>230</v>
      </c>
    </row>
    <row r="417" spans="1:16" x14ac:dyDescent="0.35">
      <c r="A417" s="287"/>
      <c r="B417" s="287"/>
      <c r="C417" s="32" t="s">
        <v>1623</v>
      </c>
      <c r="D417" s="32" t="s">
        <v>1773</v>
      </c>
      <c r="E417" s="32" t="s">
        <v>1836</v>
      </c>
      <c r="F417" s="32" t="s">
        <v>1838</v>
      </c>
      <c r="G417" s="33" t="s">
        <v>1477</v>
      </c>
      <c r="H417" s="34">
        <v>8</v>
      </c>
      <c r="I417" s="34">
        <v>11</v>
      </c>
      <c r="J417" s="34">
        <v>42</v>
      </c>
      <c r="K417" s="34">
        <v>62</v>
      </c>
      <c r="L417" s="135">
        <v>10</v>
      </c>
      <c r="M417" s="135">
        <v>9</v>
      </c>
      <c r="N417" s="135">
        <v>18</v>
      </c>
      <c r="O417" s="135">
        <v>28</v>
      </c>
      <c r="P417" s="218">
        <f t="shared" si="18"/>
        <v>188</v>
      </c>
    </row>
    <row r="418" spans="1:16" x14ac:dyDescent="0.35">
      <c r="A418" s="287"/>
      <c r="B418" s="287"/>
      <c r="C418" s="32" t="s">
        <v>1623</v>
      </c>
      <c r="D418" s="32" t="s">
        <v>1773</v>
      </c>
      <c r="E418" s="32" t="s">
        <v>1836</v>
      </c>
      <c r="F418" s="32" t="s">
        <v>1838</v>
      </c>
      <c r="G418" s="33" t="s">
        <v>1478</v>
      </c>
      <c r="H418" s="34">
        <v>10</v>
      </c>
      <c r="I418" s="34">
        <v>14</v>
      </c>
      <c r="J418" s="34">
        <v>68</v>
      </c>
      <c r="K418" s="34">
        <v>101</v>
      </c>
      <c r="L418" s="135">
        <v>4</v>
      </c>
      <c r="M418" s="135">
        <v>14</v>
      </c>
      <c r="N418" s="135">
        <v>27</v>
      </c>
      <c r="O418" s="135">
        <v>20</v>
      </c>
      <c r="P418" s="218">
        <f t="shared" si="18"/>
        <v>258</v>
      </c>
    </row>
    <row r="419" spans="1:16" x14ac:dyDescent="0.35">
      <c r="A419" s="287"/>
      <c r="B419" s="287"/>
      <c r="C419" s="32" t="s">
        <v>1623</v>
      </c>
      <c r="D419" s="32" t="s">
        <v>1773</v>
      </c>
      <c r="E419" s="32" t="s">
        <v>1836</v>
      </c>
      <c r="F419" s="26" t="s">
        <v>1838</v>
      </c>
      <c r="G419" s="36" t="s">
        <v>1479</v>
      </c>
      <c r="H419" s="34">
        <v>7</v>
      </c>
      <c r="I419" s="34">
        <v>7</v>
      </c>
      <c r="J419" s="34">
        <v>42</v>
      </c>
      <c r="K419" s="34">
        <v>63</v>
      </c>
      <c r="L419" s="135">
        <v>4</v>
      </c>
      <c r="M419" s="135">
        <v>6</v>
      </c>
      <c r="N419" s="135">
        <v>36</v>
      </c>
      <c r="O419" s="135">
        <v>20</v>
      </c>
      <c r="P419" s="218">
        <f t="shared" si="18"/>
        <v>185</v>
      </c>
    </row>
    <row r="420" spans="1:16" x14ac:dyDescent="0.35">
      <c r="A420" s="287"/>
      <c r="B420" s="287"/>
      <c r="C420" s="32" t="s">
        <v>1623</v>
      </c>
      <c r="D420" s="32" t="s">
        <v>1773</v>
      </c>
      <c r="E420" s="32" t="s">
        <v>1836</v>
      </c>
      <c r="F420" s="32" t="s">
        <v>1839</v>
      </c>
      <c r="G420" s="33" t="s">
        <v>1480</v>
      </c>
      <c r="H420" s="34">
        <v>7</v>
      </c>
      <c r="I420" s="34">
        <v>7</v>
      </c>
      <c r="J420" s="34">
        <v>50</v>
      </c>
      <c r="K420" s="34">
        <v>75</v>
      </c>
      <c r="L420" s="135">
        <v>12</v>
      </c>
      <c r="M420" s="135">
        <v>16</v>
      </c>
      <c r="N420" s="135">
        <v>20</v>
      </c>
      <c r="O420" s="135">
        <v>24</v>
      </c>
      <c r="P420" s="218">
        <f t="shared" si="18"/>
        <v>211</v>
      </c>
    </row>
    <row r="421" spans="1:16" x14ac:dyDescent="0.35">
      <c r="A421" s="287"/>
      <c r="B421" s="287"/>
      <c r="C421" s="32" t="s">
        <v>1623</v>
      </c>
      <c r="D421" s="32" t="s">
        <v>1773</v>
      </c>
      <c r="E421" s="32" t="s">
        <v>1836</v>
      </c>
      <c r="F421" s="32" t="s">
        <v>1838</v>
      </c>
      <c r="G421" s="33" t="s">
        <v>1481</v>
      </c>
      <c r="H421" s="34">
        <v>5</v>
      </c>
      <c r="I421" s="34">
        <v>7</v>
      </c>
      <c r="J421" s="34">
        <v>58</v>
      </c>
      <c r="K421" s="34">
        <v>87</v>
      </c>
      <c r="L421" s="135">
        <v>6</v>
      </c>
      <c r="M421" s="135">
        <v>13</v>
      </c>
      <c r="N421" s="135">
        <v>20</v>
      </c>
      <c r="O421" s="135">
        <v>16</v>
      </c>
      <c r="P421" s="218">
        <f t="shared" si="18"/>
        <v>212</v>
      </c>
    </row>
    <row r="422" spans="1:16" x14ac:dyDescent="0.35">
      <c r="A422" s="287"/>
      <c r="B422" s="287"/>
      <c r="C422" s="32" t="s">
        <v>1623</v>
      </c>
      <c r="D422" s="32" t="s">
        <v>1773</v>
      </c>
      <c r="E422" s="32" t="s">
        <v>1836</v>
      </c>
      <c r="F422" s="32" t="s">
        <v>1838</v>
      </c>
      <c r="G422" s="33" t="s">
        <v>1482</v>
      </c>
      <c r="H422" s="34">
        <v>6</v>
      </c>
      <c r="I422" s="34">
        <v>10</v>
      </c>
      <c r="J422" s="34">
        <v>45</v>
      </c>
      <c r="K422" s="34">
        <v>68</v>
      </c>
      <c r="L422" s="135">
        <v>7</v>
      </c>
      <c r="M422" s="135">
        <v>7</v>
      </c>
      <c r="N422" s="135">
        <v>26</v>
      </c>
      <c r="O422" s="135">
        <v>20</v>
      </c>
      <c r="P422" s="218">
        <f t="shared" si="18"/>
        <v>189</v>
      </c>
    </row>
    <row r="423" spans="1:16" x14ac:dyDescent="0.35">
      <c r="A423" s="287"/>
      <c r="B423" s="287"/>
      <c r="C423" s="32" t="s">
        <v>1623</v>
      </c>
      <c r="D423" s="32" t="s">
        <v>1773</v>
      </c>
      <c r="E423" s="32" t="s">
        <v>1836</v>
      </c>
      <c r="F423" s="32" t="s">
        <v>1838</v>
      </c>
      <c r="G423" s="33" t="s">
        <v>1483</v>
      </c>
      <c r="H423" s="34">
        <v>5</v>
      </c>
      <c r="I423" s="34">
        <v>8</v>
      </c>
      <c r="J423" s="34">
        <v>52</v>
      </c>
      <c r="K423" s="34">
        <v>78</v>
      </c>
      <c r="L423" s="135">
        <v>18</v>
      </c>
      <c r="M423" s="135">
        <v>6</v>
      </c>
      <c r="N423" s="135">
        <v>12</v>
      </c>
      <c r="O423" s="135">
        <v>30</v>
      </c>
      <c r="P423" s="218">
        <f t="shared" si="18"/>
        <v>209</v>
      </c>
    </row>
    <row r="424" spans="1:16" x14ac:dyDescent="0.35">
      <c r="A424" s="287"/>
      <c r="B424" s="287"/>
      <c r="C424" s="32" t="s">
        <v>1623</v>
      </c>
      <c r="D424" s="32" t="s">
        <v>1773</v>
      </c>
      <c r="E424" s="32" t="s">
        <v>1836</v>
      </c>
      <c r="F424" s="32" t="s">
        <v>1838</v>
      </c>
      <c r="G424" s="33" t="s">
        <v>1484</v>
      </c>
      <c r="H424" s="34">
        <v>9</v>
      </c>
      <c r="I424" s="34">
        <v>13</v>
      </c>
      <c r="J424" s="34">
        <v>46</v>
      </c>
      <c r="K424" s="34">
        <v>68</v>
      </c>
      <c r="L424" s="135">
        <v>4</v>
      </c>
      <c r="M424" s="135">
        <v>10</v>
      </c>
      <c r="N424" s="135">
        <v>36</v>
      </c>
      <c r="O424" s="135">
        <v>14</v>
      </c>
      <c r="P424" s="218">
        <f t="shared" si="18"/>
        <v>200</v>
      </c>
    </row>
    <row r="425" spans="1:16" x14ac:dyDescent="0.35">
      <c r="A425" s="287"/>
      <c r="B425" s="287"/>
      <c r="C425" s="32" t="s">
        <v>1623</v>
      </c>
      <c r="D425" s="32" t="s">
        <v>1773</v>
      </c>
      <c r="E425" s="32" t="s">
        <v>1836</v>
      </c>
      <c r="F425" s="32" t="s">
        <v>1840</v>
      </c>
      <c r="G425" s="33" t="s">
        <v>1485</v>
      </c>
      <c r="H425" s="34">
        <v>7</v>
      </c>
      <c r="I425" s="34">
        <v>11</v>
      </c>
      <c r="J425" s="34">
        <v>50</v>
      </c>
      <c r="K425" s="34">
        <v>75</v>
      </c>
      <c r="L425" s="135">
        <v>10</v>
      </c>
      <c r="M425" s="135">
        <v>2</v>
      </c>
      <c r="N425" s="135">
        <v>27</v>
      </c>
      <c r="O425" s="135">
        <v>15</v>
      </c>
      <c r="P425" s="218">
        <f t="shared" si="18"/>
        <v>197</v>
      </c>
    </row>
    <row r="426" spans="1:16" x14ac:dyDescent="0.35">
      <c r="A426" s="287"/>
      <c r="B426" s="287"/>
      <c r="C426" s="32" t="s">
        <v>1623</v>
      </c>
      <c r="D426" s="32" t="s">
        <v>1773</v>
      </c>
      <c r="E426" s="32" t="s">
        <v>1836</v>
      </c>
      <c r="F426" s="32" t="s">
        <v>1840</v>
      </c>
      <c r="G426" s="33" t="s">
        <v>1486</v>
      </c>
      <c r="H426" s="34">
        <v>7</v>
      </c>
      <c r="I426" s="34">
        <v>7</v>
      </c>
      <c r="J426" s="34">
        <v>50</v>
      </c>
      <c r="K426" s="34">
        <v>76</v>
      </c>
      <c r="L426" s="135">
        <v>10</v>
      </c>
      <c r="M426" s="135">
        <v>6</v>
      </c>
      <c r="N426" s="135">
        <v>21</v>
      </c>
      <c r="O426" s="135">
        <v>16</v>
      </c>
      <c r="P426" s="218">
        <f t="shared" si="18"/>
        <v>193</v>
      </c>
    </row>
    <row r="427" spans="1:16" x14ac:dyDescent="0.35">
      <c r="A427" s="287"/>
      <c r="B427" s="287"/>
      <c r="C427" s="32" t="s">
        <v>1623</v>
      </c>
      <c r="D427" s="32" t="s">
        <v>1773</v>
      </c>
      <c r="E427" s="32" t="s">
        <v>1836</v>
      </c>
      <c r="F427" s="32" t="s">
        <v>1839</v>
      </c>
      <c r="G427" s="33" t="s">
        <v>1487</v>
      </c>
      <c r="H427" s="34">
        <v>7</v>
      </c>
      <c r="I427" s="34">
        <v>7</v>
      </c>
      <c r="J427" s="34">
        <v>51</v>
      </c>
      <c r="K427" s="34">
        <v>77</v>
      </c>
      <c r="L427" s="135">
        <v>2</v>
      </c>
      <c r="M427" s="135">
        <v>7</v>
      </c>
      <c r="N427" s="135">
        <v>14</v>
      </c>
      <c r="O427" s="135">
        <v>34</v>
      </c>
      <c r="P427" s="218">
        <f t="shared" si="18"/>
        <v>199</v>
      </c>
    </row>
    <row r="428" spans="1:16" x14ac:dyDescent="0.35">
      <c r="A428" s="52"/>
      <c r="B428" s="52"/>
      <c r="C428" s="52"/>
      <c r="D428" s="52"/>
      <c r="E428" s="52"/>
      <c r="F428" s="52"/>
      <c r="G428" s="52" t="s">
        <v>2</v>
      </c>
      <c r="H428" s="197">
        <f>SUM(H412:H427)</f>
        <v>123</v>
      </c>
      <c r="I428" s="197">
        <f t="shared" ref="I428:O428" si="21">SUM(I412:I427)</f>
        <v>171</v>
      </c>
      <c r="J428" s="198">
        <f t="shared" si="21"/>
        <v>821</v>
      </c>
      <c r="K428" s="198">
        <f t="shared" si="21"/>
        <v>1229</v>
      </c>
      <c r="L428" s="199">
        <f t="shared" si="21"/>
        <v>130</v>
      </c>
      <c r="M428" s="199">
        <f t="shared" si="21"/>
        <v>139</v>
      </c>
      <c r="N428" s="200">
        <f t="shared" si="21"/>
        <v>362</v>
      </c>
      <c r="O428" s="200">
        <f t="shared" si="21"/>
        <v>352</v>
      </c>
      <c r="P428" s="217">
        <f t="shared" si="18"/>
        <v>3327</v>
      </c>
    </row>
    <row r="429" spans="1:16" x14ac:dyDescent="0.35">
      <c r="A429" s="287">
        <v>16</v>
      </c>
      <c r="B429" s="287" t="s">
        <v>1909</v>
      </c>
      <c r="C429" s="32" t="s">
        <v>1623</v>
      </c>
      <c r="D429" s="32" t="s">
        <v>1773</v>
      </c>
      <c r="E429" s="32" t="s">
        <v>1848</v>
      </c>
      <c r="F429" s="32" t="s">
        <v>1847</v>
      </c>
      <c r="G429" s="33" t="s">
        <v>1488</v>
      </c>
      <c r="H429" s="34">
        <v>6</v>
      </c>
      <c r="I429" s="34">
        <v>4</v>
      </c>
      <c r="J429" s="34">
        <v>70</v>
      </c>
      <c r="K429" s="34">
        <v>45</v>
      </c>
      <c r="L429" s="135">
        <v>10</v>
      </c>
      <c r="M429" s="135">
        <v>20</v>
      </c>
      <c r="N429" s="135">
        <v>20</v>
      </c>
      <c r="O429" s="135">
        <v>5</v>
      </c>
      <c r="P429" s="218">
        <f t="shared" si="18"/>
        <v>180</v>
      </c>
    </row>
    <row r="430" spans="1:16" x14ac:dyDescent="0.35">
      <c r="A430" s="287"/>
      <c r="B430" s="287"/>
      <c r="C430" s="32" t="s">
        <v>1623</v>
      </c>
      <c r="D430" s="32" t="s">
        <v>1773</v>
      </c>
      <c r="E430" s="32" t="s">
        <v>1842</v>
      </c>
      <c r="F430" s="32" t="s">
        <v>1841</v>
      </c>
      <c r="G430" s="33" t="s">
        <v>1489</v>
      </c>
      <c r="H430" s="21">
        <v>9</v>
      </c>
      <c r="I430" s="21">
        <v>5</v>
      </c>
      <c r="J430" s="21">
        <v>30</v>
      </c>
      <c r="K430" s="21">
        <v>35</v>
      </c>
      <c r="L430" s="135">
        <v>6</v>
      </c>
      <c r="M430" s="135">
        <v>8</v>
      </c>
      <c r="N430" s="135">
        <v>17</v>
      </c>
      <c r="O430" s="135">
        <v>18</v>
      </c>
      <c r="P430" s="218">
        <f t="shared" si="18"/>
        <v>128</v>
      </c>
    </row>
    <row r="431" spans="1:16" x14ac:dyDescent="0.35">
      <c r="A431" s="287"/>
      <c r="B431" s="287"/>
      <c r="C431" s="32" t="s">
        <v>1623</v>
      </c>
      <c r="D431" s="32" t="s">
        <v>1773</v>
      </c>
      <c r="E431" s="32" t="s">
        <v>1842</v>
      </c>
      <c r="F431" s="32" t="s">
        <v>1843</v>
      </c>
      <c r="G431" s="33" t="s">
        <v>1490</v>
      </c>
      <c r="H431" s="21">
        <v>8</v>
      </c>
      <c r="I431" s="21">
        <v>5</v>
      </c>
      <c r="J431" s="21">
        <v>32</v>
      </c>
      <c r="K431" s="21">
        <v>25</v>
      </c>
      <c r="L431" s="135">
        <v>6</v>
      </c>
      <c r="M431" s="135">
        <v>8</v>
      </c>
      <c r="N431" s="135">
        <v>9</v>
      </c>
      <c r="O431" s="135">
        <v>5</v>
      </c>
      <c r="P431" s="218">
        <f t="shared" si="18"/>
        <v>98</v>
      </c>
    </row>
    <row r="432" spans="1:16" x14ac:dyDescent="0.35">
      <c r="A432" s="287"/>
      <c r="B432" s="287"/>
      <c r="C432" s="32" t="s">
        <v>1623</v>
      </c>
      <c r="D432" s="32" t="s">
        <v>1773</v>
      </c>
      <c r="E432" s="32" t="s">
        <v>1842</v>
      </c>
      <c r="F432" s="32" t="s">
        <v>1843</v>
      </c>
      <c r="G432" s="33" t="s">
        <v>1491</v>
      </c>
      <c r="H432" s="34">
        <v>5</v>
      </c>
      <c r="I432" s="34">
        <v>3</v>
      </c>
      <c r="J432" s="21">
        <v>35</v>
      </c>
      <c r="K432" s="21">
        <v>40</v>
      </c>
      <c r="L432" s="135">
        <v>3</v>
      </c>
      <c r="M432" s="135">
        <v>7</v>
      </c>
      <c r="N432" s="135">
        <v>9</v>
      </c>
      <c r="O432" s="135">
        <v>6</v>
      </c>
      <c r="P432" s="218">
        <f t="shared" si="18"/>
        <v>108</v>
      </c>
    </row>
    <row r="433" spans="1:16" x14ac:dyDescent="0.35">
      <c r="A433" s="287"/>
      <c r="B433" s="287"/>
      <c r="C433" s="32" t="s">
        <v>1623</v>
      </c>
      <c r="D433" s="32" t="s">
        <v>1773</v>
      </c>
      <c r="E433" s="32" t="s">
        <v>1842</v>
      </c>
      <c r="F433" s="32" t="s">
        <v>1841</v>
      </c>
      <c r="G433" s="33" t="s">
        <v>1300</v>
      </c>
      <c r="H433" s="21">
        <v>0</v>
      </c>
      <c r="I433" s="21">
        <v>2</v>
      </c>
      <c r="J433" s="21">
        <v>51</v>
      </c>
      <c r="K433" s="21">
        <v>35</v>
      </c>
      <c r="L433" s="135">
        <v>9</v>
      </c>
      <c r="M433" s="135">
        <v>7</v>
      </c>
      <c r="N433" s="135">
        <v>18</v>
      </c>
      <c r="O433" s="135">
        <v>12</v>
      </c>
      <c r="P433" s="218">
        <f t="shared" si="18"/>
        <v>134</v>
      </c>
    </row>
    <row r="434" spans="1:16" x14ac:dyDescent="0.35">
      <c r="A434" s="287"/>
      <c r="B434" s="287"/>
      <c r="C434" s="32" t="s">
        <v>1623</v>
      </c>
      <c r="D434" s="32" t="s">
        <v>1773</v>
      </c>
      <c r="E434" s="32" t="s">
        <v>1842</v>
      </c>
      <c r="F434" s="32" t="s">
        <v>1841</v>
      </c>
      <c r="G434" s="33" t="s">
        <v>1492</v>
      </c>
      <c r="H434" s="21">
        <v>2</v>
      </c>
      <c r="I434" s="21">
        <v>4</v>
      </c>
      <c r="J434" s="21">
        <v>17</v>
      </c>
      <c r="K434" s="21">
        <v>24</v>
      </c>
      <c r="L434" s="135">
        <v>8</v>
      </c>
      <c r="M434" s="135">
        <v>9</v>
      </c>
      <c r="N434" s="135">
        <v>14</v>
      </c>
      <c r="O434" s="135">
        <v>19</v>
      </c>
      <c r="P434" s="218">
        <f t="shared" si="18"/>
        <v>97</v>
      </c>
    </row>
    <row r="435" spans="1:16" x14ac:dyDescent="0.35">
      <c r="A435" s="287"/>
      <c r="B435" s="287"/>
      <c r="C435" s="32" t="s">
        <v>1623</v>
      </c>
      <c r="D435" s="32" t="s">
        <v>1773</v>
      </c>
      <c r="E435" s="32" t="s">
        <v>1842</v>
      </c>
      <c r="F435" s="32" t="s">
        <v>1841</v>
      </c>
      <c r="G435" s="33" t="s">
        <v>1493</v>
      </c>
      <c r="H435" s="21">
        <v>2</v>
      </c>
      <c r="I435" s="21">
        <v>4</v>
      </c>
      <c r="J435" s="21">
        <v>21</v>
      </c>
      <c r="K435" s="21">
        <v>22</v>
      </c>
      <c r="L435" s="135">
        <v>10</v>
      </c>
      <c r="M435" s="135">
        <v>10</v>
      </c>
      <c r="N435" s="135">
        <v>10</v>
      </c>
      <c r="O435" s="135">
        <v>10</v>
      </c>
      <c r="P435" s="218">
        <f t="shared" si="18"/>
        <v>89</v>
      </c>
    </row>
    <row r="436" spans="1:16" x14ac:dyDescent="0.35">
      <c r="A436" s="287"/>
      <c r="B436" s="287"/>
      <c r="C436" s="32" t="s">
        <v>1623</v>
      </c>
      <c r="D436" s="32" t="s">
        <v>1773</v>
      </c>
      <c r="E436" s="32" t="s">
        <v>1842</v>
      </c>
      <c r="F436" s="32" t="s">
        <v>1847</v>
      </c>
      <c r="G436" s="33" t="s">
        <v>1917</v>
      </c>
      <c r="H436" s="21">
        <v>4</v>
      </c>
      <c r="I436" s="21">
        <v>1</v>
      </c>
      <c r="J436" s="21">
        <v>34</v>
      </c>
      <c r="K436" s="21">
        <v>37</v>
      </c>
      <c r="L436" s="135">
        <v>12</v>
      </c>
      <c r="M436" s="135">
        <v>10</v>
      </c>
      <c r="N436" s="135">
        <v>18</v>
      </c>
      <c r="O436" s="135">
        <v>12</v>
      </c>
      <c r="P436" s="218">
        <f t="shared" si="18"/>
        <v>128</v>
      </c>
    </row>
    <row r="437" spans="1:16" x14ac:dyDescent="0.35">
      <c r="A437" s="287"/>
      <c r="B437" s="287"/>
      <c r="C437" s="32" t="s">
        <v>1623</v>
      </c>
      <c r="D437" s="32" t="s">
        <v>1773</v>
      </c>
      <c r="E437" s="32" t="s">
        <v>1842</v>
      </c>
      <c r="F437" s="32" t="s">
        <v>1841</v>
      </c>
      <c r="G437" s="33" t="s">
        <v>1494</v>
      </c>
      <c r="H437" s="21">
        <v>2</v>
      </c>
      <c r="I437" s="21">
        <v>1</v>
      </c>
      <c r="J437" s="21">
        <v>35</v>
      </c>
      <c r="K437" s="21">
        <v>28</v>
      </c>
      <c r="L437" s="135">
        <v>5</v>
      </c>
      <c r="M437" s="135">
        <v>6</v>
      </c>
      <c r="N437" s="135">
        <v>10</v>
      </c>
      <c r="O437" s="135">
        <v>10</v>
      </c>
      <c r="P437" s="218">
        <f t="shared" si="18"/>
        <v>97</v>
      </c>
    </row>
    <row r="438" spans="1:16" x14ac:dyDescent="0.35">
      <c r="A438" s="287"/>
      <c r="B438" s="287"/>
      <c r="C438" s="32" t="s">
        <v>1623</v>
      </c>
      <c r="D438" s="32" t="s">
        <v>1773</v>
      </c>
      <c r="E438" s="32" t="s">
        <v>1842</v>
      </c>
      <c r="F438" s="32" t="s">
        <v>1841</v>
      </c>
      <c r="G438" s="33" t="s">
        <v>1495</v>
      </c>
      <c r="H438" s="34">
        <v>4</v>
      </c>
      <c r="I438" s="34">
        <v>10</v>
      </c>
      <c r="J438" s="21">
        <v>26</v>
      </c>
      <c r="K438" s="21">
        <v>32</v>
      </c>
      <c r="L438" s="135">
        <v>2</v>
      </c>
      <c r="M438" s="135">
        <v>4</v>
      </c>
      <c r="N438" s="135">
        <v>5</v>
      </c>
      <c r="O438" s="135">
        <v>7</v>
      </c>
      <c r="P438" s="218">
        <f t="shared" si="18"/>
        <v>90</v>
      </c>
    </row>
    <row r="439" spans="1:16" x14ac:dyDescent="0.35">
      <c r="A439" s="287"/>
      <c r="B439" s="287"/>
      <c r="C439" s="32" t="s">
        <v>1623</v>
      </c>
      <c r="D439" s="32" t="s">
        <v>1773</v>
      </c>
      <c r="E439" s="32" t="s">
        <v>1842</v>
      </c>
      <c r="F439" s="32" t="s">
        <v>1843</v>
      </c>
      <c r="G439" s="33" t="s">
        <v>1350</v>
      </c>
      <c r="H439" s="21">
        <v>4</v>
      </c>
      <c r="I439" s="21">
        <v>6</v>
      </c>
      <c r="J439" s="21">
        <v>32</v>
      </c>
      <c r="K439" s="21">
        <v>57</v>
      </c>
      <c r="L439" s="135">
        <v>11</v>
      </c>
      <c r="M439" s="135">
        <v>9</v>
      </c>
      <c r="N439" s="135">
        <v>8</v>
      </c>
      <c r="O439" s="135">
        <v>10</v>
      </c>
      <c r="P439" s="218">
        <f t="shared" si="18"/>
        <v>137</v>
      </c>
    </row>
    <row r="440" spans="1:16" x14ac:dyDescent="0.35">
      <c r="A440" s="287"/>
      <c r="B440" s="287"/>
      <c r="C440" s="32" t="s">
        <v>1623</v>
      </c>
      <c r="D440" s="32" t="s">
        <v>1773</v>
      </c>
      <c r="E440" s="32" t="s">
        <v>1842</v>
      </c>
      <c r="F440" s="32" t="s">
        <v>1844</v>
      </c>
      <c r="G440" s="33" t="s">
        <v>1496</v>
      </c>
      <c r="H440" s="21">
        <v>8</v>
      </c>
      <c r="I440" s="21">
        <v>15</v>
      </c>
      <c r="J440" s="21">
        <v>25</v>
      </c>
      <c r="K440" s="21">
        <v>52</v>
      </c>
      <c r="L440" s="135">
        <v>3</v>
      </c>
      <c r="M440" s="135">
        <v>3</v>
      </c>
      <c r="N440" s="135">
        <v>9</v>
      </c>
      <c r="O440" s="135">
        <v>5</v>
      </c>
      <c r="P440" s="218">
        <f t="shared" si="18"/>
        <v>120</v>
      </c>
    </row>
    <row r="441" spans="1:16" x14ac:dyDescent="0.35">
      <c r="A441" s="287"/>
      <c r="B441" s="287"/>
      <c r="C441" s="32" t="s">
        <v>1623</v>
      </c>
      <c r="D441" s="32" t="s">
        <v>1773</v>
      </c>
      <c r="E441" s="32" t="s">
        <v>1842</v>
      </c>
      <c r="F441" s="32" t="s">
        <v>1844</v>
      </c>
      <c r="G441" s="33" t="s">
        <v>1497</v>
      </c>
      <c r="H441" s="21">
        <v>0</v>
      </c>
      <c r="I441" s="21">
        <v>1</v>
      </c>
      <c r="J441" s="21">
        <v>7</v>
      </c>
      <c r="K441" s="21">
        <v>16</v>
      </c>
      <c r="L441" s="135">
        <v>8</v>
      </c>
      <c r="M441" s="135">
        <v>2</v>
      </c>
      <c r="N441" s="135">
        <v>18</v>
      </c>
      <c r="O441" s="135">
        <v>8</v>
      </c>
      <c r="P441" s="218">
        <f t="shared" si="18"/>
        <v>60</v>
      </c>
    </row>
    <row r="442" spans="1:16" x14ac:dyDescent="0.35">
      <c r="A442" s="287"/>
      <c r="B442" s="287"/>
      <c r="C442" s="32" t="s">
        <v>1623</v>
      </c>
      <c r="D442" s="32" t="s">
        <v>1773</v>
      </c>
      <c r="E442" s="32" t="s">
        <v>1842</v>
      </c>
      <c r="F442" s="32" t="s">
        <v>1845</v>
      </c>
      <c r="G442" s="33" t="s">
        <v>1498</v>
      </c>
      <c r="H442" s="21">
        <v>7</v>
      </c>
      <c r="I442" s="21">
        <v>12</v>
      </c>
      <c r="J442" s="21">
        <v>81</v>
      </c>
      <c r="K442" s="21">
        <v>76</v>
      </c>
      <c r="L442" s="135">
        <v>19</v>
      </c>
      <c r="M442" s="135">
        <v>21</v>
      </c>
      <c r="N442" s="135">
        <v>30</v>
      </c>
      <c r="O442" s="135">
        <v>33</v>
      </c>
      <c r="P442" s="218">
        <f t="shared" si="18"/>
        <v>279</v>
      </c>
    </row>
    <row r="443" spans="1:16" x14ac:dyDescent="0.35">
      <c r="A443" s="287"/>
      <c r="B443" s="287"/>
      <c r="C443" s="32" t="s">
        <v>1623</v>
      </c>
      <c r="D443" s="32" t="s">
        <v>1773</v>
      </c>
      <c r="E443" s="32" t="s">
        <v>1848</v>
      </c>
      <c r="F443" s="32" t="s">
        <v>1847</v>
      </c>
      <c r="G443" s="33" t="s">
        <v>1499</v>
      </c>
      <c r="H443" s="21">
        <v>2</v>
      </c>
      <c r="I443" s="21">
        <v>3</v>
      </c>
      <c r="J443" s="21">
        <v>36</v>
      </c>
      <c r="K443" s="21">
        <v>45</v>
      </c>
      <c r="L443" s="135">
        <v>1</v>
      </c>
      <c r="M443" s="135">
        <v>9</v>
      </c>
      <c r="N443" s="135">
        <v>12</v>
      </c>
      <c r="O443" s="135">
        <v>13</v>
      </c>
      <c r="P443" s="218">
        <f t="shared" si="18"/>
        <v>121</v>
      </c>
    </row>
    <row r="444" spans="1:16" x14ac:dyDescent="0.35">
      <c r="A444" s="287"/>
      <c r="B444" s="287"/>
      <c r="C444" s="32" t="s">
        <v>1623</v>
      </c>
      <c r="D444" s="32" t="s">
        <v>1773</v>
      </c>
      <c r="E444" s="32" t="s">
        <v>1842</v>
      </c>
      <c r="F444" s="32" t="s">
        <v>1844</v>
      </c>
      <c r="G444" s="33" t="s">
        <v>1500</v>
      </c>
      <c r="H444" s="21">
        <v>2</v>
      </c>
      <c r="I444" s="21">
        <v>1</v>
      </c>
      <c r="J444" s="21">
        <v>92</v>
      </c>
      <c r="K444" s="21">
        <v>15</v>
      </c>
      <c r="L444" s="135">
        <v>2</v>
      </c>
      <c r="M444" s="135">
        <v>3</v>
      </c>
      <c r="N444" s="135">
        <v>10</v>
      </c>
      <c r="O444" s="135">
        <v>14</v>
      </c>
      <c r="P444" s="218">
        <f t="shared" si="18"/>
        <v>139</v>
      </c>
    </row>
    <row r="445" spans="1:16" x14ac:dyDescent="0.35">
      <c r="A445" s="287"/>
      <c r="B445" s="287"/>
      <c r="C445" s="32" t="s">
        <v>1623</v>
      </c>
      <c r="D445" s="32" t="s">
        <v>1773</v>
      </c>
      <c r="E445" s="32" t="s">
        <v>1842</v>
      </c>
      <c r="F445" s="32" t="s">
        <v>1841</v>
      </c>
      <c r="G445" s="33" t="s">
        <v>1501</v>
      </c>
      <c r="H445" s="21">
        <v>1</v>
      </c>
      <c r="I445" s="21">
        <v>2</v>
      </c>
      <c r="J445" s="21">
        <v>21</v>
      </c>
      <c r="K445" s="21">
        <v>19</v>
      </c>
      <c r="L445" s="135">
        <v>5</v>
      </c>
      <c r="M445" s="135">
        <v>5</v>
      </c>
      <c r="N445" s="135">
        <v>9</v>
      </c>
      <c r="O445" s="135">
        <v>8</v>
      </c>
      <c r="P445" s="218">
        <f t="shared" si="18"/>
        <v>70</v>
      </c>
    </row>
    <row r="446" spans="1:16" x14ac:dyDescent="0.35">
      <c r="A446" s="287"/>
      <c r="B446" s="287"/>
      <c r="C446" s="32" t="s">
        <v>1623</v>
      </c>
      <c r="D446" s="32" t="s">
        <v>1773</v>
      </c>
      <c r="E446" s="32" t="s">
        <v>1842</v>
      </c>
      <c r="F446" s="32" t="s">
        <v>1845</v>
      </c>
      <c r="G446" s="33" t="s">
        <v>1502</v>
      </c>
      <c r="H446" s="34">
        <v>4</v>
      </c>
      <c r="I446" s="34">
        <v>6</v>
      </c>
      <c r="J446" s="34">
        <v>31</v>
      </c>
      <c r="K446" s="34">
        <v>37</v>
      </c>
      <c r="L446" s="135">
        <v>2</v>
      </c>
      <c r="M446" s="135">
        <v>4</v>
      </c>
      <c r="N446" s="135">
        <v>18</v>
      </c>
      <c r="O446" s="135">
        <v>22</v>
      </c>
      <c r="P446" s="218">
        <f t="shared" si="18"/>
        <v>124</v>
      </c>
    </row>
    <row r="447" spans="1:16" x14ac:dyDescent="0.35">
      <c r="A447" s="287"/>
      <c r="B447" s="287"/>
      <c r="C447" s="32" t="s">
        <v>1623</v>
      </c>
      <c r="D447" s="32" t="s">
        <v>1773</v>
      </c>
      <c r="E447" s="32" t="s">
        <v>1842</v>
      </c>
      <c r="F447" s="32" t="s">
        <v>1844</v>
      </c>
      <c r="G447" s="33" t="s">
        <v>1503</v>
      </c>
      <c r="H447" s="21">
        <v>3</v>
      </c>
      <c r="I447" s="21">
        <v>2</v>
      </c>
      <c r="J447" s="21">
        <v>20</v>
      </c>
      <c r="K447" s="21">
        <v>23</v>
      </c>
      <c r="L447" s="135">
        <v>5</v>
      </c>
      <c r="M447" s="135">
        <v>3</v>
      </c>
      <c r="N447" s="135">
        <v>5</v>
      </c>
      <c r="O447" s="135">
        <v>8</v>
      </c>
      <c r="P447" s="218">
        <f t="shared" si="18"/>
        <v>69</v>
      </c>
    </row>
    <row r="448" spans="1:16" x14ac:dyDescent="0.35">
      <c r="A448" s="287"/>
      <c r="B448" s="287"/>
      <c r="C448" s="32" t="s">
        <v>1623</v>
      </c>
      <c r="D448" s="32" t="s">
        <v>1773</v>
      </c>
      <c r="E448" s="72" t="s">
        <v>1842</v>
      </c>
      <c r="F448" s="72" t="s">
        <v>1843</v>
      </c>
      <c r="G448" s="36" t="s">
        <v>1504</v>
      </c>
      <c r="H448" s="21">
        <v>3</v>
      </c>
      <c r="I448" s="21">
        <v>1</v>
      </c>
      <c r="J448" s="21">
        <v>41</v>
      </c>
      <c r="K448" s="21">
        <v>43</v>
      </c>
      <c r="L448" s="135">
        <v>14</v>
      </c>
      <c r="M448" s="135">
        <v>7</v>
      </c>
      <c r="N448" s="135">
        <v>20</v>
      </c>
      <c r="O448" s="135">
        <v>15</v>
      </c>
      <c r="P448" s="218">
        <f t="shared" si="18"/>
        <v>144</v>
      </c>
    </row>
    <row r="449" spans="1:16" x14ac:dyDescent="0.35">
      <c r="A449" s="287"/>
      <c r="B449" s="287"/>
      <c r="C449" s="32" t="s">
        <v>1623</v>
      </c>
      <c r="D449" s="32" t="s">
        <v>1773</v>
      </c>
      <c r="E449" s="32" t="s">
        <v>1842</v>
      </c>
      <c r="F449" s="32" t="s">
        <v>1844</v>
      </c>
      <c r="G449" s="33" t="s">
        <v>1505</v>
      </c>
      <c r="H449" s="21">
        <v>5</v>
      </c>
      <c r="I449" s="21">
        <v>2</v>
      </c>
      <c r="J449" s="21">
        <v>18</v>
      </c>
      <c r="K449" s="21">
        <v>35</v>
      </c>
      <c r="L449" s="135">
        <v>3</v>
      </c>
      <c r="M449" s="135">
        <v>7</v>
      </c>
      <c r="N449" s="135">
        <v>13</v>
      </c>
      <c r="O449" s="135">
        <v>7</v>
      </c>
      <c r="P449" s="218">
        <f t="shared" si="18"/>
        <v>90</v>
      </c>
    </row>
    <row r="450" spans="1:16" x14ac:dyDescent="0.35">
      <c r="A450" s="287"/>
      <c r="B450" s="287"/>
      <c r="C450" s="32" t="s">
        <v>1623</v>
      </c>
      <c r="D450" s="32" t="s">
        <v>1773</v>
      </c>
      <c r="E450" s="32" t="s">
        <v>1842</v>
      </c>
      <c r="F450" s="32" t="s">
        <v>1845</v>
      </c>
      <c r="G450" s="33" t="s">
        <v>1506</v>
      </c>
      <c r="H450" s="21">
        <v>2</v>
      </c>
      <c r="I450" s="21">
        <v>4</v>
      </c>
      <c r="J450" s="21">
        <v>26</v>
      </c>
      <c r="K450" s="21">
        <v>28</v>
      </c>
      <c r="L450" s="135">
        <v>4</v>
      </c>
      <c r="M450" s="135">
        <v>7</v>
      </c>
      <c r="N450" s="135">
        <v>11</v>
      </c>
      <c r="O450" s="135">
        <v>3</v>
      </c>
      <c r="P450" s="218">
        <f t="shared" si="18"/>
        <v>85</v>
      </c>
    </row>
    <row r="451" spans="1:16" x14ac:dyDescent="0.35">
      <c r="A451" s="287"/>
      <c r="B451" s="287"/>
      <c r="C451" s="32" t="s">
        <v>1623</v>
      </c>
      <c r="D451" s="32" t="s">
        <v>1773</v>
      </c>
      <c r="E451" s="32" t="s">
        <v>1848</v>
      </c>
      <c r="F451" s="32" t="s">
        <v>1847</v>
      </c>
      <c r="G451" s="33" t="s">
        <v>1507</v>
      </c>
      <c r="H451" s="21">
        <v>4</v>
      </c>
      <c r="I451" s="21">
        <v>6</v>
      </c>
      <c r="J451" s="21">
        <v>47</v>
      </c>
      <c r="K451" s="21">
        <v>58</v>
      </c>
      <c r="L451" s="135">
        <v>14</v>
      </c>
      <c r="M451" s="135">
        <v>16</v>
      </c>
      <c r="N451" s="135">
        <v>22</v>
      </c>
      <c r="O451" s="135">
        <v>23</v>
      </c>
      <c r="P451" s="218">
        <f t="shared" si="18"/>
        <v>190</v>
      </c>
    </row>
    <row r="452" spans="1:16" x14ac:dyDescent="0.35">
      <c r="A452" s="287"/>
      <c r="B452" s="287"/>
      <c r="C452" s="32" t="s">
        <v>1623</v>
      </c>
      <c r="D452" s="32" t="s">
        <v>1773</v>
      </c>
      <c r="E452" s="32" t="s">
        <v>1848</v>
      </c>
      <c r="F452" s="32" t="s">
        <v>1847</v>
      </c>
      <c r="G452" s="33" t="s">
        <v>1508</v>
      </c>
      <c r="H452" s="34">
        <v>7</v>
      </c>
      <c r="I452" s="34">
        <v>3</v>
      </c>
      <c r="J452" s="21">
        <v>23</v>
      </c>
      <c r="K452" s="21">
        <v>21</v>
      </c>
      <c r="L452" s="135">
        <v>5</v>
      </c>
      <c r="M452" s="135">
        <v>6</v>
      </c>
      <c r="N452" s="135">
        <v>7</v>
      </c>
      <c r="O452" s="135">
        <v>5</v>
      </c>
      <c r="P452" s="218">
        <f t="shared" si="18"/>
        <v>77</v>
      </c>
    </row>
    <row r="453" spans="1:16" x14ac:dyDescent="0.35">
      <c r="A453" s="287"/>
      <c r="B453" s="287"/>
      <c r="C453" s="32" t="s">
        <v>1623</v>
      </c>
      <c r="D453" s="32" t="s">
        <v>1773</v>
      </c>
      <c r="E453" s="32" t="s">
        <v>1848</v>
      </c>
      <c r="F453" s="32" t="s">
        <v>1847</v>
      </c>
      <c r="G453" s="33" t="s">
        <v>1509</v>
      </c>
      <c r="H453" s="21">
        <v>2</v>
      </c>
      <c r="I453" s="21">
        <v>2</v>
      </c>
      <c r="J453" s="21">
        <v>36</v>
      </c>
      <c r="K453" s="21">
        <v>37</v>
      </c>
      <c r="L453" s="135">
        <v>12</v>
      </c>
      <c r="M453" s="135">
        <v>18</v>
      </c>
      <c r="N453" s="135">
        <v>4</v>
      </c>
      <c r="O453" s="135">
        <v>5</v>
      </c>
      <c r="P453" s="218">
        <f t="shared" si="18"/>
        <v>116</v>
      </c>
    </row>
    <row r="454" spans="1:16" x14ac:dyDescent="0.35">
      <c r="A454" s="287"/>
      <c r="B454" s="287"/>
      <c r="C454" s="32" t="s">
        <v>1623</v>
      </c>
      <c r="D454" s="32" t="s">
        <v>1773</v>
      </c>
      <c r="E454" s="32" t="s">
        <v>1842</v>
      </c>
      <c r="F454" s="32" t="s">
        <v>1845</v>
      </c>
      <c r="G454" s="33" t="s">
        <v>1510</v>
      </c>
      <c r="H454" s="21">
        <v>3</v>
      </c>
      <c r="I454" s="21">
        <v>4</v>
      </c>
      <c r="J454" s="21">
        <v>36</v>
      </c>
      <c r="K454" s="21">
        <v>45</v>
      </c>
      <c r="L454" s="135">
        <v>5</v>
      </c>
      <c r="M454" s="135">
        <v>10</v>
      </c>
      <c r="N454" s="135">
        <v>11</v>
      </c>
      <c r="O454" s="135">
        <v>8</v>
      </c>
      <c r="P454" s="218">
        <f t="shared" ref="P454:P517" si="22">H454+I454+J454+K454+L454+M454+N454+O454</f>
        <v>122</v>
      </c>
    </row>
    <row r="455" spans="1:16" x14ac:dyDescent="0.35">
      <c r="A455" s="287"/>
      <c r="B455" s="287"/>
      <c r="C455" s="32" t="s">
        <v>1623</v>
      </c>
      <c r="D455" s="32" t="s">
        <v>1773</v>
      </c>
      <c r="E455" s="32" t="s">
        <v>1842</v>
      </c>
      <c r="F455" s="32" t="s">
        <v>1845</v>
      </c>
      <c r="G455" s="33" t="s">
        <v>1511</v>
      </c>
      <c r="H455" s="34">
        <v>2</v>
      </c>
      <c r="I455" s="34">
        <v>1</v>
      </c>
      <c r="J455" s="21">
        <v>28</v>
      </c>
      <c r="K455" s="21">
        <v>22</v>
      </c>
      <c r="L455" s="135">
        <v>2</v>
      </c>
      <c r="M455" s="135">
        <v>0</v>
      </c>
      <c r="N455" s="135">
        <v>8</v>
      </c>
      <c r="O455" s="135">
        <v>10</v>
      </c>
      <c r="P455" s="218">
        <f t="shared" si="22"/>
        <v>73</v>
      </c>
    </row>
    <row r="456" spans="1:16" x14ac:dyDescent="0.35">
      <c r="A456" s="287"/>
      <c r="B456" s="287"/>
      <c r="C456" s="32" t="s">
        <v>1623</v>
      </c>
      <c r="D456" s="32" t="s">
        <v>1773</v>
      </c>
      <c r="E456" s="32" t="s">
        <v>1842</v>
      </c>
      <c r="F456" s="32" t="s">
        <v>1844</v>
      </c>
      <c r="G456" s="33" t="s">
        <v>1512</v>
      </c>
      <c r="H456" s="21">
        <v>6</v>
      </c>
      <c r="I456" s="21">
        <v>7</v>
      </c>
      <c r="J456" s="21">
        <v>34</v>
      </c>
      <c r="K456" s="21">
        <v>37</v>
      </c>
      <c r="L456" s="135">
        <v>11</v>
      </c>
      <c r="M456" s="135">
        <v>17</v>
      </c>
      <c r="N456" s="135">
        <v>18</v>
      </c>
      <c r="O456" s="135">
        <v>17</v>
      </c>
      <c r="P456" s="218">
        <f t="shared" si="22"/>
        <v>147</v>
      </c>
    </row>
    <row r="457" spans="1:16" x14ac:dyDescent="0.35">
      <c r="A457" s="287"/>
      <c r="B457" s="287"/>
      <c r="C457" s="32" t="s">
        <v>1623</v>
      </c>
      <c r="D457" s="32" t="s">
        <v>1773</v>
      </c>
      <c r="E457" s="32" t="s">
        <v>1848</v>
      </c>
      <c r="F457" s="32" t="s">
        <v>1849</v>
      </c>
      <c r="G457" s="33" t="s">
        <v>1513</v>
      </c>
      <c r="H457" s="34">
        <v>8</v>
      </c>
      <c r="I457" s="34">
        <v>2</v>
      </c>
      <c r="J457" s="34">
        <v>220</v>
      </c>
      <c r="K457" s="34">
        <v>140</v>
      </c>
      <c r="L457" s="135">
        <v>100</v>
      </c>
      <c r="M457" s="135">
        <v>50</v>
      </c>
      <c r="N457" s="135">
        <v>40</v>
      </c>
      <c r="O457" s="135">
        <v>50</v>
      </c>
      <c r="P457" s="218">
        <f t="shared" si="22"/>
        <v>610</v>
      </c>
    </row>
    <row r="458" spans="1:16" x14ac:dyDescent="0.35">
      <c r="A458" s="287"/>
      <c r="B458" s="287"/>
      <c r="C458" s="32" t="s">
        <v>1623</v>
      </c>
      <c r="D458" s="32" t="s">
        <v>1773</v>
      </c>
      <c r="E458" s="32" t="s">
        <v>1848</v>
      </c>
      <c r="F458" s="32" t="s">
        <v>1847</v>
      </c>
      <c r="G458" s="33" t="s">
        <v>1514</v>
      </c>
      <c r="H458" s="21">
        <v>1</v>
      </c>
      <c r="I458" s="21">
        <v>3</v>
      </c>
      <c r="J458" s="21">
        <v>42</v>
      </c>
      <c r="K458" s="21">
        <v>51</v>
      </c>
      <c r="L458" s="135">
        <v>12</v>
      </c>
      <c r="M458" s="135">
        <v>14</v>
      </c>
      <c r="N458" s="135">
        <v>10</v>
      </c>
      <c r="O458" s="135">
        <v>12</v>
      </c>
      <c r="P458" s="218">
        <f t="shared" si="22"/>
        <v>145</v>
      </c>
    </row>
    <row r="459" spans="1:16" x14ac:dyDescent="0.35">
      <c r="A459" s="287"/>
      <c r="B459" s="287"/>
      <c r="C459" s="32" t="s">
        <v>1623</v>
      </c>
      <c r="D459" s="32" t="s">
        <v>1773</v>
      </c>
      <c r="E459" s="32" t="s">
        <v>1842</v>
      </c>
      <c r="F459" s="32" t="s">
        <v>1841</v>
      </c>
      <c r="G459" s="33" t="s">
        <v>1515</v>
      </c>
      <c r="H459" s="21">
        <v>7</v>
      </c>
      <c r="I459" s="21">
        <v>5</v>
      </c>
      <c r="J459" s="21">
        <v>57</v>
      </c>
      <c r="K459" s="21">
        <v>74</v>
      </c>
      <c r="L459" s="135">
        <v>25</v>
      </c>
      <c r="M459" s="135">
        <v>22</v>
      </c>
      <c r="N459" s="135">
        <v>28</v>
      </c>
      <c r="O459" s="135">
        <v>20</v>
      </c>
      <c r="P459" s="218">
        <f t="shared" si="22"/>
        <v>238</v>
      </c>
    </row>
    <row r="460" spans="1:16" x14ac:dyDescent="0.35">
      <c r="A460" s="287"/>
      <c r="B460" s="287"/>
      <c r="C460" s="32" t="s">
        <v>1623</v>
      </c>
      <c r="D460" s="32" t="s">
        <v>1773</v>
      </c>
      <c r="E460" s="32" t="s">
        <v>1842</v>
      </c>
      <c r="F460" s="32" t="s">
        <v>1847</v>
      </c>
      <c r="G460" s="33" t="s">
        <v>1516</v>
      </c>
      <c r="H460" s="21">
        <v>8</v>
      </c>
      <c r="I460" s="21">
        <v>4</v>
      </c>
      <c r="J460" s="21">
        <v>66</v>
      </c>
      <c r="K460" s="21">
        <v>53</v>
      </c>
      <c r="L460" s="135">
        <v>12</v>
      </c>
      <c r="M460" s="135">
        <v>8</v>
      </c>
      <c r="N460" s="135">
        <v>15</v>
      </c>
      <c r="O460" s="135">
        <v>10</v>
      </c>
      <c r="P460" s="218">
        <f t="shared" si="22"/>
        <v>176</v>
      </c>
    </row>
    <row r="461" spans="1:16" x14ac:dyDescent="0.35">
      <c r="A461" s="287"/>
      <c r="B461" s="287"/>
      <c r="C461" s="32" t="s">
        <v>1623</v>
      </c>
      <c r="D461" s="32" t="s">
        <v>1773</v>
      </c>
      <c r="E461" s="32" t="s">
        <v>1842</v>
      </c>
      <c r="F461" s="32" t="s">
        <v>1845</v>
      </c>
      <c r="G461" s="33" t="s">
        <v>1517</v>
      </c>
      <c r="H461" s="21">
        <v>4</v>
      </c>
      <c r="I461" s="21">
        <v>3</v>
      </c>
      <c r="J461" s="21">
        <v>44</v>
      </c>
      <c r="K461" s="21">
        <v>30</v>
      </c>
      <c r="L461" s="135">
        <v>11</v>
      </c>
      <c r="M461" s="135">
        <v>9</v>
      </c>
      <c r="N461" s="135">
        <v>17</v>
      </c>
      <c r="O461" s="135">
        <v>13</v>
      </c>
      <c r="P461" s="218">
        <f t="shared" si="22"/>
        <v>131</v>
      </c>
    </row>
    <row r="462" spans="1:16" x14ac:dyDescent="0.35">
      <c r="A462" s="287"/>
      <c r="B462" s="287"/>
      <c r="C462" s="32" t="s">
        <v>1623</v>
      </c>
      <c r="D462" s="32" t="s">
        <v>1773</v>
      </c>
      <c r="E462" s="32" t="s">
        <v>1842</v>
      </c>
      <c r="F462" s="32" t="s">
        <v>1841</v>
      </c>
      <c r="G462" s="33" t="s">
        <v>1518</v>
      </c>
      <c r="H462" s="21">
        <v>3</v>
      </c>
      <c r="I462" s="21">
        <v>1</v>
      </c>
      <c r="J462" s="21">
        <v>18</v>
      </c>
      <c r="K462" s="21">
        <v>17</v>
      </c>
      <c r="L462" s="135">
        <v>2</v>
      </c>
      <c r="M462" s="135">
        <v>3</v>
      </c>
      <c r="N462" s="135">
        <v>6</v>
      </c>
      <c r="O462" s="135">
        <v>4</v>
      </c>
      <c r="P462" s="218">
        <f t="shared" si="22"/>
        <v>54</v>
      </c>
    </row>
    <row r="463" spans="1:16" x14ac:dyDescent="0.35">
      <c r="A463" s="287"/>
      <c r="B463" s="287"/>
      <c r="C463" s="32" t="s">
        <v>1623</v>
      </c>
      <c r="D463" s="32" t="s">
        <v>1773</v>
      </c>
      <c r="E463" s="32" t="s">
        <v>1842</v>
      </c>
      <c r="F463" s="32" t="s">
        <v>1844</v>
      </c>
      <c r="G463" s="33" t="s">
        <v>1519</v>
      </c>
      <c r="H463" s="21">
        <v>2</v>
      </c>
      <c r="I463" s="21">
        <v>2</v>
      </c>
      <c r="J463" s="21">
        <v>45</v>
      </c>
      <c r="K463" s="21">
        <v>44</v>
      </c>
      <c r="L463" s="135">
        <v>10</v>
      </c>
      <c r="M463" s="135">
        <v>11</v>
      </c>
      <c r="N463" s="135">
        <v>10</v>
      </c>
      <c r="O463" s="135">
        <v>11</v>
      </c>
      <c r="P463" s="218">
        <f t="shared" si="22"/>
        <v>135</v>
      </c>
    </row>
    <row r="464" spans="1:16" x14ac:dyDescent="0.35">
      <c r="A464" s="287"/>
      <c r="B464" s="287"/>
      <c r="C464" s="32" t="s">
        <v>1623</v>
      </c>
      <c r="D464" s="32" t="s">
        <v>1773</v>
      </c>
      <c r="E464" s="32" t="s">
        <v>1842</v>
      </c>
      <c r="F464" s="32" t="s">
        <v>1844</v>
      </c>
      <c r="G464" s="33" t="s">
        <v>1520</v>
      </c>
      <c r="H464" s="21">
        <v>3</v>
      </c>
      <c r="I464" s="21">
        <v>5</v>
      </c>
      <c r="J464" s="21">
        <v>35</v>
      </c>
      <c r="K464" s="21">
        <v>55</v>
      </c>
      <c r="L464" s="135">
        <v>15</v>
      </c>
      <c r="M464" s="135">
        <v>10</v>
      </c>
      <c r="N464" s="135">
        <v>13</v>
      </c>
      <c r="O464" s="135">
        <v>4</v>
      </c>
      <c r="P464" s="218">
        <f t="shared" si="22"/>
        <v>140</v>
      </c>
    </row>
    <row r="465" spans="1:16" x14ac:dyDescent="0.35">
      <c r="A465" s="287"/>
      <c r="B465" s="287"/>
      <c r="C465" s="32" t="s">
        <v>1623</v>
      </c>
      <c r="D465" s="32" t="s">
        <v>1773</v>
      </c>
      <c r="E465" s="32" t="s">
        <v>1842</v>
      </c>
      <c r="F465" s="32" t="s">
        <v>1844</v>
      </c>
      <c r="G465" s="36" t="s">
        <v>1521</v>
      </c>
      <c r="H465" s="21">
        <v>1</v>
      </c>
      <c r="I465" s="21">
        <v>2</v>
      </c>
      <c r="J465" s="21">
        <v>28</v>
      </c>
      <c r="K465" s="21">
        <v>30</v>
      </c>
      <c r="L465" s="135">
        <v>8</v>
      </c>
      <c r="M465" s="135">
        <v>8</v>
      </c>
      <c r="N465" s="135">
        <v>4</v>
      </c>
      <c r="O465" s="135">
        <v>6</v>
      </c>
      <c r="P465" s="218">
        <f t="shared" si="22"/>
        <v>87</v>
      </c>
    </row>
    <row r="466" spans="1:16" x14ac:dyDescent="0.35">
      <c r="A466" s="287"/>
      <c r="B466" s="287"/>
      <c r="C466" s="32" t="s">
        <v>1623</v>
      </c>
      <c r="D466" s="32" t="s">
        <v>1773</v>
      </c>
      <c r="E466" s="32" t="s">
        <v>1842</v>
      </c>
      <c r="F466" s="32" t="s">
        <v>1844</v>
      </c>
      <c r="G466" s="33" t="s">
        <v>1522</v>
      </c>
      <c r="H466" s="21">
        <v>11</v>
      </c>
      <c r="I466" s="21">
        <v>13</v>
      </c>
      <c r="J466" s="21">
        <v>315</v>
      </c>
      <c r="K466" s="21">
        <v>393</v>
      </c>
      <c r="L466" s="135">
        <v>10</v>
      </c>
      <c r="M466" s="135">
        <v>12</v>
      </c>
      <c r="N466" s="135">
        <v>16</v>
      </c>
      <c r="O466" s="135">
        <v>13</v>
      </c>
      <c r="P466" s="218">
        <f t="shared" si="22"/>
        <v>783</v>
      </c>
    </row>
    <row r="467" spans="1:16" x14ac:dyDescent="0.35">
      <c r="A467" s="287"/>
      <c r="B467" s="287"/>
      <c r="C467" s="32" t="s">
        <v>1623</v>
      </c>
      <c r="D467" s="32" t="s">
        <v>1773</v>
      </c>
      <c r="E467" s="32" t="s">
        <v>1842</v>
      </c>
      <c r="F467" s="32" t="s">
        <v>1844</v>
      </c>
      <c r="G467" s="33" t="s">
        <v>1523</v>
      </c>
      <c r="H467" s="21">
        <v>14</v>
      </c>
      <c r="I467" s="21">
        <v>15</v>
      </c>
      <c r="J467" s="21">
        <v>59</v>
      </c>
      <c r="K467" s="21">
        <v>57</v>
      </c>
      <c r="L467" s="135">
        <v>21</v>
      </c>
      <c r="M467" s="135">
        <v>19</v>
      </c>
      <c r="N467" s="135">
        <v>23</v>
      </c>
      <c r="O467" s="135">
        <v>21</v>
      </c>
      <c r="P467" s="218">
        <f t="shared" si="22"/>
        <v>229</v>
      </c>
    </row>
    <row r="468" spans="1:16" x14ac:dyDescent="0.35">
      <c r="A468" s="287"/>
      <c r="B468" s="287"/>
      <c r="C468" s="32" t="s">
        <v>1623</v>
      </c>
      <c r="D468" s="32" t="s">
        <v>1773</v>
      </c>
      <c r="E468" s="32" t="s">
        <v>1842</v>
      </c>
      <c r="F468" s="32" t="s">
        <v>1841</v>
      </c>
      <c r="G468" s="33" t="s">
        <v>1524</v>
      </c>
      <c r="H468" s="21">
        <v>5</v>
      </c>
      <c r="I468" s="21">
        <v>6</v>
      </c>
      <c r="J468" s="21">
        <v>9</v>
      </c>
      <c r="K468" s="21">
        <v>17</v>
      </c>
      <c r="L468" s="135">
        <v>3</v>
      </c>
      <c r="M468" s="135">
        <v>1</v>
      </c>
      <c r="N468" s="135">
        <v>3</v>
      </c>
      <c r="O468" s="135">
        <v>4</v>
      </c>
      <c r="P468" s="218">
        <f t="shared" si="22"/>
        <v>48</v>
      </c>
    </row>
    <row r="469" spans="1:16" x14ac:dyDescent="0.35">
      <c r="A469" s="287"/>
      <c r="B469" s="287"/>
      <c r="C469" s="32" t="s">
        <v>1623</v>
      </c>
      <c r="D469" s="32" t="s">
        <v>1773</v>
      </c>
      <c r="E469" s="26" t="s">
        <v>1848</v>
      </c>
      <c r="F469" s="26" t="s">
        <v>1847</v>
      </c>
      <c r="G469" s="36" t="s">
        <v>1525</v>
      </c>
      <c r="H469" s="21">
        <v>2</v>
      </c>
      <c r="I469" s="21">
        <v>3</v>
      </c>
      <c r="J469" s="21">
        <v>23</v>
      </c>
      <c r="K469" s="21">
        <v>32</v>
      </c>
      <c r="L469" s="135">
        <v>8</v>
      </c>
      <c r="M469" s="135">
        <v>10</v>
      </c>
      <c r="N469" s="135">
        <v>10</v>
      </c>
      <c r="O469" s="135">
        <v>15</v>
      </c>
      <c r="P469" s="218">
        <f t="shared" si="22"/>
        <v>103</v>
      </c>
    </row>
    <row r="470" spans="1:16" x14ac:dyDescent="0.35">
      <c r="A470" s="287"/>
      <c r="B470" s="287"/>
      <c r="C470" s="32" t="s">
        <v>1623</v>
      </c>
      <c r="D470" s="32" t="s">
        <v>1773</v>
      </c>
      <c r="E470" s="32" t="s">
        <v>1842</v>
      </c>
      <c r="F470" s="32" t="s">
        <v>1843</v>
      </c>
      <c r="G470" s="33" t="s">
        <v>1526</v>
      </c>
      <c r="H470" s="21">
        <v>1</v>
      </c>
      <c r="I470" s="21">
        <v>2</v>
      </c>
      <c r="J470" s="21">
        <v>29</v>
      </c>
      <c r="K470" s="21">
        <v>43</v>
      </c>
      <c r="L470" s="135">
        <v>20</v>
      </c>
      <c r="M470" s="135">
        <v>10</v>
      </c>
      <c r="N470" s="135">
        <v>7</v>
      </c>
      <c r="O470" s="135">
        <v>3</v>
      </c>
      <c r="P470" s="218">
        <f t="shared" si="22"/>
        <v>115</v>
      </c>
    </row>
    <row r="471" spans="1:16" x14ac:dyDescent="0.35">
      <c r="A471" s="287"/>
      <c r="B471" s="287"/>
      <c r="C471" s="32" t="s">
        <v>1623</v>
      </c>
      <c r="D471" s="32" t="s">
        <v>1773</v>
      </c>
      <c r="E471" s="32" t="s">
        <v>1842</v>
      </c>
      <c r="F471" s="32" t="s">
        <v>1845</v>
      </c>
      <c r="G471" s="33" t="s">
        <v>1527</v>
      </c>
      <c r="H471" s="21">
        <v>10</v>
      </c>
      <c r="I471" s="21">
        <v>12</v>
      </c>
      <c r="J471" s="21">
        <v>9</v>
      </c>
      <c r="K471" s="21">
        <v>12</v>
      </c>
      <c r="L471" s="135">
        <v>12</v>
      </c>
      <c r="M471" s="135">
        <v>10</v>
      </c>
      <c r="N471" s="135">
        <v>18</v>
      </c>
      <c r="O471" s="135">
        <v>12</v>
      </c>
      <c r="P471" s="218">
        <f t="shared" si="22"/>
        <v>95</v>
      </c>
    </row>
    <row r="472" spans="1:16" x14ac:dyDescent="0.35">
      <c r="A472" s="287"/>
      <c r="B472" s="287"/>
      <c r="C472" s="32" t="s">
        <v>1623</v>
      </c>
      <c r="D472" s="32" t="s">
        <v>1773</v>
      </c>
      <c r="E472" s="32" t="s">
        <v>1842</v>
      </c>
      <c r="F472" s="32" t="s">
        <v>1843</v>
      </c>
      <c r="G472" s="33" t="s">
        <v>1528</v>
      </c>
      <c r="H472" s="34">
        <v>3</v>
      </c>
      <c r="I472" s="34">
        <v>4</v>
      </c>
      <c r="J472" s="34">
        <v>20</v>
      </c>
      <c r="K472" s="34">
        <v>17</v>
      </c>
      <c r="L472" s="135">
        <v>7</v>
      </c>
      <c r="M472" s="135">
        <v>8</v>
      </c>
      <c r="N472" s="135">
        <v>14</v>
      </c>
      <c r="O472" s="135">
        <v>10</v>
      </c>
      <c r="P472" s="218">
        <f t="shared" si="22"/>
        <v>83</v>
      </c>
    </row>
    <row r="473" spans="1:16" x14ac:dyDescent="0.35">
      <c r="A473" s="287"/>
      <c r="B473" s="287"/>
      <c r="C473" s="32" t="s">
        <v>1623</v>
      </c>
      <c r="D473" s="32" t="s">
        <v>1773</v>
      </c>
      <c r="E473" s="32" t="s">
        <v>1842</v>
      </c>
      <c r="F473" s="32" t="s">
        <v>1843</v>
      </c>
      <c r="G473" s="33" t="s">
        <v>1529</v>
      </c>
      <c r="H473" s="21">
        <v>5</v>
      </c>
      <c r="I473" s="21">
        <v>2</v>
      </c>
      <c r="J473" s="21">
        <v>44</v>
      </c>
      <c r="K473" s="21">
        <v>52</v>
      </c>
      <c r="L473" s="135">
        <v>7</v>
      </c>
      <c r="M473" s="135">
        <v>18</v>
      </c>
      <c r="N473" s="135">
        <v>17</v>
      </c>
      <c r="O473" s="135">
        <v>10</v>
      </c>
      <c r="P473" s="218">
        <f t="shared" si="22"/>
        <v>155</v>
      </c>
    </row>
    <row r="474" spans="1:16" x14ac:dyDescent="0.35">
      <c r="A474" s="287"/>
      <c r="B474" s="287"/>
      <c r="C474" s="32" t="s">
        <v>1623</v>
      </c>
      <c r="D474" s="32" t="s">
        <v>1773</v>
      </c>
      <c r="E474" s="32" t="s">
        <v>1848</v>
      </c>
      <c r="F474" s="32" t="s">
        <v>1846</v>
      </c>
      <c r="G474" s="33" t="s">
        <v>1530</v>
      </c>
      <c r="H474" s="21"/>
      <c r="I474" s="21"/>
      <c r="J474" s="21"/>
      <c r="K474" s="21"/>
      <c r="L474" s="135">
        <v>76</v>
      </c>
      <c r="M474" s="135">
        <v>97</v>
      </c>
      <c r="N474" s="135">
        <v>95</v>
      </c>
      <c r="O474" s="135">
        <v>111</v>
      </c>
      <c r="P474" s="218">
        <f t="shared" si="22"/>
        <v>379</v>
      </c>
    </row>
    <row r="475" spans="1:16" x14ac:dyDescent="0.35">
      <c r="A475" s="52"/>
      <c r="B475" s="52"/>
      <c r="C475" s="52"/>
      <c r="D475" s="52"/>
      <c r="E475" s="52"/>
      <c r="F475" s="52"/>
      <c r="G475" s="52" t="s">
        <v>2</v>
      </c>
      <c r="H475" s="195">
        <f>SUM(H429:H474)</f>
        <v>195</v>
      </c>
      <c r="I475" s="195">
        <f t="shared" ref="I475:O475" si="23">SUM(I429:I474)</f>
        <v>201</v>
      </c>
      <c r="J475" s="196">
        <f t="shared" si="23"/>
        <v>2048</v>
      </c>
      <c r="K475" s="196">
        <f t="shared" si="23"/>
        <v>2106</v>
      </c>
      <c r="L475" s="193">
        <f t="shared" si="23"/>
        <v>556</v>
      </c>
      <c r="M475" s="193">
        <f t="shared" si="23"/>
        <v>556</v>
      </c>
      <c r="N475" s="194">
        <f t="shared" si="23"/>
        <v>709</v>
      </c>
      <c r="O475" s="194">
        <f t="shared" si="23"/>
        <v>647</v>
      </c>
      <c r="P475" s="217">
        <f t="shared" si="22"/>
        <v>7018</v>
      </c>
    </row>
    <row r="476" spans="1:16" x14ac:dyDescent="0.35">
      <c r="A476" s="287">
        <v>17</v>
      </c>
      <c r="B476" s="287" t="s">
        <v>1877</v>
      </c>
      <c r="C476" s="32" t="s">
        <v>1623</v>
      </c>
      <c r="D476" s="32" t="s">
        <v>1773</v>
      </c>
      <c r="E476" s="43" t="s">
        <v>1851</v>
      </c>
      <c r="F476" s="43" t="s">
        <v>1850</v>
      </c>
      <c r="G476" s="33" t="s">
        <v>1531</v>
      </c>
      <c r="H476" s="34">
        <v>3</v>
      </c>
      <c r="I476" s="34">
        <v>5</v>
      </c>
      <c r="J476" s="34">
        <v>10</v>
      </c>
      <c r="K476" s="34">
        <v>32</v>
      </c>
      <c r="L476" s="135">
        <v>25</v>
      </c>
      <c r="M476" s="135">
        <v>22</v>
      </c>
      <c r="N476" s="135">
        <v>3</v>
      </c>
      <c r="O476" s="135">
        <v>9</v>
      </c>
      <c r="P476" s="218">
        <f t="shared" si="22"/>
        <v>109</v>
      </c>
    </row>
    <row r="477" spans="1:16" x14ac:dyDescent="0.35">
      <c r="A477" s="287"/>
      <c r="B477" s="287"/>
      <c r="C477" s="32" t="s">
        <v>1623</v>
      </c>
      <c r="D477" s="32" t="s">
        <v>1773</v>
      </c>
      <c r="E477" s="43" t="s">
        <v>1851</v>
      </c>
      <c r="F477" s="32" t="s">
        <v>1850</v>
      </c>
      <c r="G477" s="33" t="s">
        <v>1532</v>
      </c>
      <c r="H477" s="34">
        <v>2</v>
      </c>
      <c r="I477" s="34">
        <v>3</v>
      </c>
      <c r="J477" s="34">
        <v>31</v>
      </c>
      <c r="K477" s="34">
        <v>48</v>
      </c>
      <c r="L477" s="135">
        <v>4</v>
      </c>
      <c r="M477" s="135">
        <v>4</v>
      </c>
      <c r="N477" s="135">
        <v>24</v>
      </c>
      <c r="O477" s="135">
        <v>20</v>
      </c>
      <c r="P477" s="218">
        <f t="shared" si="22"/>
        <v>136</v>
      </c>
    </row>
    <row r="478" spans="1:16" x14ac:dyDescent="0.35">
      <c r="A478" s="287"/>
      <c r="B478" s="287"/>
      <c r="C478" s="32" t="s">
        <v>1623</v>
      </c>
      <c r="D478" s="32" t="s">
        <v>1773</v>
      </c>
      <c r="E478" s="43" t="s">
        <v>1851</v>
      </c>
      <c r="F478" s="32" t="s">
        <v>188</v>
      </c>
      <c r="G478" s="33" t="s">
        <v>1533</v>
      </c>
      <c r="H478" s="34">
        <v>13</v>
      </c>
      <c r="I478" s="34">
        <v>14</v>
      </c>
      <c r="J478" s="34">
        <v>49</v>
      </c>
      <c r="K478" s="34">
        <v>57</v>
      </c>
      <c r="L478" s="135">
        <v>9</v>
      </c>
      <c r="M478" s="135">
        <v>11</v>
      </c>
      <c r="N478" s="135">
        <v>20</v>
      </c>
      <c r="O478" s="135">
        <v>30</v>
      </c>
      <c r="P478" s="218">
        <f t="shared" si="22"/>
        <v>203</v>
      </c>
    </row>
    <row r="479" spans="1:16" x14ac:dyDescent="0.35">
      <c r="A479" s="287"/>
      <c r="B479" s="287"/>
      <c r="C479" s="32" t="s">
        <v>1623</v>
      </c>
      <c r="D479" s="32" t="s">
        <v>1773</v>
      </c>
      <c r="E479" s="43" t="s">
        <v>1851</v>
      </c>
      <c r="F479" s="32" t="s">
        <v>188</v>
      </c>
      <c r="G479" s="33" t="s">
        <v>1534</v>
      </c>
      <c r="H479" s="34">
        <v>8</v>
      </c>
      <c r="I479" s="34">
        <v>12</v>
      </c>
      <c r="J479" s="34">
        <v>100</v>
      </c>
      <c r="K479" s="34">
        <v>138</v>
      </c>
      <c r="L479" s="135">
        <v>28</v>
      </c>
      <c r="M479" s="135">
        <v>39</v>
      </c>
      <c r="N479" s="135">
        <v>18</v>
      </c>
      <c r="O479" s="135">
        <v>28</v>
      </c>
      <c r="P479" s="218">
        <f t="shared" si="22"/>
        <v>371</v>
      </c>
    </row>
    <row r="480" spans="1:16" x14ac:dyDescent="0.35">
      <c r="A480" s="287"/>
      <c r="B480" s="287"/>
      <c r="C480" s="32" t="s">
        <v>1623</v>
      </c>
      <c r="D480" s="32" t="s">
        <v>1773</v>
      </c>
      <c r="E480" s="32" t="s">
        <v>1827</v>
      </c>
      <c r="F480" s="32" t="s">
        <v>1852</v>
      </c>
      <c r="G480" s="33" t="s">
        <v>1535</v>
      </c>
      <c r="H480" s="34">
        <v>12</v>
      </c>
      <c r="I480" s="34">
        <v>18</v>
      </c>
      <c r="J480" s="34">
        <v>180</v>
      </c>
      <c r="K480" s="34">
        <v>137</v>
      </c>
      <c r="L480" s="135">
        <v>38</v>
      </c>
      <c r="M480" s="135">
        <v>43</v>
      </c>
      <c r="N480" s="135">
        <v>98</v>
      </c>
      <c r="O480" s="135">
        <v>19</v>
      </c>
      <c r="P480" s="218">
        <f t="shared" si="22"/>
        <v>545</v>
      </c>
    </row>
    <row r="481" spans="1:16" x14ac:dyDescent="0.35">
      <c r="A481" s="287"/>
      <c r="B481" s="287"/>
      <c r="C481" s="32" t="s">
        <v>1623</v>
      </c>
      <c r="D481" s="32" t="s">
        <v>1773</v>
      </c>
      <c r="E481" s="43" t="s">
        <v>1851</v>
      </c>
      <c r="F481" s="32" t="s">
        <v>1850</v>
      </c>
      <c r="G481" s="33" t="s">
        <v>1536</v>
      </c>
      <c r="H481" s="34">
        <v>7</v>
      </c>
      <c r="I481" s="34">
        <v>18</v>
      </c>
      <c r="J481" s="34">
        <v>88</v>
      </c>
      <c r="K481" s="34">
        <v>80</v>
      </c>
      <c r="L481" s="135">
        <v>10</v>
      </c>
      <c r="M481" s="135">
        <v>29</v>
      </c>
      <c r="N481" s="135">
        <v>40</v>
      </c>
      <c r="O481" s="135">
        <v>8</v>
      </c>
      <c r="P481" s="218">
        <f t="shared" si="22"/>
        <v>280</v>
      </c>
    </row>
    <row r="482" spans="1:16" x14ac:dyDescent="0.35">
      <c r="A482" s="287"/>
      <c r="B482" s="287"/>
      <c r="C482" s="32" t="s">
        <v>1623</v>
      </c>
      <c r="D482" s="32" t="s">
        <v>1773</v>
      </c>
      <c r="E482" s="43" t="s">
        <v>1851</v>
      </c>
      <c r="F482" s="32" t="s">
        <v>1850</v>
      </c>
      <c r="G482" s="33" t="s">
        <v>1537</v>
      </c>
      <c r="H482" s="34">
        <v>8</v>
      </c>
      <c r="I482" s="34">
        <v>11</v>
      </c>
      <c r="J482" s="34">
        <v>57</v>
      </c>
      <c r="K482" s="34">
        <v>102</v>
      </c>
      <c r="L482" s="135">
        <v>10</v>
      </c>
      <c r="M482" s="135">
        <v>16</v>
      </c>
      <c r="N482" s="135">
        <v>18</v>
      </c>
      <c r="O482" s="135">
        <v>36</v>
      </c>
      <c r="P482" s="218">
        <f t="shared" si="22"/>
        <v>258</v>
      </c>
    </row>
    <row r="483" spans="1:16" x14ac:dyDescent="0.35">
      <c r="A483" s="287"/>
      <c r="B483" s="287"/>
      <c r="C483" s="32" t="s">
        <v>1623</v>
      </c>
      <c r="D483" s="32" t="s">
        <v>1773</v>
      </c>
      <c r="E483" s="43" t="s">
        <v>1851</v>
      </c>
      <c r="F483" s="32" t="s">
        <v>188</v>
      </c>
      <c r="G483" s="33" t="s">
        <v>1538</v>
      </c>
      <c r="H483" s="34">
        <v>10</v>
      </c>
      <c r="I483" s="34">
        <v>12</v>
      </c>
      <c r="J483" s="34">
        <v>92</v>
      </c>
      <c r="K483" s="34">
        <v>68</v>
      </c>
      <c r="L483" s="135">
        <v>12</v>
      </c>
      <c r="M483" s="135">
        <v>18</v>
      </c>
      <c r="N483" s="135">
        <v>11</v>
      </c>
      <c r="O483" s="135">
        <v>19</v>
      </c>
      <c r="P483" s="218">
        <f t="shared" si="22"/>
        <v>242</v>
      </c>
    </row>
    <row r="484" spans="1:16" x14ac:dyDescent="0.35">
      <c r="A484" s="287"/>
      <c r="B484" s="287"/>
      <c r="C484" s="32" t="s">
        <v>1623</v>
      </c>
      <c r="D484" s="32" t="s">
        <v>1773</v>
      </c>
      <c r="E484" s="32" t="s">
        <v>1855</v>
      </c>
      <c r="F484" s="32" t="s">
        <v>1854</v>
      </c>
      <c r="G484" s="33" t="s">
        <v>1539</v>
      </c>
      <c r="H484" s="34">
        <v>6</v>
      </c>
      <c r="I484" s="34">
        <v>7</v>
      </c>
      <c r="J484" s="34">
        <v>39</v>
      </c>
      <c r="K484" s="34">
        <v>56</v>
      </c>
      <c r="L484" s="135">
        <v>10</v>
      </c>
      <c r="M484" s="135">
        <v>25</v>
      </c>
      <c r="N484" s="135">
        <v>13</v>
      </c>
      <c r="O484" s="135">
        <v>14</v>
      </c>
      <c r="P484" s="218">
        <f t="shared" si="22"/>
        <v>170</v>
      </c>
    </row>
    <row r="485" spans="1:16" x14ac:dyDescent="0.35">
      <c r="A485" s="287"/>
      <c r="B485" s="287"/>
      <c r="C485" s="32" t="s">
        <v>1623</v>
      </c>
      <c r="D485" s="32" t="s">
        <v>1773</v>
      </c>
      <c r="E485" s="32" t="s">
        <v>1827</v>
      </c>
      <c r="F485" s="32" t="s">
        <v>1854</v>
      </c>
      <c r="G485" s="33" t="s">
        <v>1540</v>
      </c>
      <c r="H485" s="34">
        <v>2</v>
      </c>
      <c r="I485" s="34">
        <v>3</v>
      </c>
      <c r="J485" s="34">
        <v>25</v>
      </c>
      <c r="K485" s="34">
        <v>41</v>
      </c>
      <c r="L485" s="135">
        <v>4</v>
      </c>
      <c r="M485" s="135">
        <v>10</v>
      </c>
      <c r="N485" s="135">
        <v>11</v>
      </c>
      <c r="O485" s="135">
        <v>14</v>
      </c>
      <c r="P485" s="218">
        <f t="shared" si="22"/>
        <v>110</v>
      </c>
    </row>
    <row r="486" spans="1:16" x14ac:dyDescent="0.35">
      <c r="A486" s="287"/>
      <c r="B486" s="287"/>
      <c r="C486" s="32" t="s">
        <v>1623</v>
      </c>
      <c r="D486" s="32" t="s">
        <v>1773</v>
      </c>
      <c r="E486" s="32" t="s">
        <v>1851</v>
      </c>
      <c r="F486" s="32" t="s">
        <v>1866</v>
      </c>
      <c r="G486" s="33" t="s">
        <v>1158</v>
      </c>
      <c r="H486" s="34">
        <v>10</v>
      </c>
      <c r="I486" s="34">
        <v>16</v>
      </c>
      <c r="J486" s="34">
        <v>71</v>
      </c>
      <c r="K486" s="34">
        <v>71</v>
      </c>
      <c r="L486" s="135">
        <v>18</v>
      </c>
      <c r="M486" s="135">
        <v>24</v>
      </c>
      <c r="N486" s="135">
        <v>25</v>
      </c>
      <c r="O486" s="135">
        <v>25</v>
      </c>
      <c r="P486" s="218">
        <f t="shared" si="22"/>
        <v>260</v>
      </c>
    </row>
    <row r="487" spans="1:16" x14ac:dyDescent="0.35">
      <c r="A487" s="287"/>
      <c r="B487" s="287"/>
      <c r="C487" s="32" t="s">
        <v>1623</v>
      </c>
      <c r="D487" s="32" t="s">
        <v>1773</v>
      </c>
      <c r="E487" s="32" t="s">
        <v>1827</v>
      </c>
      <c r="F487" s="32" t="s">
        <v>1854</v>
      </c>
      <c r="G487" s="33" t="s">
        <v>1541</v>
      </c>
      <c r="H487" s="34">
        <v>14</v>
      </c>
      <c r="I487" s="34">
        <v>14</v>
      </c>
      <c r="J487" s="34">
        <v>98</v>
      </c>
      <c r="K487" s="34">
        <v>101</v>
      </c>
      <c r="L487" s="135">
        <v>19</v>
      </c>
      <c r="M487" s="135">
        <v>55</v>
      </c>
      <c r="N487" s="135">
        <v>14</v>
      </c>
      <c r="O487" s="135">
        <v>61</v>
      </c>
      <c r="P487" s="218">
        <f t="shared" si="22"/>
        <v>376</v>
      </c>
    </row>
    <row r="488" spans="1:16" x14ac:dyDescent="0.35">
      <c r="A488" s="287"/>
      <c r="B488" s="287"/>
      <c r="C488" s="32" t="s">
        <v>1623</v>
      </c>
      <c r="D488" s="32" t="s">
        <v>1773</v>
      </c>
      <c r="E488" s="32" t="s">
        <v>1827</v>
      </c>
      <c r="F488" s="32" t="s">
        <v>1854</v>
      </c>
      <c r="G488" s="33" t="s">
        <v>1542</v>
      </c>
      <c r="H488" s="34">
        <v>6</v>
      </c>
      <c r="I488" s="34">
        <v>5</v>
      </c>
      <c r="J488" s="34">
        <v>36</v>
      </c>
      <c r="K488" s="34">
        <v>61</v>
      </c>
      <c r="L488" s="135">
        <v>4</v>
      </c>
      <c r="M488" s="135">
        <v>5</v>
      </c>
      <c r="N488" s="135">
        <v>10</v>
      </c>
      <c r="O488" s="135">
        <v>19</v>
      </c>
      <c r="P488" s="218">
        <f t="shared" si="22"/>
        <v>146</v>
      </c>
    </row>
    <row r="489" spans="1:16" x14ac:dyDescent="0.35">
      <c r="A489" s="287"/>
      <c r="B489" s="287"/>
      <c r="C489" s="32" t="s">
        <v>1623</v>
      </c>
      <c r="D489" s="32" t="s">
        <v>1773</v>
      </c>
      <c r="E489" s="32" t="s">
        <v>1827</v>
      </c>
      <c r="F489" s="32" t="s">
        <v>1852</v>
      </c>
      <c r="G489" s="33" t="s">
        <v>1543</v>
      </c>
      <c r="H489" s="34">
        <v>9</v>
      </c>
      <c r="I489" s="34">
        <v>4</v>
      </c>
      <c r="J489" s="34">
        <v>108</v>
      </c>
      <c r="K489" s="34">
        <v>124</v>
      </c>
      <c r="L489" s="135">
        <v>32</v>
      </c>
      <c r="M489" s="135">
        <v>28</v>
      </c>
      <c r="N489" s="135">
        <v>36</v>
      </c>
      <c r="O489" s="135">
        <v>58</v>
      </c>
      <c r="P489" s="218">
        <f t="shared" si="22"/>
        <v>399</v>
      </c>
    </row>
    <row r="490" spans="1:16" x14ac:dyDescent="0.35">
      <c r="A490" s="287"/>
      <c r="B490" s="287"/>
      <c r="C490" s="32" t="s">
        <v>1623</v>
      </c>
      <c r="D490" s="32" t="s">
        <v>1773</v>
      </c>
      <c r="E490" s="32" t="s">
        <v>1827</v>
      </c>
      <c r="F490" s="32" t="s">
        <v>1852</v>
      </c>
      <c r="G490" s="33" t="s">
        <v>1544</v>
      </c>
      <c r="H490" s="34">
        <v>14</v>
      </c>
      <c r="I490" s="34">
        <v>15</v>
      </c>
      <c r="J490" s="34">
        <v>128</v>
      </c>
      <c r="K490" s="34">
        <v>124</v>
      </c>
      <c r="L490" s="135">
        <v>28</v>
      </c>
      <c r="M490" s="135">
        <v>40</v>
      </c>
      <c r="N490" s="135">
        <v>40</v>
      </c>
      <c r="O490" s="135">
        <v>33</v>
      </c>
      <c r="P490" s="218">
        <f t="shared" si="22"/>
        <v>422</v>
      </c>
    </row>
    <row r="491" spans="1:16" x14ac:dyDescent="0.35">
      <c r="A491" s="287"/>
      <c r="B491" s="287"/>
      <c r="C491" s="32" t="s">
        <v>1623</v>
      </c>
      <c r="D491" s="32" t="s">
        <v>1773</v>
      </c>
      <c r="E491" s="32" t="s">
        <v>1827</v>
      </c>
      <c r="F491" s="32" t="s">
        <v>1853</v>
      </c>
      <c r="G491" s="33" t="s">
        <v>1545</v>
      </c>
      <c r="H491" s="34">
        <v>12</v>
      </c>
      <c r="I491" s="34">
        <v>13</v>
      </c>
      <c r="J491" s="34">
        <v>59</v>
      </c>
      <c r="K491" s="34">
        <v>107</v>
      </c>
      <c r="L491" s="135">
        <v>30</v>
      </c>
      <c r="M491" s="135">
        <v>27</v>
      </c>
      <c r="N491" s="135">
        <v>4</v>
      </c>
      <c r="O491" s="135">
        <v>6</v>
      </c>
      <c r="P491" s="218">
        <f t="shared" si="22"/>
        <v>258</v>
      </c>
    </row>
    <row r="492" spans="1:16" x14ac:dyDescent="0.35">
      <c r="A492" s="287"/>
      <c r="B492" s="287"/>
      <c r="C492" s="32" t="s">
        <v>1623</v>
      </c>
      <c r="D492" s="32" t="s">
        <v>1773</v>
      </c>
      <c r="E492" s="32" t="s">
        <v>1851</v>
      </c>
      <c r="F492" s="32" t="s">
        <v>1857</v>
      </c>
      <c r="G492" s="33" t="s">
        <v>1243</v>
      </c>
      <c r="H492" s="34">
        <v>5</v>
      </c>
      <c r="I492" s="34">
        <v>7</v>
      </c>
      <c r="J492" s="34">
        <v>70</v>
      </c>
      <c r="K492" s="34">
        <v>81</v>
      </c>
      <c r="L492" s="135">
        <v>30</v>
      </c>
      <c r="M492" s="135">
        <v>46</v>
      </c>
      <c r="N492" s="135">
        <v>28</v>
      </c>
      <c r="O492" s="135">
        <v>57</v>
      </c>
      <c r="P492" s="218">
        <f t="shared" si="22"/>
        <v>324</v>
      </c>
    </row>
    <row r="493" spans="1:16" x14ac:dyDescent="0.35">
      <c r="A493" s="287"/>
      <c r="B493" s="287"/>
      <c r="C493" s="32" t="s">
        <v>1623</v>
      </c>
      <c r="D493" s="32" t="s">
        <v>1773</v>
      </c>
      <c r="E493" s="32" t="s">
        <v>1827</v>
      </c>
      <c r="F493" s="32" t="s">
        <v>1854</v>
      </c>
      <c r="G493" s="33" t="s">
        <v>1546</v>
      </c>
      <c r="H493" s="34">
        <v>17</v>
      </c>
      <c r="I493" s="34">
        <v>14</v>
      </c>
      <c r="J493" s="34">
        <v>45</v>
      </c>
      <c r="K493" s="34">
        <v>47</v>
      </c>
      <c r="L493" s="135">
        <v>13</v>
      </c>
      <c r="M493" s="135">
        <v>18</v>
      </c>
      <c r="N493" s="135">
        <v>16</v>
      </c>
      <c r="O493" s="135">
        <v>15</v>
      </c>
      <c r="P493" s="218">
        <f t="shared" si="22"/>
        <v>185</v>
      </c>
    </row>
    <row r="494" spans="1:16" x14ac:dyDescent="0.35">
      <c r="A494" s="287"/>
      <c r="B494" s="287"/>
      <c r="C494" s="32" t="s">
        <v>1623</v>
      </c>
      <c r="D494" s="32" t="s">
        <v>1773</v>
      </c>
      <c r="E494" s="26" t="s">
        <v>1827</v>
      </c>
      <c r="F494" s="26" t="s">
        <v>1854</v>
      </c>
      <c r="G494" s="36" t="s">
        <v>1547</v>
      </c>
      <c r="H494" s="21">
        <v>19</v>
      </c>
      <c r="I494" s="21">
        <v>56</v>
      </c>
      <c r="J494" s="21">
        <v>81</v>
      </c>
      <c r="K494" s="21">
        <v>133</v>
      </c>
      <c r="L494" s="135">
        <v>10</v>
      </c>
      <c r="M494" s="135">
        <v>30</v>
      </c>
      <c r="N494" s="135">
        <v>36</v>
      </c>
      <c r="O494" s="135">
        <v>44</v>
      </c>
      <c r="P494" s="218">
        <f t="shared" si="22"/>
        <v>409</v>
      </c>
    </row>
    <row r="495" spans="1:16" x14ac:dyDescent="0.35">
      <c r="A495" s="287"/>
      <c r="B495" s="287"/>
      <c r="C495" s="32" t="s">
        <v>1623</v>
      </c>
      <c r="D495" s="32" t="s">
        <v>1773</v>
      </c>
      <c r="E495" s="32" t="s">
        <v>1827</v>
      </c>
      <c r="F495" s="32" t="s">
        <v>1853</v>
      </c>
      <c r="G495" s="33" t="s">
        <v>1548</v>
      </c>
      <c r="H495" s="34">
        <v>16</v>
      </c>
      <c r="I495" s="34">
        <v>12</v>
      </c>
      <c r="J495" s="34">
        <v>94</v>
      </c>
      <c r="K495" s="34">
        <v>75</v>
      </c>
      <c r="L495" s="135">
        <v>15</v>
      </c>
      <c r="M495" s="135">
        <v>29</v>
      </c>
      <c r="N495" s="135">
        <v>10</v>
      </c>
      <c r="O495" s="135">
        <v>21</v>
      </c>
      <c r="P495" s="218">
        <f t="shared" si="22"/>
        <v>272</v>
      </c>
    </row>
    <row r="496" spans="1:16" x14ac:dyDescent="0.35">
      <c r="A496" s="287"/>
      <c r="B496" s="287"/>
      <c r="C496" s="32" t="s">
        <v>1623</v>
      </c>
      <c r="D496" s="32" t="s">
        <v>1773</v>
      </c>
      <c r="E496" s="32" t="s">
        <v>1827</v>
      </c>
      <c r="F496" s="32" t="s">
        <v>1854</v>
      </c>
      <c r="G496" s="33" t="s">
        <v>1549</v>
      </c>
      <c r="H496" s="34">
        <v>8</v>
      </c>
      <c r="I496" s="34">
        <v>10</v>
      </c>
      <c r="J496" s="34">
        <v>62</v>
      </c>
      <c r="K496" s="34">
        <v>76</v>
      </c>
      <c r="L496" s="135">
        <v>10</v>
      </c>
      <c r="M496" s="135">
        <v>20</v>
      </c>
      <c r="N496" s="135">
        <v>18</v>
      </c>
      <c r="O496" s="135">
        <v>38</v>
      </c>
      <c r="P496" s="218">
        <f t="shared" si="22"/>
        <v>242</v>
      </c>
    </row>
    <row r="497" spans="1:16" x14ac:dyDescent="0.35">
      <c r="A497" s="287"/>
      <c r="B497" s="287"/>
      <c r="C497" s="32" t="s">
        <v>1623</v>
      </c>
      <c r="D497" s="32" t="s">
        <v>1773</v>
      </c>
      <c r="E497" s="32" t="s">
        <v>1827</v>
      </c>
      <c r="F497" s="32" t="s">
        <v>1853</v>
      </c>
      <c r="G497" s="33" t="s">
        <v>1550</v>
      </c>
      <c r="H497" s="34">
        <v>7</v>
      </c>
      <c r="I497" s="34">
        <v>11</v>
      </c>
      <c r="J497" s="34">
        <v>39</v>
      </c>
      <c r="K497" s="34">
        <v>86</v>
      </c>
      <c r="L497" s="135">
        <v>10</v>
      </c>
      <c r="M497" s="135">
        <v>28</v>
      </c>
      <c r="N497" s="135">
        <v>17</v>
      </c>
      <c r="O497" s="135">
        <v>23</v>
      </c>
      <c r="P497" s="218">
        <f t="shared" si="22"/>
        <v>221</v>
      </c>
    </row>
    <row r="498" spans="1:16" x14ac:dyDescent="0.35">
      <c r="A498" s="287"/>
      <c r="B498" s="287"/>
      <c r="C498" s="32" t="s">
        <v>1623</v>
      </c>
      <c r="D498" s="32" t="s">
        <v>1773</v>
      </c>
      <c r="E498" s="32" t="s">
        <v>1851</v>
      </c>
      <c r="F498" s="32" t="s">
        <v>1850</v>
      </c>
      <c r="G498" s="33" t="s">
        <v>1551</v>
      </c>
      <c r="H498" s="34">
        <v>7</v>
      </c>
      <c r="I498" s="34">
        <v>5</v>
      </c>
      <c r="J498" s="34">
        <v>46</v>
      </c>
      <c r="K498" s="34">
        <v>60</v>
      </c>
      <c r="L498" s="135">
        <v>3</v>
      </c>
      <c r="M498" s="135">
        <v>7</v>
      </c>
      <c r="N498" s="135">
        <v>12</v>
      </c>
      <c r="O498" s="135">
        <v>28</v>
      </c>
      <c r="P498" s="218">
        <f t="shared" si="22"/>
        <v>168</v>
      </c>
    </row>
    <row r="499" spans="1:16" x14ac:dyDescent="0.35">
      <c r="A499" s="52"/>
      <c r="B499" s="52"/>
      <c r="C499" s="52"/>
      <c r="D499" s="52"/>
      <c r="E499" s="52"/>
      <c r="F499" s="52"/>
      <c r="G499" s="52" t="s">
        <v>2</v>
      </c>
      <c r="H499" s="195">
        <f>SUM(H476:H498)</f>
        <v>215</v>
      </c>
      <c r="I499" s="195">
        <f t="shared" ref="I499:O499" si="24">SUM(I476:I498)</f>
        <v>285</v>
      </c>
      <c r="J499" s="196">
        <f t="shared" si="24"/>
        <v>1608</v>
      </c>
      <c r="K499" s="196">
        <f t="shared" si="24"/>
        <v>1905</v>
      </c>
      <c r="L499" s="193">
        <f t="shared" si="24"/>
        <v>372</v>
      </c>
      <c r="M499" s="193">
        <f t="shared" si="24"/>
        <v>574</v>
      </c>
      <c r="N499" s="194">
        <f t="shared" si="24"/>
        <v>522</v>
      </c>
      <c r="O499" s="194">
        <f t="shared" si="24"/>
        <v>625</v>
      </c>
      <c r="P499" s="217">
        <f t="shared" si="22"/>
        <v>6106</v>
      </c>
    </row>
    <row r="500" spans="1:16" x14ac:dyDescent="0.35">
      <c r="A500" s="287">
        <v>18</v>
      </c>
      <c r="B500" s="287" t="s">
        <v>1910</v>
      </c>
      <c r="C500" s="32" t="s">
        <v>1623</v>
      </c>
      <c r="D500" s="32" t="s">
        <v>1773</v>
      </c>
      <c r="E500" s="32" t="s">
        <v>1851</v>
      </c>
      <c r="F500" s="32" t="s">
        <v>1857</v>
      </c>
      <c r="G500" s="33" t="s">
        <v>1552</v>
      </c>
      <c r="H500" s="34">
        <v>6</v>
      </c>
      <c r="I500" s="34">
        <v>5</v>
      </c>
      <c r="J500" s="34">
        <v>35</v>
      </c>
      <c r="K500" s="34">
        <v>45</v>
      </c>
      <c r="L500" s="135">
        <v>18</v>
      </c>
      <c r="M500" s="135">
        <v>10</v>
      </c>
      <c r="N500" s="135">
        <v>9</v>
      </c>
      <c r="O500" s="135">
        <v>17</v>
      </c>
      <c r="P500" s="218">
        <f t="shared" si="22"/>
        <v>145</v>
      </c>
    </row>
    <row r="501" spans="1:16" x14ac:dyDescent="0.35">
      <c r="A501" s="287"/>
      <c r="B501" s="287"/>
      <c r="C501" s="32" t="s">
        <v>1623</v>
      </c>
      <c r="D501" s="32" t="s">
        <v>1773</v>
      </c>
      <c r="E501" s="32" t="s">
        <v>1851</v>
      </c>
      <c r="F501" s="32" t="s">
        <v>1858</v>
      </c>
      <c r="G501" s="33" t="s">
        <v>1553</v>
      </c>
      <c r="H501" s="34">
        <v>1</v>
      </c>
      <c r="I501" s="34">
        <v>3</v>
      </c>
      <c r="J501" s="34">
        <v>33</v>
      </c>
      <c r="K501" s="34">
        <v>35</v>
      </c>
      <c r="L501" s="135">
        <v>13</v>
      </c>
      <c r="M501" s="135">
        <v>12</v>
      </c>
      <c r="N501" s="135">
        <v>8</v>
      </c>
      <c r="O501" s="135">
        <v>10</v>
      </c>
      <c r="P501" s="218">
        <f t="shared" si="22"/>
        <v>115</v>
      </c>
    </row>
    <row r="502" spans="1:16" x14ac:dyDescent="0.35">
      <c r="A502" s="287"/>
      <c r="B502" s="287"/>
      <c r="C502" s="32" t="s">
        <v>1623</v>
      </c>
      <c r="D502" s="32" t="s">
        <v>1773</v>
      </c>
      <c r="E502" s="32" t="s">
        <v>1851</v>
      </c>
      <c r="F502" s="32" t="s">
        <v>1857</v>
      </c>
      <c r="G502" s="33" t="s">
        <v>1554</v>
      </c>
      <c r="H502" s="34">
        <v>3</v>
      </c>
      <c r="I502" s="34">
        <v>4</v>
      </c>
      <c r="J502" s="34">
        <v>27</v>
      </c>
      <c r="K502" s="34">
        <v>22</v>
      </c>
      <c r="L502" s="135">
        <v>6</v>
      </c>
      <c r="M502" s="135">
        <v>8</v>
      </c>
      <c r="N502" s="135">
        <v>4</v>
      </c>
      <c r="O502" s="135">
        <v>9</v>
      </c>
      <c r="P502" s="218">
        <f t="shared" si="22"/>
        <v>83</v>
      </c>
    </row>
    <row r="503" spans="1:16" x14ac:dyDescent="0.35">
      <c r="A503" s="287"/>
      <c r="B503" s="287"/>
      <c r="C503" s="32" t="s">
        <v>1623</v>
      </c>
      <c r="D503" s="32" t="s">
        <v>1773</v>
      </c>
      <c r="E503" s="32" t="s">
        <v>1851</v>
      </c>
      <c r="F503" s="32" t="s">
        <v>1857</v>
      </c>
      <c r="G503" s="33" t="s">
        <v>1327</v>
      </c>
      <c r="H503" s="34">
        <v>7</v>
      </c>
      <c r="I503" s="34">
        <v>8</v>
      </c>
      <c r="J503" s="34">
        <v>43</v>
      </c>
      <c r="K503" s="34">
        <v>62</v>
      </c>
      <c r="L503" s="135">
        <v>17</v>
      </c>
      <c r="M503" s="135">
        <v>13</v>
      </c>
      <c r="N503" s="135">
        <v>16</v>
      </c>
      <c r="O503" s="135">
        <v>14</v>
      </c>
      <c r="P503" s="218">
        <f t="shared" si="22"/>
        <v>180</v>
      </c>
    </row>
    <row r="504" spans="1:16" x14ac:dyDescent="0.35">
      <c r="A504" s="287"/>
      <c r="B504" s="287"/>
      <c r="C504" s="32" t="s">
        <v>1623</v>
      </c>
      <c r="D504" s="32" t="s">
        <v>1773</v>
      </c>
      <c r="E504" s="32" t="s">
        <v>1851</v>
      </c>
      <c r="F504" s="32" t="s">
        <v>1856</v>
      </c>
      <c r="G504" s="33" t="s">
        <v>1555</v>
      </c>
      <c r="H504" s="34">
        <v>8</v>
      </c>
      <c r="I504" s="34">
        <v>8</v>
      </c>
      <c r="J504" s="34">
        <v>46</v>
      </c>
      <c r="K504" s="34">
        <v>46</v>
      </c>
      <c r="L504" s="135">
        <v>11</v>
      </c>
      <c r="M504" s="135">
        <v>8</v>
      </c>
      <c r="N504" s="135">
        <v>10</v>
      </c>
      <c r="O504" s="135">
        <v>20</v>
      </c>
      <c r="P504" s="218">
        <f t="shared" si="22"/>
        <v>157</v>
      </c>
    </row>
    <row r="505" spans="1:16" x14ac:dyDescent="0.35">
      <c r="A505" s="287"/>
      <c r="B505" s="287"/>
      <c r="C505" s="32" t="s">
        <v>1623</v>
      </c>
      <c r="D505" s="32" t="s">
        <v>1773</v>
      </c>
      <c r="E505" s="32" t="s">
        <v>1851</v>
      </c>
      <c r="F505" s="32" t="s">
        <v>1857</v>
      </c>
      <c r="G505" s="33" t="s">
        <v>1556</v>
      </c>
      <c r="H505" s="34">
        <v>0</v>
      </c>
      <c r="I505" s="34">
        <v>6</v>
      </c>
      <c r="J505" s="34">
        <v>64</v>
      </c>
      <c r="K505" s="34">
        <v>36</v>
      </c>
      <c r="L505" s="135">
        <v>15</v>
      </c>
      <c r="M505" s="135">
        <v>11</v>
      </c>
      <c r="N505" s="135">
        <v>9</v>
      </c>
      <c r="O505" s="135">
        <v>16</v>
      </c>
      <c r="P505" s="218">
        <f t="shared" si="22"/>
        <v>157</v>
      </c>
    </row>
    <row r="506" spans="1:16" x14ac:dyDescent="0.35">
      <c r="A506" s="287"/>
      <c r="B506" s="287"/>
      <c r="C506" s="32" t="s">
        <v>1623</v>
      </c>
      <c r="D506" s="32" t="s">
        <v>1773</v>
      </c>
      <c r="E506" s="32" t="s">
        <v>1851</v>
      </c>
      <c r="F506" s="32" t="s">
        <v>1857</v>
      </c>
      <c r="G506" s="33" t="s">
        <v>1307</v>
      </c>
      <c r="H506" s="34">
        <v>2</v>
      </c>
      <c r="I506" s="34">
        <v>1</v>
      </c>
      <c r="J506" s="34">
        <v>38</v>
      </c>
      <c r="K506" s="34">
        <v>64</v>
      </c>
      <c r="L506" s="135">
        <v>12</v>
      </c>
      <c r="M506" s="135">
        <v>6</v>
      </c>
      <c r="N506" s="135">
        <v>8</v>
      </c>
      <c r="O506" s="135">
        <v>7</v>
      </c>
      <c r="P506" s="218">
        <f t="shared" si="22"/>
        <v>138</v>
      </c>
    </row>
    <row r="507" spans="1:16" x14ac:dyDescent="0.35">
      <c r="A507" s="287"/>
      <c r="B507" s="287"/>
      <c r="C507" s="32" t="s">
        <v>1623</v>
      </c>
      <c r="D507" s="32" t="s">
        <v>1773</v>
      </c>
      <c r="E507" s="32" t="s">
        <v>1851</v>
      </c>
      <c r="F507" s="32" t="s">
        <v>1857</v>
      </c>
      <c r="G507" s="33" t="s">
        <v>1243</v>
      </c>
      <c r="H507" s="34">
        <v>12</v>
      </c>
      <c r="I507" s="34">
        <v>10</v>
      </c>
      <c r="J507" s="34">
        <v>112</v>
      </c>
      <c r="K507" s="34">
        <v>119</v>
      </c>
      <c r="L507" s="135">
        <v>9</v>
      </c>
      <c r="M507" s="135">
        <v>10</v>
      </c>
      <c r="N507" s="135">
        <v>14</v>
      </c>
      <c r="O507" s="135">
        <v>14</v>
      </c>
      <c r="P507" s="218">
        <f t="shared" si="22"/>
        <v>300</v>
      </c>
    </row>
    <row r="508" spans="1:16" x14ac:dyDescent="0.35">
      <c r="A508" s="287"/>
      <c r="B508" s="287"/>
      <c r="C508" s="32" t="s">
        <v>1623</v>
      </c>
      <c r="D508" s="32" t="s">
        <v>1773</v>
      </c>
      <c r="E508" s="32" t="s">
        <v>1851</v>
      </c>
      <c r="F508" s="32" t="s">
        <v>1857</v>
      </c>
      <c r="G508" s="33" t="s">
        <v>1557</v>
      </c>
      <c r="H508" s="34">
        <v>8</v>
      </c>
      <c r="I508" s="34">
        <v>10</v>
      </c>
      <c r="J508" s="34">
        <v>45</v>
      </c>
      <c r="K508" s="34">
        <v>60</v>
      </c>
      <c r="L508" s="135">
        <v>9</v>
      </c>
      <c r="M508" s="135">
        <v>6</v>
      </c>
      <c r="N508" s="135">
        <v>16</v>
      </c>
      <c r="O508" s="135">
        <v>19</v>
      </c>
      <c r="P508" s="218">
        <f t="shared" si="22"/>
        <v>173</v>
      </c>
    </row>
    <row r="509" spans="1:16" x14ac:dyDescent="0.35">
      <c r="A509" s="287"/>
      <c r="B509" s="287"/>
      <c r="C509" s="32" t="s">
        <v>1623</v>
      </c>
      <c r="D509" s="32" t="s">
        <v>1773</v>
      </c>
      <c r="E509" s="32" t="s">
        <v>1851</v>
      </c>
      <c r="F509" s="32" t="s">
        <v>1859</v>
      </c>
      <c r="G509" s="33" t="s">
        <v>1558</v>
      </c>
      <c r="H509" s="34">
        <v>6</v>
      </c>
      <c r="I509" s="34">
        <v>6</v>
      </c>
      <c r="J509" s="34">
        <v>39</v>
      </c>
      <c r="K509" s="34">
        <v>45</v>
      </c>
      <c r="L509" s="135">
        <v>20</v>
      </c>
      <c r="M509" s="135">
        <v>16</v>
      </c>
      <c r="N509" s="135">
        <v>18</v>
      </c>
      <c r="O509" s="135">
        <v>15</v>
      </c>
      <c r="P509" s="218">
        <f t="shared" si="22"/>
        <v>165</v>
      </c>
    </row>
    <row r="510" spans="1:16" x14ac:dyDescent="0.35">
      <c r="A510" s="287"/>
      <c r="B510" s="287"/>
      <c r="C510" s="32" t="s">
        <v>1623</v>
      </c>
      <c r="D510" s="32" t="s">
        <v>1773</v>
      </c>
      <c r="E510" s="32" t="s">
        <v>1851</v>
      </c>
      <c r="F510" s="32" t="s">
        <v>1859</v>
      </c>
      <c r="G510" s="33" t="s">
        <v>1559</v>
      </c>
      <c r="H510" s="34">
        <v>8</v>
      </c>
      <c r="I510" s="34">
        <v>7</v>
      </c>
      <c r="J510" s="34">
        <v>41</v>
      </c>
      <c r="K510" s="34">
        <v>34</v>
      </c>
      <c r="L510" s="135">
        <v>10</v>
      </c>
      <c r="M510" s="135">
        <v>11</v>
      </c>
      <c r="N510" s="135">
        <v>21</v>
      </c>
      <c r="O510" s="135">
        <v>14</v>
      </c>
      <c r="P510" s="218">
        <f t="shared" si="22"/>
        <v>146</v>
      </c>
    </row>
    <row r="511" spans="1:16" x14ac:dyDescent="0.35">
      <c r="A511" s="287"/>
      <c r="B511" s="287"/>
      <c r="C511" s="32" t="s">
        <v>1623</v>
      </c>
      <c r="D511" s="32" t="s">
        <v>1773</v>
      </c>
      <c r="E511" s="26" t="s">
        <v>1851</v>
      </c>
      <c r="F511" s="26" t="s">
        <v>1859</v>
      </c>
      <c r="G511" s="36" t="s">
        <v>1560</v>
      </c>
      <c r="H511" s="21">
        <v>1</v>
      </c>
      <c r="I511" s="21">
        <v>0</v>
      </c>
      <c r="J511" s="21">
        <v>21</v>
      </c>
      <c r="K511" s="21">
        <v>24</v>
      </c>
      <c r="L511" s="135">
        <v>10</v>
      </c>
      <c r="M511" s="135">
        <v>6</v>
      </c>
      <c r="N511" s="135">
        <v>20</v>
      </c>
      <c r="O511" s="135">
        <v>10</v>
      </c>
      <c r="P511" s="218">
        <f t="shared" si="22"/>
        <v>92</v>
      </c>
    </row>
    <row r="512" spans="1:16" x14ac:dyDescent="0.35">
      <c r="A512" s="287"/>
      <c r="B512" s="287"/>
      <c r="C512" s="32" t="s">
        <v>1623</v>
      </c>
      <c r="D512" s="32" t="s">
        <v>1773</v>
      </c>
      <c r="E512" s="32" t="s">
        <v>1851</v>
      </c>
      <c r="F512" s="32" t="s">
        <v>1859</v>
      </c>
      <c r="G512" s="33" t="s">
        <v>1561</v>
      </c>
      <c r="H512" s="34">
        <v>4</v>
      </c>
      <c r="I512" s="34">
        <v>6</v>
      </c>
      <c r="J512" s="34">
        <v>30</v>
      </c>
      <c r="K512" s="34">
        <v>36</v>
      </c>
      <c r="L512" s="135">
        <v>18</v>
      </c>
      <c r="M512" s="135">
        <v>7</v>
      </c>
      <c r="N512" s="135">
        <v>8</v>
      </c>
      <c r="O512" s="135">
        <v>9</v>
      </c>
      <c r="P512" s="218">
        <f t="shared" si="22"/>
        <v>118</v>
      </c>
    </row>
    <row r="513" spans="1:16" x14ac:dyDescent="0.35">
      <c r="A513" s="287"/>
      <c r="B513" s="287"/>
      <c r="C513" s="32" t="s">
        <v>1623</v>
      </c>
      <c r="D513" s="32" t="s">
        <v>1773</v>
      </c>
      <c r="E513" s="32" t="s">
        <v>1851</v>
      </c>
      <c r="F513" s="32" t="s">
        <v>1859</v>
      </c>
      <c r="G513" s="33" t="s">
        <v>1562</v>
      </c>
      <c r="H513" s="34">
        <v>2</v>
      </c>
      <c r="I513" s="34">
        <v>4</v>
      </c>
      <c r="J513" s="34">
        <v>22</v>
      </c>
      <c r="K513" s="34">
        <v>26</v>
      </c>
      <c r="L513" s="135">
        <v>10</v>
      </c>
      <c r="M513" s="135">
        <v>8</v>
      </c>
      <c r="N513" s="135">
        <v>27</v>
      </c>
      <c r="O513" s="135">
        <v>26</v>
      </c>
      <c r="P513" s="218">
        <f t="shared" si="22"/>
        <v>125</v>
      </c>
    </row>
    <row r="514" spans="1:16" x14ac:dyDescent="0.35">
      <c r="A514" s="287"/>
      <c r="B514" s="287"/>
      <c r="C514" s="32" t="s">
        <v>1623</v>
      </c>
      <c r="D514" s="32" t="s">
        <v>1773</v>
      </c>
      <c r="E514" s="32" t="s">
        <v>1851</v>
      </c>
      <c r="F514" s="32" t="s">
        <v>1859</v>
      </c>
      <c r="G514" s="33" t="s">
        <v>1563</v>
      </c>
      <c r="H514" s="34">
        <v>4</v>
      </c>
      <c r="I514" s="34">
        <v>3</v>
      </c>
      <c r="J514" s="34">
        <v>26</v>
      </c>
      <c r="K514" s="34">
        <v>29</v>
      </c>
      <c r="L514" s="135">
        <v>7</v>
      </c>
      <c r="M514" s="135">
        <v>7</v>
      </c>
      <c r="N514" s="135">
        <v>19</v>
      </c>
      <c r="O514" s="135">
        <v>19</v>
      </c>
      <c r="P514" s="218">
        <f t="shared" si="22"/>
        <v>114</v>
      </c>
    </row>
    <row r="515" spans="1:16" x14ac:dyDescent="0.35">
      <c r="A515" s="287"/>
      <c r="B515" s="287"/>
      <c r="C515" s="32" t="s">
        <v>1623</v>
      </c>
      <c r="D515" s="32" t="s">
        <v>1773</v>
      </c>
      <c r="E515" s="32" t="s">
        <v>1851</v>
      </c>
      <c r="F515" s="32" t="s">
        <v>1858</v>
      </c>
      <c r="G515" s="33" t="s">
        <v>1564</v>
      </c>
      <c r="H515" s="34">
        <v>3</v>
      </c>
      <c r="I515" s="34">
        <v>2</v>
      </c>
      <c r="J515" s="34">
        <v>43</v>
      </c>
      <c r="K515" s="34">
        <v>79</v>
      </c>
      <c r="L515" s="135">
        <v>17</v>
      </c>
      <c r="M515" s="135">
        <v>17</v>
      </c>
      <c r="N515" s="135">
        <v>37</v>
      </c>
      <c r="O515" s="135">
        <v>37</v>
      </c>
      <c r="P515" s="218">
        <f t="shared" si="22"/>
        <v>235</v>
      </c>
    </row>
    <row r="516" spans="1:16" x14ac:dyDescent="0.35">
      <c r="A516" s="287"/>
      <c r="B516" s="287"/>
      <c r="C516" s="32" t="s">
        <v>1623</v>
      </c>
      <c r="D516" s="32" t="s">
        <v>1773</v>
      </c>
      <c r="E516" s="32" t="s">
        <v>1851</v>
      </c>
      <c r="F516" s="32" t="s">
        <v>1858</v>
      </c>
      <c r="G516" s="33" t="s">
        <v>1565</v>
      </c>
      <c r="H516" s="34">
        <v>3</v>
      </c>
      <c r="I516" s="34">
        <v>2</v>
      </c>
      <c r="J516" s="34">
        <v>47</v>
      </c>
      <c r="K516" s="34">
        <v>38</v>
      </c>
      <c r="L516" s="135">
        <v>12</v>
      </c>
      <c r="M516" s="135">
        <v>14</v>
      </c>
      <c r="N516" s="135">
        <v>9</v>
      </c>
      <c r="O516" s="135">
        <v>11</v>
      </c>
      <c r="P516" s="218">
        <f t="shared" si="22"/>
        <v>136</v>
      </c>
    </row>
    <row r="517" spans="1:16" x14ac:dyDescent="0.35">
      <c r="A517" s="287"/>
      <c r="B517" s="287"/>
      <c r="C517" s="32" t="s">
        <v>1623</v>
      </c>
      <c r="D517" s="32" t="s">
        <v>1773</v>
      </c>
      <c r="E517" s="32" t="s">
        <v>1851</v>
      </c>
      <c r="F517" s="32" t="s">
        <v>1858</v>
      </c>
      <c r="G517" s="33" t="s">
        <v>1566</v>
      </c>
      <c r="H517" s="34">
        <v>1</v>
      </c>
      <c r="I517" s="34">
        <v>4</v>
      </c>
      <c r="J517" s="34">
        <v>56</v>
      </c>
      <c r="K517" s="34">
        <v>48</v>
      </c>
      <c r="L517" s="135">
        <v>8</v>
      </c>
      <c r="M517" s="135">
        <v>7</v>
      </c>
      <c r="N517" s="135">
        <v>9</v>
      </c>
      <c r="O517" s="135">
        <v>12</v>
      </c>
      <c r="P517" s="218">
        <f t="shared" si="22"/>
        <v>145</v>
      </c>
    </row>
    <row r="518" spans="1:16" x14ac:dyDescent="0.35">
      <c r="A518" s="287"/>
      <c r="B518" s="287"/>
      <c r="C518" s="32" t="s">
        <v>1623</v>
      </c>
      <c r="D518" s="32" t="s">
        <v>1773</v>
      </c>
      <c r="E518" s="32" t="s">
        <v>1851</v>
      </c>
      <c r="F518" s="32" t="s">
        <v>1858</v>
      </c>
      <c r="G518" s="33" t="s">
        <v>1567</v>
      </c>
      <c r="H518" s="34">
        <v>5</v>
      </c>
      <c r="I518" s="34">
        <v>3</v>
      </c>
      <c r="J518" s="34">
        <v>72</v>
      </c>
      <c r="K518" s="34">
        <v>42</v>
      </c>
      <c r="L518" s="135">
        <v>10</v>
      </c>
      <c r="M518" s="135">
        <v>10</v>
      </c>
      <c r="N518" s="135">
        <v>25</v>
      </c>
      <c r="O518" s="135">
        <v>25</v>
      </c>
      <c r="P518" s="218">
        <f t="shared" ref="P518:P581" si="25">H518+I518+J518+K518+L518+M518+N518+O518</f>
        <v>192</v>
      </c>
    </row>
    <row r="519" spans="1:16" x14ac:dyDescent="0.35">
      <c r="A519" s="287"/>
      <c r="B519" s="287"/>
      <c r="C519" s="32" t="s">
        <v>1623</v>
      </c>
      <c r="D519" s="32" t="s">
        <v>1773</v>
      </c>
      <c r="E519" s="32" t="s">
        <v>1774</v>
      </c>
      <c r="F519" s="32" t="s">
        <v>1774</v>
      </c>
      <c r="G519" s="33" t="s">
        <v>1568</v>
      </c>
      <c r="H519" s="34">
        <v>4</v>
      </c>
      <c r="I519" s="34">
        <v>6</v>
      </c>
      <c r="J519" s="34">
        <v>52</v>
      </c>
      <c r="K519" s="34">
        <v>50</v>
      </c>
      <c r="L519" s="135">
        <v>10</v>
      </c>
      <c r="M519" s="135">
        <v>12</v>
      </c>
      <c r="N519" s="135">
        <v>24</v>
      </c>
      <c r="O519" s="135">
        <v>16</v>
      </c>
      <c r="P519" s="218">
        <f t="shared" si="25"/>
        <v>174</v>
      </c>
    </row>
    <row r="520" spans="1:16" x14ac:dyDescent="0.35">
      <c r="A520" s="287"/>
      <c r="B520" s="287"/>
      <c r="C520" s="32" t="s">
        <v>1623</v>
      </c>
      <c r="D520" s="32" t="s">
        <v>1773</v>
      </c>
      <c r="E520" s="32" t="s">
        <v>1851</v>
      </c>
      <c r="F520" s="32" t="s">
        <v>1858</v>
      </c>
      <c r="G520" s="33" t="s">
        <v>1153</v>
      </c>
      <c r="H520" s="34">
        <v>6</v>
      </c>
      <c r="I520" s="34">
        <v>3</v>
      </c>
      <c r="J520" s="34">
        <v>43</v>
      </c>
      <c r="K520" s="34">
        <v>38</v>
      </c>
      <c r="L520" s="135">
        <v>16</v>
      </c>
      <c r="M520" s="135">
        <v>13</v>
      </c>
      <c r="N520" s="135">
        <v>19</v>
      </c>
      <c r="O520" s="135">
        <v>18</v>
      </c>
      <c r="P520" s="218">
        <f t="shared" si="25"/>
        <v>156</v>
      </c>
    </row>
    <row r="521" spans="1:16" x14ac:dyDescent="0.35">
      <c r="A521" s="287"/>
      <c r="B521" s="287"/>
      <c r="C521" s="32" t="s">
        <v>1623</v>
      </c>
      <c r="D521" s="32" t="s">
        <v>1773</v>
      </c>
      <c r="E521" s="32" t="s">
        <v>1774</v>
      </c>
      <c r="F521" s="32" t="s">
        <v>1774</v>
      </c>
      <c r="G521" s="33" t="s">
        <v>1569</v>
      </c>
      <c r="H521" s="34">
        <v>3</v>
      </c>
      <c r="I521" s="34">
        <v>5</v>
      </c>
      <c r="J521" s="34">
        <v>34</v>
      </c>
      <c r="K521" s="34">
        <v>44</v>
      </c>
      <c r="L521" s="135">
        <v>32</v>
      </c>
      <c r="M521" s="135">
        <v>11</v>
      </c>
      <c r="N521" s="135">
        <v>14</v>
      </c>
      <c r="O521" s="135">
        <v>10</v>
      </c>
      <c r="P521" s="218">
        <f t="shared" si="25"/>
        <v>153</v>
      </c>
    </row>
    <row r="522" spans="1:16" x14ac:dyDescent="0.35">
      <c r="A522" s="287"/>
      <c r="B522" s="287"/>
      <c r="C522" s="32" t="s">
        <v>1623</v>
      </c>
      <c r="D522" s="32" t="s">
        <v>1773</v>
      </c>
      <c r="E522" s="32" t="s">
        <v>1851</v>
      </c>
      <c r="F522" s="32" t="s">
        <v>1860</v>
      </c>
      <c r="G522" s="33" t="s">
        <v>1570</v>
      </c>
      <c r="H522" s="34">
        <v>8</v>
      </c>
      <c r="I522" s="34">
        <v>7</v>
      </c>
      <c r="J522" s="34">
        <v>42</v>
      </c>
      <c r="K522" s="34">
        <v>42</v>
      </c>
      <c r="L522" s="135">
        <v>9</v>
      </c>
      <c r="M522" s="135">
        <v>14</v>
      </c>
      <c r="N522" s="135">
        <v>12</v>
      </c>
      <c r="O522" s="135">
        <v>16</v>
      </c>
      <c r="P522" s="218">
        <f t="shared" si="25"/>
        <v>150</v>
      </c>
    </row>
    <row r="523" spans="1:16" x14ac:dyDescent="0.35">
      <c r="A523" s="287"/>
      <c r="B523" s="287"/>
      <c r="C523" s="32" t="s">
        <v>1623</v>
      </c>
      <c r="D523" s="32" t="s">
        <v>1773</v>
      </c>
      <c r="E523" s="32" t="s">
        <v>1774</v>
      </c>
      <c r="F523" s="32" t="s">
        <v>1774</v>
      </c>
      <c r="G523" s="33" t="s">
        <v>1571</v>
      </c>
      <c r="H523" s="34">
        <v>5</v>
      </c>
      <c r="I523" s="34">
        <v>1</v>
      </c>
      <c r="J523" s="34">
        <v>20</v>
      </c>
      <c r="K523" s="34">
        <v>26</v>
      </c>
      <c r="L523" s="135">
        <v>18</v>
      </c>
      <c r="M523" s="135">
        <v>24</v>
      </c>
      <c r="N523" s="135">
        <v>11</v>
      </c>
      <c r="O523" s="135">
        <v>18</v>
      </c>
      <c r="P523" s="218">
        <f t="shared" si="25"/>
        <v>123</v>
      </c>
    </row>
    <row r="524" spans="1:16" x14ac:dyDescent="0.35">
      <c r="A524" s="52"/>
      <c r="B524" s="52"/>
      <c r="C524" s="52"/>
      <c r="D524" s="52"/>
      <c r="E524" s="52"/>
      <c r="F524" s="52"/>
      <c r="G524" s="52" t="s">
        <v>2</v>
      </c>
      <c r="H524" s="195">
        <f>SUM(H500:H523)</f>
        <v>110</v>
      </c>
      <c r="I524" s="195">
        <f>SUM(I500:I523)</f>
        <v>114</v>
      </c>
      <c r="J524" s="196">
        <f>SUM(J500:J523)</f>
        <v>1031</v>
      </c>
      <c r="K524" s="196">
        <f>SUM(K500:K523)</f>
        <v>1090</v>
      </c>
      <c r="L524" s="191">
        <f t="shared" ref="L524:O524" si="26">SUM(L500:L523)</f>
        <v>317</v>
      </c>
      <c r="M524" s="191">
        <f t="shared" si="26"/>
        <v>261</v>
      </c>
      <c r="N524" s="192">
        <f t="shared" si="26"/>
        <v>367</v>
      </c>
      <c r="O524" s="192">
        <f t="shared" si="26"/>
        <v>382</v>
      </c>
      <c r="P524" s="217">
        <f t="shared" si="25"/>
        <v>3672</v>
      </c>
    </row>
    <row r="525" spans="1:16" x14ac:dyDescent="0.35">
      <c r="A525" s="287">
        <v>19</v>
      </c>
      <c r="B525" s="287" t="s">
        <v>1911</v>
      </c>
      <c r="C525" s="32" t="s">
        <v>1623</v>
      </c>
      <c r="D525" s="32" t="s">
        <v>1773</v>
      </c>
      <c r="E525" s="32" t="s">
        <v>1864</v>
      </c>
      <c r="F525" s="32" t="s">
        <v>1861</v>
      </c>
      <c r="G525" s="33" t="s">
        <v>1572</v>
      </c>
      <c r="H525" s="34">
        <v>5</v>
      </c>
      <c r="I525" s="34">
        <v>6</v>
      </c>
      <c r="J525" s="34">
        <v>23</v>
      </c>
      <c r="K525" s="34">
        <v>28</v>
      </c>
      <c r="L525" s="135">
        <v>9</v>
      </c>
      <c r="M525" s="135">
        <v>10</v>
      </c>
      <c r="N525" s="135">
        <v>11</v>
      </c>
      <c r="O525" s="135">
        <v>15</v>
      </c>
      <c r="P525" s="218">
        <f t="shared" si="25"/>
        <v>107</v>
      </c>
    </row>
    <row r="526" spans="1:16" x14ac:dyDescent="0.35">
      <c r="A526" s="287"/>
      <c r="B526" s="287"/>
      <c r="C526" s="32" t="s">
        <v>1623</v>
      </c>
      <c r="D526" s="32" t="s">
        <v>1773</v>
      </c>
      <c r="E526" s="32" t="s">
        <v>1864</v>
      </c>
      <c r="F526" s="32" t="s">
        <v>1861</v>
      </c>
      <c r="G526" s="33" t="s">
        <v>1573</v>
      </c>
      <c r="H526" s="34">
        <v>5</v>
      </c>
      <c r="I526" s="34">
        <v>5</v>
      </c>
      <c r="J526" s="34">
        <v>20</v>
      </c>
      <c r="K526" s="34">
        <v>23</v>
      </c>
      <c r="L526" s="135">
        <v>9</v>
      </c>
      <c r="M526" s="135">
        <v>11</v>
      </c>
      <c r="N526" s="135">
        <v>7</v>
      </c>
      <c r="O526" s="135">
        <v>13</v>
      </c>
      <c r="P526" s="218">
        <f t="shared" si="25"/>
        <v>93</v>
      </c>
    </row>
    <row r="527" spans="1:16" x14ac:dyDescent="0.35">
      <c r="A527" s="287"/>
      <c r="B527" s="287"/>
      <c r="C527" s="32" t="s">
        <v>1623</v>
      </c>
      <c r="D527" s="32" t="s">
        <v>1773</v>
      </c>
      <c r="E527" s="32" t="s">
        <v>1864</v>
      </c>
      <c r="F527" s="32" t="s">
        <v>1861</v>
      </c>
      <c r="G527" s="33" t="s">
        <v>1574</v>
      </c>
      <c r="H527" s="34">
        <v>5</v>
      </c>
      <c r="I527" s="34">
        <v>2</v>
      </c>
      <c r="J527" s="34">
        <v>25</v>
      </c>
      <c r="K527" s="34">
        <v>20</v>
      </c>
      <c r="L527" s="135">
        <v>6</v>
      </c>
      <c r="M527" s="135">
        <v>4</v>
      </c>
      <c r="N527" s="135">
        <v>16</v>
      </c>
      <c r="O527" s="135">
        <v>11</v>
      </c>
      <c r="P527" s="218">
        <f t="shared" si="25"/>
        <v>89</v>
      </c>
    </row>
    <row r="528" spans="1:16" x14ac:dyDescent="0.35">
      <c r="A528" s="287"/>
      <c r="B528" s="287"/>
      <c r="C528" s="32" t="s">
        <v>1623</v>
      </c>
      <c r="D528" s="32" t="s">
        <v>1773</v>
      </c>
      <c r="E528" s="32" t="s">
        <v>1864</v>
      </c>
      <c r="F528" s="32" t="s">
        <v>1862</v>
      </c>
      <c r="G528" s="33" t="s">
        <v>1575</v>
      </c>
      <c r="H528" s="34">
        <v>1</v>
      </c>
      <c r="I528" s="34">
        <v>2</v>
      </c>
      <c r="J528" s="34">
        <v>36</v>
      </c>
      <c r="K528" s="34">
        <v>24</v>
      </c>
      <c r="L528" s="135">
        <v>17</v>
      </c>
      <c r="M528" s="135">
        <v>20</v>
      </c>
      <c r="N528" s="135">
        <v>17</v>
      </c>
      <c r="O528" s="135">
        <v>20</v>
      </c>
      <c r="P528" s="218">
        <f t="shared" si="25"/>
        <v>137</v>
      </c>
    </row>
    <row r="529" spans="1:16" x14ac:dyDescent="0.35">
      <c r="A529" s="287"/>
      <c r="B529" s="287"/>
      <c r="C529" s="32" t="s">
        <v>1623</v>
      </c>
      <c r="D529" s="32" t="s">
        <v>1773</v>
      </c>
      <c r="E529" s="32" t="s">
        <v>1864</v>
      </c>
      <c r="F529" s="32" t="s">
        <v>1862</v>
      </c>
      <c r="G529" s="33" t="s">
        <v>1576</v>
      </c>
      <c r="H529" s="34">
        <v>1</v>
      </c>
      <c r="I529" s="34">
        <v>3</v>
      </c>
      <c r="J529" s="34">
        <v>16</v>
      </c>
      <c r="K529" s="34">
        <v>13</v>
      </c>
      <c r="L529" s="135">
        <v>1</v>
      </c>
      <c r="M529" s="135">
        <v>4</v>
      </c>
      <c r="N529" s="135">
        <v>13</v>
      </c>
      <c r="O529" s="135">
        <v>9</v>
      </c>
      <c r="P529" s="218">
        <f t="shared" si="25"/>
        <v>60</v>
      </c>
    </row>
    <row r="530" spans="1:16" x14ac:dyDescent="0.35">
      <c r="A530" s="287"/>
      <c r="B530" s="287"/>
      <c r="C530" s="32" t="s">
        <v>1623</v>
      </c>
      <c r="D530" s="32" t="s">
        <v>1773</v>
      </c>
      <c r="E530" s="32" t="s">
        <v>1864</v>
      </c>
      <c r="F530" s="32" t="s">
        <v>1861</v>
      </c>
      <c r="G530" s="33" t="s">
        <v>1577</v>
      </c>
      <c r="H530" s="34">
        <v>7</v>
      </c>
      <c r="I530" s="34">
        <v>7</v>
      </c>
      <c r="J530" s="34">
        <v>16</v>
      </c>
      <c r="K530" s="34">
        <v>6</v>
      </c>
      <c r="L530" s="135">
        <v>4</v>
      </c>
      <c r="M530" s="135">
        <v>4</v>
      </c>
      <c r="N530" s="135">
        <v>15</v>
      </c>
      <c r="O530" s="135">
        <v>19</v>
      </c>
      <c r="P530" s="218">
        <f t="shared" si="25"/>
        <v>78</v>
      </c>
    </row>
    <row r="531" spans="1:16" x14ac:dyDescent="0.35">
      <c r="A531" s="287"/>
      <c r="B531" s="287"/>
      <c r="C531" s="32" t="s">
        <v>1623</v>
      </c>
      <c r="D531" s="32" t="s">
        <v>1773</v>
      </c>
      <c r="E531" s="32" t="s">
        <v>1864</v>
      </c>
      <c r="F531" s="32" t="s">
        <v>1862</v>
      </c>
      <c r="G531" s="33" t="s">
        <v>1578</v>
      </c>
      <c r="H531" s="34">
        <v>5</v>
      </c>
      <c r="I531" s="34">
        <v>12</v>
      </c>
      <c r="J531" s="34">
        <v>28</v>
      </c>
      <c r="K531" s="34">
        <v>30</v>
      </c>
      <c r="L531" s="135">
        <v>16</v>
      </c>
      <c r="M531" s="135">
        <v>11</v>
      </c>
      <c r="N531" s="135">
        <v>24</v>
      </c>
      <c r="O531" s="135">
        <v>16</v>
      </c>
      <c r="P531" s="218">
        <f t="shared" si="25"/>
        <v>142</v>
      </c>
    </row>
    <row r="532" spans="1:16" x14ac:dyDescent="0.35">
      <c r="A532" s="287"/>
      <c r="B532" s="287"/>
      <c r="C532" s="32" t="s">
        <v>1623</v>
      </c>
      <c r="D532" s="32" t="s">
        <v>1773</v>
      </c>
      <c r="E532" s="32" t="s">
        <v>1864</v>
      </c>
      <c r="F532" s="32" t="s">
        <v>1861</v>
      </c>
      <c r="G532" s="33" t="s">
        <v>1579</v>
      </c>
      <c r="H532" s="34">
        <v>5</v>
      </c>
      <c r="I532" s="34">
        <v>4</v>
      </c>
      <c r="J532" s="34">
        <v>22</v>
      </c>
      <c r="K532" s="34">
        <v>16</v>
      </c>
      <c r="L532" s="135">
        <v>10</v>
      </c>
      <c r="M532" s="135">
        <v>10</v>
      </c>
      <c r="N532" s="135">
        <v>19</v>
      </c>
      <c r="O532" s="135">
        <v>10</v>
      </c>
      <c r="P532" s="218">
        <f t="shared" si="25"/>
        <v>96</v>
      </c>
    </row>
    <row r="533" spans="1:16" x14ac:dyDescent="0.35">
      <c r="A533" s="287"/>
      <c r="B533" s="287"/>
      <c r="C533" s="32" t="s">
        <v>1623</v>
      </c>
      <c r="D533" s="32" t="s">
        <v>1773</v>
      </c>
      <c r="E533" s="32" t="s">
        <v>1864</v>
      </c>
      <c r="F533" s="26" t="s">
        <v>1862</v>
      </c>
      <c r="G533" s="36" t="s">
        <v>1580</v>
      </c>
      <c r="H533" s="21">
        <v>8</v>
      </c>
      <c r="I533" s="21">
        <v>8</v>
      </c>
      <c r="J533" s="21">
        <v>39</v>
      </c>
      <c r="K533" s="21">
        <v>50</v>
      </c>
      <c r="L533" s="135">
        <v>18</v>
      </c>
      <c r="M533" s="135">
        <v>32</v>
      </c>
      <c r="N533" s="135">
        <v>23</v>
      </c>
      <c r="O533" s="135">
        <v>30</v>
      </c>
      <c r="P533" s="218">
        <f t="shared" si="25"/>
        <v>208</v>
      </c>
    </row>
    <row r="534" spans="1:16" x14ac:dyDescent="0.35">
      <c r="A534" s="287"/>
      <c r="B534" s="287"/>
      <c r="C534" s="32" t="s">
        <v>1623</v>
      </c>
      <c r="D534" s="32" t="s">
        <v>1773</v>
      </c>
      <c r="E534" s="32" t="s">
        <v>1864</v>
      </c>
      <c r="F534" s="32" t="s">
        <v>1861</v>
      </c>
      <c r="G534" s="33" t="s">
        <v>1116</v>
      </c>
      <c r="H534" s="34">
        <v>7</v>
      </c>
      <c r="I534" s="34">
        <v>5</v>
      </c>
      <c r="J534" s="34">
        <v>31</v>
      </c>
      <c r="K534" s="34">
        <v>24</v>
      </c>
      <c r="L534" s="135">
        <v>12</v>
      </c>
      <c r="M534" s="135">
        <v>18</v>
      </c>
      <c r="N534" s="135">
        <v>13</v>
      </c>
      <c r="O534" s="135">
        <v>12</v>
      </c>
      <c r="P534" s="218">
        <f t="shared" si="25"/>
        <v>122</v>
      </c>
    </row>
    <row r="535" spans="1:16" x14ac:dyDescent="0.35">
      <c r="A535" s="287"/>
      <c r="B535" s="287"/>
      <c r="C535" s="32" t="s">
        <v>1623</v>
      </c>
      <c r="D535" s="32" t="s">
        <v>1773</v>
      </c>
      <c r="E535" s="32" t="s">
        <v>1864</v>
      </c>
      <c r="F535" s="32" t="s">
        <v>1861</v>
      </c>
      <c r="G535" s="33" t="s">
        <v>1581</v>
      </c>
      <c r="H535" s="34">
        <v>4</v>
      </c>
      <c r="I535" s="34">
        <v>5</v>
      </c>
      <c r="J535" s="34">
        <v>19</v>
      </c>
      <c r="K535" s="34">
        <v>24</v>
      </c>
      <c r="L535" s="135">
        <v>12</v>
      </c>
      <c r="M535" s="135">
        <v>7</v>
      </c>
      <c r="N535" s="135">
        <v>6</v>
      </c>
      <c r="O535" s="135">
        <v>7</v>
      </c>
      <c r="P535" s="218">
        <f t="shared" si="25"/>
        <v>84</v>
      </c>
    </row>
    <row r="536" spans="1:16" x14ac:dyDescent="0.35">
      <c r="A536" s="287"/>
      <c r="B536" s="287"/>
      <c r="C536" s="32" t="s">
        <v>1623</v>
      </c>
      <c r="D536" s="32" t="s">
        <v>1773</v>
      </c>
      <c r="E536" s="32" t="s">
        <v>1864</v>
      </c>
      <c r="F536" s="26" t="s">
        <v>1862</v>
      </c>
      <c r="G536" s="33" t="s">
        <v>1454</v>
      </c>
      <c r="H536" s="34">
        <v>5</v>
      </c>
      <c r="I536" s="34">
        <v>3</v>
      </c>
      <c r="J536" s="34">
        <v>16</v>
      </c>
      <c r="K536" s="34">
        <v>10</v>
      </c>
      <c r="L536" s="135">
        <v>3</v>
      </c>
      <c r="M536" s="135">
        <v>3</v>
      </c>
      <c r="N536" s="135">
        <v>9</v>
      </c>
      <c r="O536" s="135">
        <v>7</v>
      </c>
      <c r="P536" s="218">
        <f t="shared" si="25"/>
        <v>56</v>
      </c>
    </row>
    <row r="537" spans="1:16" x14ac:dyDescent="0.35">
      <c r="A537" s="287"/>
      <c r="B537" s="287"/>
      <c r="C537" s="32" t="s">
        <v>1623</v>
      </c>
      <c r="D537" s="32" t="s">
        <v>1773</v>
      </c>
      <c r="E537" s="32" t="s">
        <v>1864</v>
      </c>
      <c r="F537" s="32" t="s">
        <v>1863</v>
      </c>
      <c r="G537" s="33" t="s">
        <v>1375</v>
      </c>
      <c r="H537" s="34">
        <v>2</v>
      </c>
      <c r="I537" s="34">
        <v>4</v>
      </c>
      <c r="J537" s="34">
        <v>14</v>
      </c>
      <c r="K537" s="34">
        <v>15</v>
      </c>
      <c r="L537" s="135">
        <v>2</v>
      </c>
      <c r="M537" s="135">
        <v>2</v>
      </c>
      <c r="N537" s="135">
        <v>12</v>
      </c>
      <c r="O537" s="135">
        <v>11</v>
      </c>
      <c r="P537" s="218">
        <f t="shared" si="25"/>
        <v>62</v>
      </c>
    </row>
    <row r="538" spans="1:16" x14ac:dyDescent="0.35">
      <c r="A538" s="287"/>
      <c r="B538" s="287"/>
      <c r="C538" s="32" t="s">
        <v>1623</v>
      </c>
      <c r="D538" s="32" t="s">
        <v>1773</v>
      </c>
      <c r="E538" s="32" t="s">
        <v>1864</v>
      </c>
      <c r="F538" s="32" t="s">
        <v>1861</v>
      </c>
      <c r="G538" s="33" t="s">
        <v>1582</v>
      </c>
      <c r="H538" s="34">
        <v>1</v>
      </c>
      <c r="I538" s="34">
        <v>2</v>
      </c>
      <c r="J538" s="34">
        <v>19</v>
      </c>
      <c r="K538" s="34">
        <v>23</v>
      </c>
      <c r="L538" s="135">
        <v>9</v>
      </c>
      <c r="M538" s="135">
        <v>12</v>
      </c>
      <c r="N538" s="135">
        <v>12</v>
      </c>
      <c r="O538" s="135">
        <v>8</v>
      </c>
      <c r="P538" s="218">
        <f t="shared" si="25"/>
        <v>86</v>
      </c>
    </row>
    <row r="539" spans="1:16" x14ac:dyDescent="0.35">
      <c r="A539" s="52"/>
      <c r="B539" s="52"/>
      <c r="C539" s="52"/>
      <c r="D539" s="52"/>
      <c r="E539" s="52"/>
      <c r="F539" s="52"/>
      <c r="G539" s="52" t="s">
        <v>2</v>
      </c>
      <c r="H539" s="195">
        <f t="shared" ref="H539:O539" si="27">SUM(H525:H538)</f>
        <v>61</v>
      </c>
      <c r="I539" s="195">
        <f t="shared" si="27"/>
        <v>68</v>
      </c>
      <c r="J539" s="196">
        <f t="shared" si="27"/>
        <v>324</v>
      </c>
      <c r="K539" s="196">
        <f t="shared" si="27"/>
        <v>306</v>
      </c>
      <c r="L539" s="193">
        <f t="shared" si="27"/>
        <v>128</v>
      </c>
      <c r="M539" s="193">
        <f t="shared" si="27"/>
        <v>148</v>
      </c>
      <c r="N539" s="194">
        <f t="shared" si="27"/>
        <v>197</v>
      </c>
      <c r="O539" s="194">
        <f t="shared" si="27"/>
        <v>188</v>
      </c>
      <c r="P539" s="217">
        <f t="shared" si="25"/>
        <v>1420</v>
      </c>
    </row>
    <row r="540" spans="1:16" x14ac:dyDescent="0.35">
      <c r="A540" s="287">
        <v>20</v>
      </c>
      <c r="B540" s="287" t="s">
        <v>1912</v>
      </c>
      <c r="C540" s="32" t="s">
        <v>1623</v>
      </c>
      <c r="D540" s="32" t="s">
        <v>1773</v>
      </c>
      <c r="E540" s="32" t="s">
        <v>1851</v>
      </c>
      <c r="F540" s="32" t="s">
        <v>1865</v>
      </c>
      <c r="G540" s="37" t="s">
        <v>1583</v>
      </c>
      <c r="H540" s="38">
        <v>2</v>
      </c>
      <c r="I540" s="38">
        <v>0</v>
      </c>
      <c r="J540" s="38">
        <v>13</v>
      </c>
      <c r="K540" s="38">
        <v>18</v>
      </c>
      <c r="L540" s="135">
        <v>2</v>
      </c>
      <c r="M540" s="135">
        <v>1</v>
      </c>
      <c r="N540" s="135">
        <v>14</v>
      </c>
      <c r="O540" s="135">
        <v>27</v>
      </c>
      <c r="P540" s="218">
        <f t="shared" si="25"/>
        <v>77</v>
      </c>
    </row>
    <row r="541" spans="1:16" x14ac:dyDescent="0.35">
      <c r="A541" s="287"/>
      <c r="B541" s="287"/>
      <c r="C541" s="32" t="s">
        <v>1623</v>
      </c>
      <c r="D541" s="32" t="s">
        <v>1773</v>
      </c>
      <c r="E541" s="32" t="s">
        <v>1851</v>
      </c>
      <c r="F541" s="32" t="s">
        <v>1865</v>
      </c>
      <c r="G541" s="37" t="s">
        <v>1584</v>
      </c>
      <c r="H541" s="38">
        <v>2</v>
      </c>
      <c r="I541" s="38">
        <v>1</v>
      </c>
      <c r="J541" s="38">
        <v>13</v>
      </c>
      <c r="K541" s="38">
        <v>8</v>
      </c>
      <c r="L541" s="135">
        <v>5</v>
      </c>
      <c r="M541" s="135">
        <v>3</v>
      </c>
      <c r="N541" s="135">
        <v>7</v>
      </c>
      <c r="O541" s="135">
        <v>14</v>
      </c>
      <c r="P541" s="218">
        <f t="shared" si="25"/>
        <v>53</v>
      </c>
    </row>
    <row r="542" spans="1:16" x14ac:dyDescent="0.35">
      <c r="A542" s="287"/>
      <c r="B542" s="287"/>
      <c r="C542" s="32" t="s">
        <v>1623</v>
      </c>
      <c r="D542" s="32" t="s">
        <v>1773</v>
      </c>
      <c r="E542" s="32" t="s">
        <v>1851</v>
      </c>
      <c r="F542" s="32" t="s">
        <v>1865</v>
      </c>
      <c r="G542" s="37" t="s">
        <v>1585</v>
      </c>
      <c r="H542" s="38">
        <v>2</v>
      </c>
      <c r="I542" s="38">
        <v>2</v>
      </c>
      <c r="J542" s="38">
        <v>12</v>
      </c>
      <c r="K542" s="38">
        <v>11</v>
      </c>
      <c r="L542" s="135">
        <v>2</v>
      </c>
      <c r="M542" s="135">
        <v>4</v>
      </c>
      <c r="N542" s="135">
        <v>5</v>
      </c>
      <c r="O542" s="135">
        <v>3</v>
      </c>
      <c r="P542" s="218">
        <f t="shared" si="25"/>
        <v>41</v>
      </c>
    </row>
    <row r="543" spans="1:16" x14ac:dyDescent="0.35">
      <c r="A543" s="287"/>
      <c r="B543" s="287"/>
      <c r="C543" s="32" t="s">
        <v>1623</v>
      </c>
      <c r="D543" s="32" t="s">
        <v>1773</v>
      </c>
      <c r="E543" s="32" t="s">
        <v>1851</v>
      </c>
      <c r="F543" s="32" t="s">
        <v>1866</v>
      </c>
      <c r="G543" s="37" t="s">
        <v>1586</v>
      </c>
      <c r="H543" s="38">
        <v>6</v>
      </c>
      <c r="I543" s="38">
        <v>7</v>
      </c>
      <c r="J543" s="38">
        <v>43</v>
      </c>
      <c r="K543" s="38">
        <v>61</v>
      </c>
      <c r="L543" s="135">
        <v>9</v>
      </c>
      <c r="M543" s="135">
        <v>10</v>
      </c>
      <c r="N543" s="135">
        <v>12</v>
      </c>
      <c r="O543" s="135">
        <v>11</v>
      </c>
      <c r="P543" s="218">
        <f t="shared" si="25"/>
        <v>159</v>
      </c>
    </row>
    <row r="544" spans="1:16" x14ac:dyDescent="0.35">
      <c r="A544" s="287"/>
      <c r="B544" s="287"/>
      <c r="C544" s="32" t="s">
        <v>1623</v>
      </c>
      <c r="D544" s="32" t="s">
        <v>1773</v>
      </c>
      <c r="E544" s="32" t="s">
        <v>1851</v>
      </c>
      <c r="F544" s="32" t="s">
        <v>1865</v>
      </c>
      <c r="G544" s="37" t="s">
        <v>1587</v>
      </c>
      <c r="H544" s="38">
        <v>5</v>
      </c>
      <c r="I544" s="38">
        <v>7</v>
      </c>
      <c r="J544" s="38">
        <v>36</v>
      </c>
      <c r="K544" s="38">
        <v>45</v>
      </c>
      <c r="L544" s="135">
        <v>14</v>
      </c>
      <c r="M544" s="135">
        <v>13</v>
      </c>
      <c r="N544" s="135">
        <v>7</v>
      </c>
      <c r="O544" s="135">
        <v>14</v>
      </c>
      <c r="P544" s="218">
        <f t="shared" si="25"/>
        <v>141</v>
      </c>
    </row>
    <row r="545" spans="1:16" x14ac:dyDescent="0.35">
      <c r="A545" s="287"/>
      <c r="B545" s="287"/>
      <c r="C545" s="32" t="s">
        <v>1623</v>
      </c>
      <c r="D545" s="32" t="s">
        <v>1773</v>
      </c>
      <c r="E545" s="32" t="s">
        <v>1851</v>
      </c>
      <c r="F545" s="32" t="s">
        <v>1866</v>
      </c>
      <c r="G545" s="37" t="s">
        <v>1588</v>
      </c>
      <c r="H545" s="38">
        <v>3</v>
      </c>
      <c r="I545" s="38">
        <v>2</v>
      </c>
      <c r="J545" s="38">
        <v>29</v>
      </c>
      <c r="K545" s="38">
        <v>35</v>
      </c>
      <c r="L545" s="135">
        <v>10</v>
      </c>
      <c r="M545" s="135">
        <v>17</v>
      </c>
      <c r="N545" s="135">
        <v>15</v>
      </c>
      <c r="O545" s="135">
        <v>8</v>
      </c>
      <c r="P545" s="218">
        <f t="shared" si="25"/>
        <v>119</v>
      </c>
    </row>
    <row r="546" spans="1:16" x14ac:dyDescent="0.35">
      <c r="A546" s="287"/>
      <c r="B546" s="287"/>
      <c r="C546" s="32" t="s">
        <v>1623</v>
      </c>
      <c r="D546" s="32" t="s">
        <v>1773</v>
      </c>
      <c r="E546" s="32" t="s">
        <v>1851</v>
      </c>
      <c r="F546" s="32" t="s">
        <v>1865</v>
      </c>
      <c r="G546" s="37" t="s">
        <v>1589</v>
      </c>
      <c r="H546" s="38">
        <v>3</v>
      </c>
      <c r="I546" s="38">
        <v>2</v>
      </c>
      <c r="J546" s="38">
        <v>15</v>
      </c>
      <c r="K546" s="38">
        <v>11</v>
      </c>
      <c r="L546" s="135">
        <v>4</v>
      </c>
      <c r="M546" s="135">
        <v>4</v>
      </c>
      <c r="N546" s="135">
        <v>1</v>
      </c>
      <c r="O546" s="135">
        <v>2</v>
      </c>
      <c r="P546" s="218">
        <f t="shared" si="25"/>
        <v>42</v>
      </c>
    </row>
    <row r="547" spans="1:16" x14ac:dyDescent="0.35">
      <c r="A547" s="287"/>
      <c r="B547" s="287"/>
      <c r="C547" s="32" t="s">
        <v>1623</v>
      </c>
      <c r="D547" s="32" t="s">
        <v>1773</v>
      </c>
      <c r="E547" s="32" t="s">
        <v>1851</v>
      </c>
      <c r="F547" s="32" t="s">
        <v>1866</v>
      </c>
      <c r="G547" s="37" t="s">
        <v>1590</v>
      </c>
      <c r="H547" s="38">
        <v>5</v>
      </c>
      <c r="I547" s="38">
        <v>5</v>
      </c>
      <c r="J547" s="38">
        <v>37</v>
      </c>
      <c r="K547" s="38">
        <v>33</v>
      </c>
      <c r="L547" s="135">
        <v>5</v>
      </c>
      <c r="M547" s="135">
        <v>5</v>
      </c>
      <c r="N547" s="135">
        <v>25</v>
      </c>
      <c r="O547" s="135">
        <v>20</v>
      </c>
      <c r="P547" s="218">
        <f t="shared" si="25"/>
        <v>135</v>
      </c>
    </row>
    <row r="548" spans="1:16" x14ac:dyDescent="0.35">
      <c r="A548" s="287"/>
      <c r="B548" s="287"/>
      <c r="C548" s="32" t="s">
        <v>1623</v>
      </c>
      <c r="D548" s="32" t="s">
        <v>1773</v>
      </c>
      <c r="E548" s="32" t="s">
        <v>1851</v>
      </c>
      <c r="F548" s="32" t="s">
        <v>1865</v>
      </c>
      <c r="G548" s="37" t="s">
        <v>1591</v>
      </c>
      <c r="H548" s="38">
        <v>0</v>
      </c>
      <c r="I548" s="38">
        <v>0</v>
      </c>
      <c r="J548" s="38">
        <v>15</v>
      </c>
      <c r="K548" s="38">
        <v>23</v>
      </c>
      <c r="L548" s="135">
        <v>5</v>
      </c>
      <c r="M548" s="135">
        <v>1</v>
      </c>
      <c r="N548" s="135">
        <v>4</v>
      </c>
      <c r="O548" s="135">
        <v>4</v>
      </c>
      <c r="P548" s="218">
        <f t="shared" si="25"/>
        <v>52</v>
      </c>
    </row>
    <row r="549" spans="1:16" x14ac:dyDescent="0.35">
      <c r="A549" s="287"/>
      <c r="B549" s="287"/>
      <c r="C549" s="32" t="s">
        <v>1623</v>
      </c>
      <c r="D549" s="32" t="s">
        <v>1773</v>
      </c>
      <c r="E549" s="32" t="s">
        <v>1851</v>
      </c>
      <c r="F549" s="32" t="s">
        <v>1867</v>
      </c>
      <c r="G549" s="37" t="s">
        <v>1592</v>
      </c>
      <c r="H549" s="38">
        <v>5</v>
      </c>
      <c r="I549" s="38">
        <v>3</v>
      </c>
      <c r="J549" s="38">
        <v>36</v>
      </c>
      <c r="K549" s="38">
        <v>30</v>
      </c>
      <c r="L549" s="135">
        <v>14</v>
      </c>
      <c r="M549" s="135">
        <v>10</v>
      </c>
      <c r="N549" s="135">
        <v>12</v>
      </c>
      <c r="O549" s="135">
        <v>11</v>
      </c>
      <c r="P549" s="218">
        <f t="shared" si="25"/>
        <v>121</v>
      </c>
    </row>
    <row r="550" spans="1:16" x14ac:dyDescent="0.35">
      <c r="A550" s="287"/>
      <c r="B550" s="287"/>
      <c r="C550" s="32" t="s">
        <v>1623</v>
      </c>
      <c r="D550" s="32" t="s">
        <v>1773</v>
      </c>
      <c r="E550" s="32" t="s">
        <v>1851</v>
      </c>
      <c r="F550" s="32" t="s">
        <v>1868</v>
      </c>
      <c r="G550" s="37" t="s">
        <v>1593</v>
      </c>
      <c r="H550" s="38">
        <v>30</v>
      </c>
      <c r="I550" s="38">
        <v>26</v>
      </c>
      <c r="J550" s="38">
        <v>99</v>
      </c>
      <c r="K550" s="38">
        <v>68</v>
      </c>
      <c r="L550" s="135">
        <v>38</v>
      </c>
      <c r="M550" s="135">
        <v>34</v>
      </c>
      <c r="N550" s="135">
        <v>26</v>
      </c>
      <c r="O550" s="135">
        <v>10</v>
      </c>
      <c r="P550" s="218">
        <f t="shared" si="25"/>
        <v>331</v>
      </c>
    </row>
    <row r="551" spans="1:16" x14ac:dyDescent="0.35">
      <c r="A551" s="287"/>
      <c r="B551" s="287"/>
      <c r="C551" s="32" t="s">
        <v>1623</v>
      </c>
      <c r="D551" s="32" t="s">
        <v>1773</v>
      </c>
      <c r="E551" s="32" t="s">
        <v>1851</v>
      </c>
      <c r="F551" s="32" t="s">
        <v>1867</v>
      </c>
      <c r="G551" s="37" t="s">
        <v>1594</v>
      </c>
      <c r="H551" s="38">
        <v>6</v>
      </c>
      <c r="I551" s="38">
        <v>6</v>
      </c>
      <c r="J551" s="38">
        <v>70</v>
      </c>
      <c r="K551" s="38">
        <v>61</v>
      </c>
      <c r="L551" s="135">
        <v>7</v>
      </c>
      <c r="M551" s="135">
        <v>12</v>
      </c>
      <c r="N551" s="135">
        <v>19</v>
      </c>
      <c r="O551" s="135">
        <v>12</v>
      </c>
      <c r="P551" s="218">
        <f t="shared" si="25"/>
        <v>193</v>
      </c>
    </row>
    <row r="552" spans="1:16" x14ac:dyDescent="0.35">
      <c r="A552" s="287"/>
      <c r="B552" s="287"/>
      <c r="C552" s="32" t="s">
        <v>1623</v>
      </c>
      <c r="D552" s="32" t="s">
        <v>1773</v>
      </c>
      <c r="E552" s="32" t="s">
        <v>1851</v>
      </c>
      <c r="F552" s="32" t="s">
        <v>1867</v>
      </c>
      <c r="G552" s="37" t="s">
        <v>1595</v>
      </c>
      <c r="H552" s="38">
        <v>3</v>
      </c>
      <c r="I552" s="38">
        <v>4</v>
      </c>
      <c r="J552" s="38">
        <v>57</v>
      </c>
      <c r="K552" s="38">
        <v>36</v>
      </c>
      <c r="L552" s="135">
        <v>11</v>
      </c>
      <c r="M552" s="135">
        <v>12</v>
      </c>
      <c r="N552" s="135">
        <v>11</v>
      </c>
      <c r="O552" s="135">
        <v>17</v>
      </c>
      <c r="P552" s="218">
        <f t="shared" si="25"/>
        <v>151</v>
      </c>
    </row>
    <row r="553" spans="1:16" x14ac:dyDescent="0.35">
      <c r="A553" s="287"/>
      <c r="B553" s="287"/>
      <c r="C553" s="32" t="s">
        <v>1623</v>
      </c>
      <c r="D553" s="32" t="s">
        <v>1773</v>
      </c>
      <c r="E553" s="32" t="s">
        <v>1851</v>
      </c>
      <c r="F553" s="32" t="s">
        <v>1868</v>
      </c>
      <c r="G553" s="37" t="s">
        <v>1596</v>
      </c>
      <c r="H553" s="38">
        <v>24</v>
      </c>
      <c r="I553" s="38">
        <v>21</v>
      </c>
      <c r="J553" s="38">
        <v>56</v>
      </c>
      <c r="K553" s="38">
        <v>52</v>
      </c>
      <c r="L553" s="135">
        <v>9</v>
      </c>
      <c r="M553" s="135">
        <v>13</v>
      </c>
      <c r="N553" s="135">
        <v>11</v>
      </c>
      <c r="O553" s="135">
        <v>17</v>
      </c>
      <c r="P553" s="218">
        <f t="shared" si="25"/>
        <v>203</v>
      </c>
    </row>
    <row r="554" spans="1:16" x14ac:dyDescent="0.35">
      <c r="A554" s="287"/>
      <c r="B554" s="287"/>
      <c r="C554" s="32" t="s">
        <v>1623</v>
      </c>
      <c r="D554" s="32" t="s">
        <v>1773</v>
      </c>
      <c r="E554" s="32" t="s">
        <v>1851</v>
      </c>
      <c r="F554" s="32" t="s">
        <v>1866</v>
      </c>
      <c r="G554" s="37" t="s">
        <v>1597</v>
      </c>
      <c r="H554" s="38">
        <v>2</v>
      </c>
      <c r="I554" s="38">
        <v>2</v>
      </c>
      <c r="J554" s="38">
        <v>34</v>
      </c>
      <c r="K554" s="38">
        <v>31</v>
      </c>
      <c r="L554" s="135">
        <v>8</v>
      </c>
      <c r="M554" s="135">
        <v>14</v>
      </c>
      <c r="N554" s="135">
        <v>10</v>
      </c>
      <c r="O554" s="135">
        <v>13</v>
      </c>
      <c r="P554" s="218">
        <f t="shared" si="25"/>
        <v>114</v>
      </c>
    </row>
    <row r="555" spans="1:16" x14ac:dyDescent="0.35">
      <c r="A555" s="287"/>
      <c r="B555" s="287"/>
      <c r="C555" s="32" t="s">
        <v>1623</v>
      </c>
      <c r="D555" s="32" t="s">
        <v>1773</v>
      </c>
      <c r="E555" s="32" t="s">
        <v>1851</v>
      </c>
      <c r="F555" s="32" t="s">
        <v>1866</v>
      </c>
      <c r="G555" s="37" t="s">
        <v>1598</v>
      </c>
      <c r="H555" s="38">
        <v>3</v>
      </c>
      <c r="I555" s="38">
        <v>0</v>
      </c>
      <c r="J555" s="38">
        <v>24</v>
      </c>
      <c r="K555" s="38">
        <v>17</v>
      </c>
      <c r="L555" s="135">
        <v>12</v>
      </c>
      <c r="M555" s="135">
        <v>17</v>
      </c>
      <c r="N555" s="135">
        <v>20</v>
      </c>
      <c r="O555" s="135">
        <v>11</v>
      </c>
      <c r="P555" s="218">
        <f t="shared" si="25"/>
        <v>104</v>
      </c>
    </row>
    <row r="556" spans="1:16" x14ac:dyDescent="0.35">
      <c r="A556" s="287"/>
      <c r="B556" s="287"/>
      <c r="C556" s="32" t="s">
        <v>1623</v>
      </c>
      <c r="D556" s="32" t="s">
        <v>1773</v>
      </c>
      <c r="E556" s="32" t="s">
        <v>1851</v>
      </c>
      <c r="F556" s="32" t="s">
        <v>1865</v>
      </c>
      <c r="G556" s="37" t="s">
        <v>1599</v>
      </c>
      <c r="H556" s="38">
        <v>2</v>
      </c>
      <c r="I556" s="38">
        <v>0</v>
      </c>
      <c r="J556" s="38">
        <v>16</v>
      </c>
      <c r="K556" s="38">
        <v>14</v>
      </c>
      <c r="L556" s="135">
        <v>4</v>
      </c>
      <c r="M556" s="135">
        <v>5</v>
      </c>
      <c r="N556" s="135">
        <v>7</v>
      </c>
      <c r="O556" s="135">
        <v>3</v>
      </c>
      <c r="P556" s="218">
        <f t="shared" si="25"/>
        <v>51</v>
      </c>
    </row>
    <row r="557" spans="1:16" x14ac:dyDescent="0.35">
      <c r="A557" s="287"/>
      <c r="B557" s="287"/>
      <c r="C557" s="32" t="s">
        <v>1623</v>
      </c>
      <c r="D557" s="32" t="s">
        <v>1773</v>
      </c>
      <c r="E557" s="32" t="s">
        <v>1851</v>
      </c>
      <c r="F557" s="32" t="s">
        <v>1866</v>
      </c>
      <c r="G557" s="37" t="s">
        <v>1600</v>
      </c>
      <c r="H557" s="38">
        <v>0</v>
      </c>
      <c r="I557" s="38">
        <v>3</v>
      </c>
      <c r="J557" s="38">
        <v>18</v>
      </c>
      <c r="K557" s="38">
        <v>25</v>
      </c>
      <c r="L557" s="135">
        <v>7</v>
      </c>
      <c r="M557" s="135">
        <v>15</v>
      </c>
      <c r="N557" s="135">
        <v>9</v>
      </c>
      <c r="O557" s="135">
        <v>6</v>
      </c>
      <c r="P557" s="218">
        <f t="shared" si="25"/>
        <v>83</v>
      </c>
    </row>
    <row r="558" spans="1:16" x14ac:dyDescent="0.35">
      <c r="A558" s="287"/>
      <c r="B558" s="287"/>
      <c r="C558" s="32" t="s">
        <v>1623</v>
      </c>
      <c r="D558" s="32" t="s">
        <v>1773</v>
      </c>
      <c r="E558" s="32" t="s">
        <v>1851</v>
      </c>
      <c r="F558" s="32" t="s">
        <v>1867</v>
      </c>
      <c r="G558" s="37" t="s">
        <v>1601</v>
      </c>
      <c r="H558" s="38">
        <v>20</v>
      </c>
      <c r="I558" s="38">
        <v>9</v>
      </c>
      <c r="J558" s="38">
        <v>33</v>
      </c>
      <c r="K558" s="38">
        <v>59</v>
      </c>
      <c r="L558" s="135">
        <v>10</v>
      </c>
      <c r="M558" s="135">
        <v>15</v>
      </c>
      <c r="N558" s="135">
        <v>20</v>
      </c>
      <c r="O558" s="135">
        <v>18</v>
      </c>
      <c r="P558" s="218">
        <f t="shared" si="25"/>
        <v>184</v>
      </c>
    </row>
    <row r="559" spans="1:16" x14ac:dyDescent="0.35">
      <c r="A559" s="287"/>
      <c r="B559" s="287"/>
      <c r="C559" s="32" t="s">
        <v>1623</v>
      </c>
      <c r="D559" s="32" t="s">
        <v>1773</v>
      </c>
      <c r="E559" s="32" t="s">
        <v>1851</v>
      </c>
      <c r="F559" s="32" t="s">
        <v>1865</v>
      </c>
      <c r="G559" s="37" t="s">
        <v>1602</v>
      </c>
      <c r="H559" s="38">
        <v>2</v>
      </c>
      <c r="I559" s="38">
        <v>1</v>
      </c>
      <c r="J559" s="38">
        <v>7</v>
      </c>
      <c r="K559" s="38">
        <v>25</v>
      </c>
      <c r="L559" s="135">
        <v>2</v>
      </c>
      <c r="M559" s="135">
        <v>0</v>
      </c>
      <c r="N559" s="135">
        <v>6</v>
      </c>
      <c r="O559" s="135">
        <v>17</v>
      </c>
      <c r="P559" s="218">
        <f t="shared" si="25"/>
        <v>60</v>
      </c>
    </row>
    <row r="560" spans="1:16" x14ac:dyDescent="0.35">
      <c r="A560" s="287"/>
      <c r="B560" s="287"/>
      <c r="C560" s="32" t="s">
        <v>1623</v>
      </c>
      <c r="D560" s="32" t="s">
        <v>1773</v>
      </c>
      <c r="E560" s="32" t="s">
        <v>1851</v>
      </c>
      <c r="F560" s="32" t="s">
        <v>1868</v>
      </c>
      <c r="G560" s="37" t="s">
        <v>1272</v>
      </c>
      <c r="H560" s="38">
        <v>6</v>
      </c>
      <c r="I560" s="38">
        <v>10</v>
      </c>
      <c r="J560" s="38">
        <v>78</v>
      </c>
      <c r="K560" s="38">
        <v>83</v>
      </c>
      <c r="L560" s="135">
        <v>20</v>
      </c>
      <c r="M560" s="135">
        <v>19</v>
      </c>
      <c r="N560" s="135">
        <v>16</v>
      </c>
      <c r="O560" s="135">
        <v>13</v>
      </c>
      <c r="P560" s="218">
        <f t="shared" si="25"/>
        <v>245</v>
      </c>
    </row>
    <row r="561" spans="1:16" x14ac:dyDescent="0.35">
      <c r="A561" s="287"/>
      <c r="B561" s="287"/>
      <c r="C561" s="32" t="s">
        <v>1623</v>
      </c>
      <c r="D561" s="32" t="s">
        <v>1773</v>
      </c>
      <c r="E561" s="32" t="s">
        <v>1851</v>
      </c>
      <c r="F561" s="32" t="s">
        <v>1866</v>
      </c>
      <c r="G561" s="37" t="s">
        <v>1474</v>
      </c>
      <c r="H561" s="38">
        <v>5</v>
      </c>
      <c r="I561" s="38">
        <v>5</v>
      </c>
      <c r="J561" s="38">
        <v>35</v>
      </c>
      <c r="K561" s="38">
        <v>35</v>
      </c>
      <c r="L561" s="135">
        <v>11</v>
      </c>
      <c r="M561" s="135">
        <v>19</v>
      </c>
      <c r="N561" s="135">
        <v>16</v>
      </c>
      <c r="O561" s="135">
        <v>16</v>
      </c>
      <c r="P561" s="218">
        <f t="shared" si="25"/>
        <v>142</v>
      </c>
    </row>
    <row r="562" spans="1:16" x14ac:dyDescent="0.35">
      <c r="A562" s="287"/>
      <c r="B562" s="287"/>
      <c r="C562" s="32" t="s">
        <v>1623</v>
      </c>
      <c r="D562" s="32" t="s">
        <v>1773</v>
      </c>
      <c r="E562" s="32" t="s">
        <v>1851</v>
      </c>
      <c r="F562" s="32" t="s">
        <v>1867</v>
      </c>
      <c r="G562" s="37" t="s">
        <v>1603</v>
      </c>
      <c r="H562" s="38">
        <v>3</v>
      </c>
      <c r="I562" s="38">
        <v>3</v>
      </c>
      <c r="J562" s="38">
        <v>22</v>
      </c>
      <c r="K562" s="38">
        <v>28</v>
      </c>
      <c r="L562" s="135">
        <v>10</v>
      </c>
      <c r="M562" s="135">
        <v>19</v>
      </c>
      <c r="N562" s="135">
        <v>11</v>
      </c>
      <c r="O562" s="135">
        <v>6</v>
      </c>
      <c r="P562" s="218">
        <f t="shared" si="25"/>
        <v>102</v>
      </c>
    </row>
    <row r="563" spans="1:16" x14ac:dyDescent="0.35">
      <c r="A563" s="287"/>
      <c r="B563" s="287"/>
      <c r="C563" s="32" t="s">
        <v>1623</v>
      </c>
      <c r="D563" s="32" t="s">
        <v>1773</v>
      </c>
      <c r="E563" s="32" t="s">
        <v>1851</v>
      </c>
      <c r="F563" s="32" t="s">
        <v>1866</v>
      </c>
      <c r="G563" s="37" t="s">
        <v>1604</v>
      </c>
      <c r="H563" s="38">
        <v>0</v>
      </c>
      <c r="I563" s="38">
        <v>2</v>
      </c>
      <c r="J563" s="38">
        <v>25</v>
      </c>
      <c r="K563" s="38">
        <v>20</v>
      </c>
      <c r="L563" s="135">
        <v>10</v>
      </c>
      <c r="M563" s="135">
        <v>14</v>
      </c>
      <c r="N563" s="135">
        <v>12</v>
      </c>
      <c r="O563" s="135">
        <v>8</v>
      </c>
      <c r="P563" s="218">
        <f t="shared" si="25"/>
        <v>91</v>
      </c>
    </row>
    <row r="564" spans="1:16" x14ac:dyDescent="0.35">
      <c r="A564" s="287"/>
      <c r="B564" s="287"/>
      <c r="C564" s="32" t="s">
        <v>1623</v>
      </c>
      <c r="D564" s="32" t="s">
        <v>1773</v>
      </c>
      <c r="E564" s="32" t="s">
        <v>1851</v>
      </c>
      <c r="F564" s="32" t="s">
        <v>1865</v>
      </c>
      <c r="G564" s="37" t="s">
        <v>1213</v>
      </c>
      <c r="H564" s="38">
        <v>7</v>
      </c>
      <c r="I564" s="38">
        <v>3</v>
      </c>
      <c r="J564" s="38">
        <v>23</v>
      </c>
      <c r="K564" s="38">
        <v>18</v>
      </c>
      <c r="L564" s="135">
        <v>3</v>
      </c>
      <c r="M564" s="135">
        <v>4</v>
      </c>
      <c r="N564" s="135">
        <v>12</v>
      </c>
      <c r="O564" s="135">
        <v>4</v>
      </c>
      <c r="P564" s="218">
        <f t="shared" si="25"/>
        <v>74</v>
      </c>
    </row>
    <row r="565" spans="1:16" x14ac:dyDescent="0.35">
      <c r="A565" s="287"/>
      <c r="B565" s="287"/>
      <c r="C565" s="32" t="s">
        <v>1623</v>
      </c>
      <c r="D565" s="32" t="s">
        <v>1773</v>
      </c>
      <c r="E565" s="32" t="s">
        <v>1851</v>
      </c>
      <c r="F565" s="32" t="s">
        <v>1865</v>
      </c>
      <c r="G565" s="37" t="s">
        <v>1605</v>
      </c>
      <c r="H565" s="38">
        <v>3</v>
      </c>
      <c r="I565" s="38">
        <v>3</v>
      </c>
      <c r="J565" s="38">
        <v>30</v>
      </c>
      <c r="K565" s="38">
        <v>40</v>
      </c>
      <c r="L565" s="135">
        <v>7</v>
      </c>
      <c r="M565" s="135">
        <v>8</v>
      </c>
      <c r="N565" s="135">
        <v>12</v>
      </c>
      <c r="O565" s="135">
        <v>18</v>
      </c>
      <c r="P565" s="218">
        <f t="shared" si="25"/>
        <v>121</v>
      </c>
    </row>
    <row r="566" spans="1:16" x14ac:dyDescent="0.35">
      <c r="A566" s="287"/>
      <c r="B566" s="287"/>
      <c r="C566" s="32" t="s">
        <v>1623</v>
      </c>
      <c r="D566" s="32" t="s">
        <v>1773</v>
      </c>
      <c r="E566" s="32" t="s">
        <v>1851</v>
      </c>
      <c r="F566" s="32" t="s">
        <v>1866</v>
      </c>
      <c r="G566" s="37" t="s">
        <v>1606</v>
      </c>
      <c r="H566" s="38">
        <v>4</v>
      </c>
      <c r="I566" s="38">
        <v>3</v>
      </c>
      <c r="J566" s="38">
        <v>64</v>
      </c>
      <c r="K566" s="38">
        <v>61</v>
      </c>
      <c r="L566" s="135">
        <v>20</v>
      </c>
      <c r="M566" s="135">
        <v>11</v>
      </c>
      <c r="N566" s="135">
        <v>13</v>
      </c>
      <c r="O566" s="135">
        <v>6</v>
      </c>
      <c r="P566" s="218">
        <f t="shared" si="25"/>
        <v>182</v>
      </c>
    </row>
    <row r="567" spans="1:16" x14ac:dyDescent="0.35">
      <c r="A567" s="287"/>
      <c r="B567" s="287"/>
      <c r="C567" s="32" t="s">
        <v>1623</v>
      </c>
      <c r="D567" s="32" t="s">
        <v>1773</v>
      </c>
      <c r="E567" s="32" t="s">
        <v>1851</v>
      </c>
      <c r="F567" s="32" t="s">
        <v>1866</v>
      </c>
      <c r="G567" s="37" t="s">
        <v>1607</v>
      </c>
      <c r="H567" s="38">
        <v>5</v>
      </c>
      <c r="I567" s="38">
        <v>5</v>
      </c>
      <c r="J567" s="38">
        <v>59</v>
      </c>
      <c r="K567" s="38">
        <v>54</v>
      </c>
      <c r="L567" s="135">
        <v>10</v>
      </c>
      <c r="M567" s="135">
        <v>16</v>
      </c>
      <c r="N567" s="135">
        <v>18</v>
      </c>
      <c r="O567" s="135">
        <v>17</v>
      </c>
      <c r="P567" s="218">
        <f t="shared" si="25"/>
        <v>184</v>
      </c>
    </row>
    <row r="568" spans="1:16" x14ac:dyDescent="0.35">
      <c r="A568" s="287"/>
      <c r="B568" s="287"/>
      <c r="C568" s="32" t="s">
        <v>1623</v>
      </c>
      <c r="D568" s="32" t="s">
        <v>1773</v>
      </c>
      <c r="E568" s="32" t="s">
        <v>1851</v>
      </c>
      <c r="F568" s="32" t="s">
        <v>1868</v>
      </c>
      <c r="G568" s="37" t="s">
        <v>1608</v>
      </c>
      <c r="H568" s="38">
        <v>2</v>
      </c>
      <c r="I568" s="38">
        <v>2</v>
      </c>
      <c r="J568" s="38">
        <v>16</v>
      </c>
      <c r="K568" s="38">
        <v>10</v>
      </c>
      <c r="L568" s="135">
        <v>4</v>
      </c>
      <c r="M568" s="135">
        <v>1</v>
      </c>
      <c r="N568" s="135">
        <v>8</v>
      </c>
      <c r="O568" s="135">
        <v>9</v>
      </c>
      <c r="P568" s="218">
        <f t="shared" si="25"/>
        <v>52</v>
      </c>
    </row>
    <row r="569" spans="1:16" x14ac:dyDescent="0.35">
      <c r="A569" s="287"/>
      <c r="B569" s="287"/>
      <c r="C569" s="32" t="s">
        <v>1623</v>
      </c>
      <c r="D569" s="32" t="s">
        <v>1773</v>
      </c>
      <c r="E569" s="32" t="s">
        <v>1851</v>
      </c>
      <c r="F569" s="32" t="s">
        <v>1865</v>
      </c>
      <c r="G569" s="37" t="s">
        <v>1609</v>
      </c>
      <c r="H569" s="38">
        <v>0</v>
      </c>
      <c r="I569" s="38">
        <v>1</v>
      </c>
      <c r="J569" s="38">
        <v>11</v>
      </c>
      <c r="K569" s="38">
        <v>14</v>
      </c>
      <c r="L569" s="135">
        <v>0</v>
      </c>
      <c r="M569" s="135">
        <v>1</v>
      </c>
      <c r="N569" s="135">
        <v>24</v>
      </c>
      <c r="O569" s="135">
        <v>14</v>
      </c>
      <c r="P569" s="218">
        <f t="shared" si="25"/>
        <v>65</v>
      </c>
    </row>
    <row r="570" spans="1:16" x14ac:dyDescent="0.35">
      <c r="A570" s="73"/>
      <c r="B570" s="73"/>
      <c r="C570" s="73"/>
      <c r="D570" s="73"/>
      <c r="E570" s="73"/>
      <c r="F570" s="73"/>
      <c r="G570" s="73" t="s">
        <v>2</v>
      </c>
      <c r="H570" s="201">
        <f>SUM(H540:H569)</f>
        <v>160</v>
      </c>
      <c r="I570" s="201">
        <f t="shared" ref="I570:O570" si="28">SUM(I540:I569)</f>
        <v>138</v>
      </c>
      <c r="J570" s="202">
        <f t="shared" si="28"/>
        <v>1026</v>
      </c>
      <c r="K570" s="202">
        <f t="shared" si="28"/>
        <v>1026</v>
      </c>
      <c r="L570" s="203">
        <f t="shared" si="28"/>
        <v>273</v>
      </c>
      <c r="M570" s="203">
        <f t="shared" si="28"/>
        <v>317</v>
      </c>
      <c r="N570" s="204">
        <f t="shared" si="28"/>
        <v>383</v>
      </c>
      <c r="O570" s="204">
        <f t="shared" si="28"/>
        <v>349</v>
      </c>
      <c r="P570" s="217">
        <f t="shared" si="25"/>
        <v>3672</v>
      </c>
    </row>
    <row r="571" spans="1:16" x14ac:dyDescent="0.35">
      <c r="A571" s="287">
        <v>21</v>
      </c>
      <c r="B571" s="287" t="s">
        <v>1913</v>
      </c>
      <c r="C571" s="32" t="s">
        <v>1623</v>
      </c>
      <c r="D571" s="32" t="s">
        <v>1773</v>
      </c>
      <c r="E571" s="32" t="s">
        <v>1864</v>
      </c>
      <c r="F571" s="32" t="s">
        <v>1869</v>
      </c>
      <c r="G571" s="33" t="s">
        <v>1610</v>
      </c>
      <c r="H571" s="21">
        <v>9</v>
      </c>
      <c r="I571" s="21">
        <v>6</v>
      </c>
      <c r="J571" s="21">
        <v>174</v>
      </c>
      <c r="K571" s="21">
        <v>161</v>
      </c>
      <c r="L571" s="135">
        <v>28</v>
      </c>
      <c r="M571" s="135">
        <v>30</v>
      </c>
      <c r="N571" s="135">
        <v>28</v>
      </c>
      <c r="O571" s="135">
        <v>29</v>
      </c>
      <c r="P571" s="218">
        <f t="shared" si="25"/>
        <v>465</v>
      </c>
    </row>
    <row r="572" spans="1:16" x14ac:dyDescent="0.35">
      <c r="A572" s="287"/>
      <c r="B572" s="287"/>
      <c r="C572" s="32" t="s">
        <v>1623</v>
      </c>
      <c r="D572" s="32" t="s">
        <v>1773</v>
      </c>
      <c r="E572" s="32" t="s">
        <v>1864</v>
      </c>
      <c r="F572" s="32" t="s">
        <v>1870</v>
      </c>
      <c r="G572" s="33" t="s">
        <v>1611</v>
      </c>
      <c r="H572" s="21">
        <v>15</v>
      </c>
      <c r="I572" s="21">
        <v>17</v>
      </c>
      <c r="J572" s="21">
        <v>62</v>
      </c>
      <c r="K572" s="21">
        <v>66</v>
      </c>
      <c r="L572" s="135">
        <v>21</v>
      </c>
      <c r="M572" s="135">
        <v>19</v>
      </c>
      <c r="N572" s="135">
        <v>26</v>
      </c>
      <c r="O572" s="135">
        <v>30</v>
      </c>
      <c r="P572" s="218">
        <f t="shared" si="25"/>
        <v>256</v>
      </c>
    </row>
    <row r="573" spans="1:16" x14ac:dyDescent="0.35">
      <c r="A573" s="287"/>
      <c r="B573" s="287"/>
      <c r="C573" s="32" t="s">
        <v>1623</v>
      </c>
      <c r="D573" s="32" t="s">
        <v>1773</v>
      </c>
      <c r="E573" s="32" t="s">
        <v>1864</v>
      </c>
      <c r="F573" s="32" t="s">
        <v>1870</v>
      </c>
      <c r="G573" s="33" t="s">
        <v>1612</v>
      </c>
      <c r="H573" s="21">
        <v>6</v>
      </c>
      <c r="I573" s="21">
        <v>5</v>
      </c>
      <c r="J573" s="21">
        <v>48</v>
      </c>
      <c r="K573" s="21">
        <v>50</v>
      </c>
      <c r="L573" s="135">
        <v>10</v>
      </c>
      <c r="M573" s="135">
        <v>25</v>
      </c>
      <c r="N573" s="135">
        <v>16</v>
      </c>
      <c r="O573" s="135">
        <v>10</v>
      </c>
      <c r="P573" s="218">
        <f t="shared" si="25"/>
        <v>170</v>
      </c>
    </row>
    <row r="574" spans="1:16" x14ac:dyDescent="0.35">
      <c r="A574" s="287"/>
      <c r="B574" s="287"/>
      <c r="C574" s="32" t="s">
        <v>1623</v>
      </c>
      <c r="D574" s="32" t="s">
        <v>1773</v>
      </c>
      <c r="E574" s="32" t="s">
        <v>1864</v>
      </c>
      <c r="F574" s="32" t="s">
        <v>1870</v>
      </c>
      <c r="G574" s="33" t="s">
        <v>1613</v>
      </c>
      <c r="H574" s="21">
        <v>13</v>
      </c>
      <c r="I574" s="21">
        <v>16</v>
      </c>
      <c r="J574" s="21">
        <v>42</v>
      </c>
      <c r="K574" s="21">
        <v>74</v>
      </c>
      <c r="L574" s="135">
        <v>20</v>
      </c>
      <c r="M574" s="135">
        <v>24</v>
      </c>
      <c r="N574" s="135">
        <v>32</v>
      </c>
      <c r="O574" s="135">
        <v>35</v>
      </c>
      <c r="P574" s="218">
        <f t="shared" si="25"/>
        <v>256</v>
      </c>
    </row>
    <row r="575" spans="1:16" x14ac:dyDescent="0.35">
      <c r="A575" s="287"/>
      <c r="B575" s="287"/>
      <c r="C575" s="32" t="s">
        <v>1623</v>
      </c>
      <c r="D575" s="32" t="s">
        <v>1773</v>
      </c>
      <c r="E575" s="32" t="s">
        <v>1864</v>
      </c>
      <c r="F575" s="32" t="s">
        <v>1870</v>
      </c>
      <c r="G575" s="33" t="s">
        <v>1281</v>
      </c>
      <c r="H575" s="21">
        <v>7</v>
      </c>
      <c r="I575" s="21">
        <v>6</v>
      </c>
      <c r="J575" s="21">
        <v>78</v>
      </c>
      <c r="K575" s="21">
        <v>89</v>
      </c>
      <c r="L575" s="135">
        <v>22</v>
      </c>
      <c r="M575" s="135">
        <v>18</v>
      </c>
      <c r="N575" s="135">
        <v>32</v>
      </c>
      <c r="O575" s="135">
        <v>28</v>
      </c>
      <c r="P575" s="218">
        <f t="shared" si="25"/>
        <v>280</v>
      </c>
    </row>
    <row r="576" spans="1:16" x14ac:dyDescent="0.35">
      <c r="A576" s="287"/>
      <c r="B576" s="287"/>
      <c r="C576" s="32" t="s">
        <v>1623</v>
      </c>
      <c r="D576" s="32" t="s">
        <v>1773</v>
      </c>
      <c r="E576" s="32" t="s">
        <v>1864</v>
      </c>
      <c r="F576" s="32" t="s">
        <v>1870</v>
      </c>
      <c r="G576" s="33" t="s">
        <v>1262</v>
      </c>
      <c r="H576" s="21">
        <v>3</v>
      </c>
      <c r="I576" s="21">
        <v>5</v>
      </c>
      <c r="J576" s="21">
        <v>64</v>
      </c>
      <c r="K576" s="21">
        <v>52</v>
      </c>
      <c r="L576" s="135">
        <v>15</v>
      </c>
      <c r="M576" s="135">
        <v>15</v>
      </c>
      <c r="N576" s="135">
        <v>6</v>
      </c>
      <c r="O576" s="135">
        <v>12</v>
      </c>
      <c r="P576" s="218">
        <f t="shared" si="25"/>
        <v>172</v>
      </c>
    </row>
    <row r="577" spans="1:16" x14ac:dyDescent="0.35">
      <c r="A577" s="287"/>
      <c r="B577" s="287"/>
      <c r="C577" s="32" t="s">
        <v>1623</v>
      </c>
      <c r="D577" s="32" t="s">
        <v>1773</v>
      </c>
      <c r="E577" s="32" t="s">
        <v>1864</v>
      </c>
      <c r="F577" s="32" t="s">
        <v>1869</v>
      </c>
      <c r="G577" s="33" t="s">
        <v>1614</v>
      </c>
      <c r="H577" s="21">
        <v>5</v>
      </c>
      <c r="I577" s="21">
        <v>6</v>
      </c>
      <c r="J577" s="21">
        <v>63</v>
      </c>
      <c r="K577" s="21">
        <v>63</v>
      </c>
      <c r="L577" s="135">
        <v>11</v>
      </c>
      <c r="M577" s="135">
        <v>9</v>
      </c>
      <c r="N577" s="135">
        <v>22</v>
      </c>
      <c r="O577" s="135">
        <v>18</v>
      </c>
      <c r="P577" s="218">
        <f t="shared" si="25"/>
        <v>197</v>
      </c>
    </row>
    <row r="578" spans="1:16" x14ac:dyDescent="0.35">
      <c r="A578" s="287"/>
      <c r="B578" s="287"/>
      <c r="C578" s="32" t="s">
        <v>1623</v>
      </c>
      <c r="D578" s="32" t="s">
        <v>1773</v>
      </c>
      <c r="E578" s="32" t="s">
        <v>1864</v>
      </c>
      <c r="F578" s="32" t="s">
        <v>1869</v>
      </c>
      <c r="G578" s="33" t="s">
        <v>1615</v>
      </c>
      <c r="H578" s="21">
        <v>4</v>
      </c>
      <c r="I578" s="21">
        <v>6</v>
      </c>
      <c r="J578" s="21">
        <v>130</v>
      </c>
      <c r="K578" s="21">
        <v>146</v>
      </c>
      <c r="L578" s="135">
        <v>56</v>
      </c>
      <c r="M578" s="135">
        <v>50</v>
      </c>
      <c r="N578" s="135">
        <v>54</v>
      </c>
      <c r="O578" s="135">
        <v>50</v>
      </c>
      <c r="P578" s="218">
        <f t="shared" si="25"/>
        <v>496</v>
      </c>
    </row>
    <row r="579" spans="1:16" x14ac:dyDescent="0.35">
      <c r="A579" s="287"/>
      <c r="B579" s="287"/>
      <c r="C579" s="32" t="s">
        <v>1623</v>
      </c>
      <c r="D579" s="32" t="s">
        <v>1773</v>
      </c>
      <c r="E579" s="32" t="s">
        <v>1864</v>
      </c>
      <c r="F579" s="32" t="s">
        <v>1869</v>
      </c>
      <c r="G579" s="33" t="s">
        <v>1616</v>
      </c>
      <c r="H579" s="21">
        <v>5</v>
      </c>
      <c r="I579" s="21">
        <v>4</v>
      </c>
      <c r="J579" s="21">
        <v>54</v>
      </c>
      <c r="K579" s="21">
        <v>41</v>
      </c>
      <c r="L579" s="135">
        <v>30</v>
      </c>
      <c r="M579" s="135">
        <v>49</v>
      </c>
      <c r="N579" s="135">
        <v>24</v>
      </c>
      <c r="O579" s="135">
        <v>20</v>
      </c>
      <c r="P579" s="218">
        <f t="shared" si="25"/>
        <v>227</v>
      </c>
    </row>
    <row r="580" spans="1:16" x14ac:dyDescent="0.35">
      <c r="A580" s="287"/>
      <c r="B580" s="287"/>
      <c r="C580" s="32" t="s">
        <v>1623</v>
      </c>
      <c r="D580" s="32" t="s">
        <v>1773</v>
      </c>
      <c r="E580" s="32" t="s">
        <v>1864</v>
      </c>
      <c r="F580" s="32" t="s">
        <v>1870</v>
      </c>
      <c r="G580" s="33" t="s">
        <v>1617</v>
      </c>
      <c r="H580" s="21">
        <v>11</v>
      </c>
      <c r="I580" s="21">
        <v>9</v>
      </c>
      <c r="J580" s="21">
        <v>63</v>
      </c>
      <c r="K580" s="21">
        <v>95</v>
      </c>
      <c r="L580" s="135">
        <v>21</v>
      </c>
      <c r="M580" s="135">
        <v>13</v>
      </c>
      <c r="N580" s="135">
        <v>26</v>
      </c>
      <c r="O580" s="135">
        <v>23</v>
      </c>
      <c r="P580" s="218">
        <f t="shared" si="25"/>
        <v>261</v>
      </c>
    </row>
    <row r="581" spans="1:16" x14ac:dyDescent="0.35">
      <c r="A581" s="287"/>
      <c r="B581" s="287"/>
      <c r="C581" s="32" t="s">
        <v>1623</v>
      </c>
      <c r="D581" s="32" t="s">
        <v>1773</v>
      </c>
      <c r="E581" s="32" t="s">
        <v>1864</v>
      </c>
      <c r="F581" s="32" t="s">
        <v>1869</v>
      </c>
      <c r="G581" s="33" t="s">
        <v>1618</v>
      </c>
      <c r="H581" s="21">
        <v>7</v>
      </c>
      <c r="I581" s="21">
        <v>8</v>
      </c>
      <c r="J581" s="21">
        <v>35</v>
      </c>
      <c r="K581" s="21">
        <v>40</v>
      </c>
      <c r="L581" s="135">
        <v>16</v>
      </c>
      <c r="M581" s="135">
        <v>14</v>
      </c>
      <c r="N581" s="135">
        <v>10</v>
      </c>
      <c r="O581" s="135">
        <v>22</v>
      </c>
      <c r="P581" s="218">
        <f t="shared" si="25"/>
        <v>152</v>
      </c>
    </row>
    <row r="582" spans="1:16" x14ac:dyDescent="0.35">
      <c r="A582" s="52"/>
      <c r="B582" s="52"/>
      <c r="C582" s="52"/>
      <c r="D582" s="52"/>
      <c r="E582" s="52"/>
      <c r="F582" s="52"/>
      <c r="G582" s="52" t="s">
        <v>2</v>
      </c>
      <c r="H582" s="195">
        <f>SUM(H571:H581)</f>
        <v>85</v>
      </c>
      <c r="I582" s="195">
        <f t="shared" ref="I582:O582" si="29">SUM(I571:I581)</f>
        <v>88</v>
      </c>
      <c r="J582" s="196">
        <f t="shared" si="29"/>
        <v>813</v>
      </c>
      <c r="K582" s="196">
        <f t="shared" si="29"/>
        <v>877</v>
      </c>
      <c r="L582" s="193">
        <f t="shared" si="29"/>
        <v>250</v>
      </c>
      <c r="M582" s="193">
        <f t="shared" si="29"/>
        <v>266</v>
      </c>
      <c r="N582" s="194">
        <f t="shared" si="29"/>
        <v>276</v>
      </c>
      <c r="O582" s="194">
        <f t="shared" si="29"/>
        <v>277</v>
      </c>
      <c r="P582" s="217">
        <f t="shared" ref="P582:P583" si="30">H582+I582+J582+K582+L582+M582+N582+O582</f>
        <v>2932</v>
      </c>
    </row>
    <row r="583" spans="1:16" x14ac:dyDescent="0.35">
      <c r="A583" s="7"/>
      <c r="B583" s="7"/>
      <c r="C583" s="7"/>
      <c r="D583" s="7"/>
      <c r="E583" s="7"/>
      <c r="F583" s="7"/>
      <c r="G583" s="122" t="s">
        <v>2637</v>
      </c>
      <c r="H583" s="122">
        <f>SUM(H25+H54+H144+H192+H213+H237+H256+H288+H318+H333+H345+H382+H399+H411+H428+H475+H499+H524+H539+H570+H582)</f>
        <v>3800</v>
      </c>
      <c r="I583" s="122">
        <f t="shared" ref="I583:O583" si="31">SUM(I25+I54+I144+I192+I213+I237+I256+I288+I318+I333+I345+I382+I399+I411+I428+I475+I499+I524+I539+I570+I582)</f>
        <v>4131</v>
      </c>
      <c r="J583" s="122">
        <f t="shared" si="31"/>
        <v>27061</v>
      </c>
      <c r="K583" s="122">
        <f t="shared" si="31"/>
        <v>30639</v>
      </c>
      <c r="L583" s="122">
        <f t="shared" si="31"/>
        <v>6394</v>
      </c>
      <c r="M583" s="122">
        <f t="shared" si="31"/>
        <v>7114</v>
      </c>
      <c r="N583" s="122">
        <f t="shared" si="31"/>
        <v>9039</v>
      </c>
      <c r="O583" s="122">
        <f t="shared" si="31"/>
        <v>9849</v>
      </c>
      <c r="P583" s="217">
        <f t="shared" si="30"/>
        <v>98027</v>
      </c>
    </row>
  </sheetData>
  <mergeCells count="51">
    <mergeCell ref="A525:A538"/>
    <mergeCell ref="B525:B538"/>
    <mergeCell ref="A540:A569"/>
    <mergeCell ref="B540:B569"/>
    <mergeCell ref="A571:A581"/>
    <mergeCell ref="B571:B581"/>
    <mergeCell ref="A429:A474"/>
    <mergeCell ref="B429:B474"/>
    <mergeCell ref="A476:A498"/>
    <mergeCell ref="B476:B498"/>
    <mergeCell ref="A500:A523"/>
    <mergeCell ref="B500:B523"/>
    <mergeCell ref="A383:A398"/>
    <mergeCell ref="B383:B398"/>
    <mergeCell ref="A400:A410"/>
    <mergeCell ref="B400:B410"/>
    <mergeCell ref="A412:A427"/>
    <mergeCell ref="B412:B427"/>
    <mergeCell ref="A319:A332"/>
    <mergeCell ref="B319:B332"/>
    <mergeCell ref="A334:A344"/>
    <mergeCell ref="B334:B344"/>
    <mergeCell ref="A346:A381"/>
    <mergeCell ref="B346:B381"/>
    <mergeCell ref="A238:A255"/>
    <mergeCell ref="B238:B255"/>
    <mergeCell ref="A257:A287"/>
    <mergeCell ref="B257:B287"/>
    <mergeCell ref="A289:A317"/>
    <mergeCell ref="B289:B317"/>
    <mergeCell ref="A145:A191"/>
    <mergeCell ref="B145:B191"/>
    <mergeCell ref="A193:A212"/>
    <mergeCell ref="B193:B212"/>
    <mergeCell ref="A214:A236"/>
    <mergeCell ref="B214:B236"/>
    <mergeCell ref="A5:A24"/>
    <mergeCell ref="B5:B24"/>
    <mergeCell ref="A26:A53"/>
    <mergeCell ref="B26:B53"/>
    <mergeCell ref="A55:A143"/>
    <mergeCell ref="B55:B143"/>
    <mergeCell ref="B1:K1"/>
    <mergeCell ref="A2:A4"/>
    <mergeCell ref="B2:B4"/>
    <mergeCell ref="C2:C4"/>
    <mergeCell ref="D2:D4"/>
    <mergeCell ref="E2:E4"/>
    <mergeCell ref="F2:F4"/>
    <mergeCell ref="G2:G4"/>
    <mergeCell ref="H2:K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5EF0-C6D8-4974-B611-4292D61E62F5}">
  <dimension ref="A1:BS474"/>
  <sheetViews>
    <sheetView tabSelected="1" topLeftCell="C1" zoomScale="80" zoomScaleNormal="80" workbookViewId="0">
      <selection activeCell="I23" sqref="I23"/>
    </sheetView>
  </sheetViews>
  <sheetFormatPr defaultColWidth="7.7265625" defaultRowHeight="14.5" x14ac:dyDescent="0.35"/>
  <cols>
    <col min="1" max="1" width="4.1796875" style="3" bestFit="1" customWidth="1"/>
    <col min="2" max="2" width="13.453125" style="3" bestFit="1" customWidth="1"/>
    <col min="3" max="3" width="9.7265625" style="3" bestFit="1" customWidth="1"/>
    <col min="4" max="4" width="13.453125" style="3" bestFit="1" customWidth="1"/>
    <col min="5" max="5" width="20.1796875" style="3" bestFit="1" customWidth="1"/>
    <col min="6" max="7" width="19" style="3" bestFit="1" customWidth="1"/>
    <col min="8" max="8" width="13.1796875" style="3" bestFit="1" customWidth="1"/>
    <col min="9" max="9" width="15.81640625" style="3" customWidth="1"/>
    <col min="10" max="10" width="12.453125" style="3" customWidth="1"/>
    <col min="11" max="11" width="17" style="3" customWidth="1"/>
    <col min="12" max="12" width="8.81640625" style="3" customWidth="1"/>
    <col min="13" max="13" width="8.26953125" style="3" customWidth="1"/>
    <col min="14" max="14" width="9.54296875" style="3" customWidth="1"/>
    <col min="15" max="15" width="10.7265625" style="3" customWidth="1"/>
    <col min="16" max="16" width="9.7265625" style="3" customWidth="1"/>
    <col min="17" max="16384" width="7.7265625" style="3"/>
  </cols>
  <sheetData>
    <row r="1" spans="1:17" ht="43.5" customHeight="1" x14ac:dyDescent="0.35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17" x14ac:dyDescent="0.35">
      <c r="A2" s="238" t="s">
        <v>1872</v>
      </c>
      <c r="B2" s="239" t="s">
        <v>1885</v>
      </c>
      <c r="C2" s="237" t="s">
        <v>1622</v>
      </c>
      <c r="D2" s="237" t="s">
        <v>1621</v>
      </c>
      <c r="E2" s="237" t="s">
        <v>1620</v>
      </c>
      <c r="F2" s="237" t="s">
        <v>1619</v>
      </c>
      <c r="G2" s="239" t="s">
        <v>344</v>
      </c>
      <c r="H2" s="240" t="s">
        <v>1886</v>
      </c>
      <c r="I2" s="240"/>
      <c r="J2" s="240"/>
      <c r="K2" s="240"/>
    </row>
    <row r="3" spans="1:17" ht="21" customHeight="1" x14ac:dyDescent="0.35">
      <c r="A3" s="238"/>
      <c r="B3" s="239"/>
      <c r="C3" s="237"/>
      <c r="D3" s="237"/>
      <c r="E3" s="237"/>
      <c r="F3" s="237"/>
      <c r="G3" s="239"/>
      <c r="H3" s="121" t="s">
        <v>3</v>
      </c>
      <c r="I3" s="121" t="s">
        <v>4</v>
      </c>
      <c r="J3" s="47" t="s">
        <v>3</v>
      </c>
      <c r="K3" s="47" t="s">
        <v>4</v>
      </c>
      <c r="L3" s="47" t="s">
        <v>3</v>
      </c>
      <c r="M3" s="47" t="s">
        <v>4</v>
      </c>
      <c r="N3" s="47" t="s">
        <v>3</v>
      </c>
      <c r="O3" s="47" t="s">
        <v>4</v>
      </c>
      <c r="P3" s="216" t="s">
        <v>2</v>
      </c>
    </row>
    <row r="4" spans="1:17" ht="21" customHeight="1" x14ac:dyDescent="0.35">
      <c r="A4" s="89"/>
      <c r="B4" s="90"/>
      <c r="C4" s="88"/>
      <c r="D4" s="88"/>
      <c r="E4" s="88"/>
      <c r="F4" s="88"/>
      <c r="G4" s="90"/>
      <c r="H4" s="47" t="s">
        <v>345</v>
      </c>
      <c r="I4" s="47" t="s">
        <v>345</v>
      </c>
      <c r="J4" s="48" t="s">
        <v>346</v>
      </c>
      <c r="K4" s="48" t="s">
        <v>346</v>
      </c>
      <c r="L4" s="122" t="s">
        <v>2633</v>
      </c>
      <c r="M4" s="122" t="s">
        <v>2633</v>
      </c>
      <c r="N4" s="123" t="s">
        <v>2634</v>
      </c>
      <c r="O4" s="123" t="s">
        <v>2634</v>
      </c>
      <c r="P4" s="216" t="s">
        <v>3296</v>
      </c>
    </row>
    <row r="5" spans="1:17" x14ac:dyDescent="0.35">
      <c r="A5" s="229">
        <v>1</v>
      </c>
      <c r="B5" s="232" t="s">
        <v>1725</v>
      </c>
      <c r="C5" s="25" t="s">
        <v>1722</v>
      </c>
      <c r="D5" s="25" t="s">
        <v>1723</v>
      </c>
      <c r="E5" s="25" t="s">
        <v>1724</v>
      </c>
      <c r="F5" s="25" t="s">
        <v>1725</v>
      </c>
      <c r="G5" s="6" t="s">
        <v>347</v>
      </c>
      <c r="H5" s="97">
        <v>3</v>
      </c>
      <c r="I5" s="97">
        <v>7</v>
      </c>
      <c r="J5" s="101">
        <v>47</v>
      </c>
      <c r="K5" s="101">
        <v>39</v>
      </c>
      <c r="L5" s="130">
        <v>15</v>
      </c>
      <c r="M5" s="131">
        <v>19</v>
      </c>
      <c r="N5" s="132">
        <v>47</v>
      </c>
      <c r="O5" s="130">
        <v>45</v>
      </c>
      <c r="P5" s="218">
        <f>H5+I5+J5+K5+L5+M5+N5+O5</f>
        <v>222</v>
      </c>
    </row>
    <row r="6" spans="1:17" x14ac:dyDescent="0.35">
      <c r="A6" s="229"/>
      <c r="B6" s="232"/>
      <c r="C6" s="25" t="s">
        <v>1722</v>
      </c>
      <c r="D6" s="25" t="s">
        <v>1723</v>
      </c>
      <c r="E6" s="25" t="s">
        <v>1724</v>
      </c>
      <c r="F6" s="25" t="s">
        <v>1725</v>
      </c>
      <c r="G6" s="6" t="s">
        <v>348</v>
      </c>
      <c r="H6" s="97">
        <v>8</v>
      </c>
      <c r="I6" s="97">
        <v>6</v>
      </c>
      <c r="J6" s="101">
        <v>38</v>
      </c>
      <c r="K6" s="101">
        <v>42</v>
      </c>
      <c r="L6" s="130">
        <v>14</v>
      </c>
      <c r="M6" s="131">
        <v>15</v>
      </c>
      <c r="N6" s="132">
        <v>25</v>
      </c>
      <c r="O6" s="132">
        <v>27</v>
      </c>
      <c r="P6" s="218">
        <f t="shared" ref="P6:P69" si="0">H6+I6+J6+K6+L6+M6+N6+O6</f>
        <v>175</v>
      </c>
    </row>
    <row r="7" spans="1:17" x14ac:dyDescent="0.35">
      <c r="A7" s="229"/>
      <c r="B7" s="232"/>
      <c r="C7" s="25" t="s">
        <v>1722</v>
      </c>
      <c r="D7" s="25" t="s">
        <v>1723</v>
      </c>
      <c r="E7" s="25" t="s">
        <v>1724</v>
      </c>
      <c r="F7" s="25" t="s">
        <v>1725</v>
      </c>
      <c r="G7" s="6" t="s">
        <v>349</v>
      </c>
      <c r="H7" s="97">
        <v>7</v>
      </c>
      <c r="I7" s="97">
        <v>9</v>
      </c>
      <c r="J7" s="101">
        <v>28</v>
      </c>
      <c r="K7" s="101">
        <v>23</v>
      </c>
      <c r="L7" s="130">
        <v>22</v>
      </c>
      <c r="M7" s="131">
        <v>24</v>
      </c>
      <c r="N7" s="130">
        <v>60</v>
      </c>
      <c r="O7" s="130">
        <v>62</v>
      </c>
      <c r="P7" s="218">
        <f t="shared" si="0"/>
        <v>235</v>
      </c>
    </row>
    <row r="8" spans="1:17" x14ac:dyDescent="0.35">
      <c r="A8" s="229"/>
      <c r="B8" s="232"/>
      <c r="C8" s="25" t="s">
        <v>1722</v>
      </c>
      <c r="D8" s="25" t="s">
        <v>1723</v>
      </c>
      <c r="E8" s="25" t="s">
        <v>1724</v>
      </c>
      <c r="F8" s="25" t="s">
        <v>1725</v>
      </c>
      <c r="G8" s="6" t="s">
        <v>350</v>
      </c>
      <c r="H8" s="97">
        <v>3</v>
      </c>
      <c r="I8" s="97">
        <v>4</v>
      </c>
      <c r="J8" s="101">
        <v>22</v>
      </c>
      <c r="K8" s="101">
        <v>12</v>
      </c>
      <c r="L8" s="130">
        <v>6</v>
      </c>
      <c r="M8" s="131">
        <v>8</v>
      </c>
      <c r="N8" s="130">
        <v>21</v>
      </c>
      <c r="O8" s="130">
        <v>23</v>
      </c>
      <c r="P8" s="218">
        <f t="shared" si="0"/>
        <v>99</v>
      </c>
    </row>
    <row r="9" spans="1:17" x14ac:dyDescent="0.35">
      <c r="A9" s="229"/>
      <c r="B9" s="232"/>
      <c r="C9" s="25" t="s">
        <v>1722</v>
      </c>
      <c r="D9" s="25" t="s">
        <v>1723</v>
      </c>
      <c r="E9" s="25" t="s">
        <v>1724</v>
      </c>
      <c r="F9" s="25" t="s">
        <v>1725</v>
      </c>
      <c r="G9" s="6" t="s">
        <v>351</v>
      </c>
      <c r="H9" s="97">
        <v>5</v>
      </c>
      <c r="I9" s="97">
        <v>6</v>
      </c>
      <c r="J9" s="101">
        <v>27</v>
      </c>
      <c r="K9" s="101">
        <v>23</v>
      </c>
      <c r="L9" s="130">
        <v>13</v>
      </c>
      <c r="M9" s="131">
        <v>16</v>
      </c>
      <c r="N9" s="130">
        <v>27</v>
      </c>
      <c r="O9" s="130">
        <v>29</v>
      </c>
      <c r="P9" s="218">
        <f t="shared" si="0"/>
        <v>146</v>
      </c>
    </row>
    <row r="10" spans="1:17" x14ac:dyDescent="0.35">
      <c r="A10" s="229"/>
      <c r="B10" s="232"/>
      <c r="C10" s="25" t="s">
        <v>1722</v>
      </c>
      <c r="D10" s="25" t="s">
        <v>1723</v>
      </c>
      <c r="E10" s="25" t="s">
        <v>1724</v>
      </c>
      <c r="F10" s="25" t="s">
        <v>1725</v>
      </c>
      <c r="G10" s="6" t="s">
        <v>352</v>
      </c>
      <c r="H10" s="97">
        <v>14</v>
      </c>
      <c r="I10" s="97">
        <v>11</v>
      </c>
      <c r="J10" s="101">
        <v>6</v>
      </c>
      <c r="K10" s="101">
        <v>11</v>
      </c>
      <c r="L10" s="130">
        <v>11</v>
      </c>
      <c r="M10" s="131">
        <v>12</v>
      </c>
      <c r="N10" s="130">
        <v>26</v>
      </c>
      <c r="O10" s="130">
        <v>30</v>
      </c>
      <c r="P10" s="218">
        <f t="shared" si="0"/>
        <v>121</v>
      </c>
    </row>
    <row r="11" spans="1:17" x14ac:dyDescent="0.35">
      <c r="A11" s="229"/>
      <c r="B11" s="232"/>
      <c r="C11" s="25" t="s">
        <v>1722</v>
      </c>
      <c r="D11" s="25" t="s">
        <v>1723</v>
      </c>
      <c r="E11" s="25" t="s">
        <v>1724</v>
      </c>
      <c r="F11" s="25" t="s">
        <v>1725</v>
      </c>
      <c r="G11" s="6" t="s">
        <v>353</v>
      </c>
      <c r="H11" s="97">
        <v>13</v>
      </c>
      <c r="I11" s="97">
        <v>7</v>
      </c>
      <c r="J11" s="101">
        <v>32</v>
      </c>
      <c r="K11" s="101">
        <v>31</v>
      </c>
      <c r="L11" s="130">
        <v>9</v>
      </c>
      <c r="M11" s="131">
        <v>10</v>
      </c>
      <c r="N11" s="130">
        <v>33</v>
      </c>
      <c r="O11" s="130">
        <v>35</v>
      </c>
      <c r="P11" s="218">
        <f t="shared" si="0"/>
        <v>170</v>
      </c>
      <c r="Q11" s="4"/>
    </row>
    <row r="12" spans="1:17" x14ac:dyDescent="0.35">
      <c r="A12" s="229"/>
      <c r="B12" s="232"/>
      <c r="C12" s="25" t="s">
        <v>1722</v>
      </c>
      <c r="D12" s="25" t="s">
        <v>1723</v>
      </c>
      <c r="E12" s="25" t="s">
        <v>1724</v>
      </c>
      <c r="F12" s="25" t="s">
        <v>355</v>
      </c>
      <c r="G12" s="6" t="s">
        <v>354</v>
      </c>
      <c r="H12" s="97">
        <v>8</v>
      </c>
      <c r="I12" s="97">
        <v>8</v>
      </c>
      <c r="J12" s="101">
        <v>26</v>
      </c>
      <c r="K12" s="101">
        <v>35</v>
      </c>
      <c r="L12" s="130">
        <v>13</v>
      </c>
      <c r="M12" s="131">
        <v>15</v>
      </c>
      <c r="N12" s="130">
        <v>39</v>
      </c>
      <c r="O12" s="130">
        <v>43</v>
      </c>
      <c r="P12" s="218">
        <f t="shared" si="0"/>
        <v>187</v>
      </c>
    </row>
    <row r="13" spans="1:17" x14ac:dyDescent="0.35">
      <c r="A13" s="229"/>
      <c r="B13" s="232"/>
      <c r="C13" s="25" t="s">
        <v>1722</v>
      </c>
      <c r="D13" s="25" t="s">
        <v>1723</v>
      </c>
      <c r="E13" s="25" t="s">
        <v>1724</v>
      </c>
      <c r="F13" s="25" t="s">
        <v>355</v>
      </c>
      <c r="G13" s="6" t="s">
        <v>355</v>
      </c>
      <c r="H13" s="97">
        <v>7</v>
      </c>
      <c r="I13" s="97">
        <v>7</v>
      </c>
      <c r="J13" s="101">
        <v>48</v>
      </c>
      <c r="K13" s="101">
        <v>48</v>
      </c>
      <c r="L13" s="130">
        <v>28</v>
      </c>
      <c r="M13" s="131">
        <v>32</v>
      </c>
      <c r="N13" s="130">
        <v>35</v>
      </c>
      <c r="O13" s="130">
        <v>37</v>
      </c>
      <c r="P13" s="218">
        <f t="shared" si="0"/>
        <v>242</v>
      </c>
    </row>
    <row r="14" spans="1:17" x14ac:dyDescent="0.35">
      <c r="A14" s="229"/>
      <c r="B14" s="232"/>
      <c r="C14" s="25" t="s">
        <v>1722</v>
      </c>
      <c r="D14" s="25" t="s">
        <v>1723</v>
      </c>
      <c r="E14" s="25" t="s">
        <v>1724</v>
      </c>
      <c r="F14" s="25" t="s">
        <v>355</v>
      </c>
      <c r="G14" s="6" t="s">
        <v>356</v>
      </c>
      <c r="H14" s="97">
        <v>12</v>
      </c>
      <c r="I14" s="97">
        <v>13</v>
      </c>
      <c r="J14" s="101">
        <v>41</v>
      </c>
      <c r="K14" s="101">
        <v>44</v>
      </c>
      <c r="L14" s="130">
        <v>9</v>
      </c>
      <c r="M14" s="131">
        <v>11</v>
      </c>
      <c r="N14" s="130">
        <v>31</v>
      </c>
      <c r="O14" s="130">
        <v>29</v>
      </c>
      <c r="P14" s="218">
        <f t="shared" si="0"/>
        <v>190</v>
      </c>
    </row>
    <row r="15" spans="1:17" x14ac:dyDescent="0.35">
      <c r="A15" s="229"/>
      <c r="B15" s="232"/>
      <c r="C15" s="25" t="s">
        <v>1722</v>
      </c>
      <c r="D15" s="25" t="s">
        <v>1723</v>
      </c>
      <c r="E15" s="25" t="s">
        <v>1724</v>
      </c>
      <c r="F15" s="25" t="s">
        <v>355</v>
      </c>
      <c r="G15" s="6" t="s">
        <v>1918</v>
      </c>
      <c r="H15" s="97">
        <v>2</v>
      </c>
      <c r="I15" s="97">
        <v>3</v>
      </c>
      <c r="J15" s="101">
        <v>35</v>
      </c>
      <c r="K15" s="101">
        <v>32</v>
      </c>
      <c r="L15" s="130">
        <v>11</v>
      </c>
      <c r="M15" s="131">
        <v>10</v>
      </c>
      <c r="N15" s="130">
        <v>23</v>
      </c>
      <c r="O15" s="130">
        <v>23</v>
      </c>
      <c r="P15" s="218">
        <f t="shared" si="0"/>
        <v>139</v>
      </c>
    </row>
    <row r="16" spans="1:17" x14ac:dyDescent="0.35">
      <c r="A16" s="229"/>
      <c r="B16" s="232"/>
      <c r="C16" s="25" t="s">
        <v>1722</v>
      </c>
      <c r="D16" s="25" t="s">
        <v>1723</v>
      </c>
      <c r="E16" s="25" t="s">
        <v>1724</v>
      </c>
      <c r="F16" s="25" t="s">
        <v>1725</v>
      </c>
      <c r="G16" s="6" t="s">
        <v>1919</v>
      </c>
      <c r="H16" s="97">
        <v>3</v>
      </c>
      <c r="I16" s="97">
        <v>6</v>
      </c>
      <c r="J16" s="101">
        <v>12</v>
      </c>
      <c r="K16" s="101">
        <v>20</v>
      </c>
      <c r="L16" s="130">
        <v>10</v>
      </c>
      <c r="M16" s="131">
        <v>12</v>
      </c>
      <c r="N16" s="130">
        <v>25</v>
      </c>
      <c r="O16" s="130">
        <v>37</v>
      </c>
      <c r="P16" s="218">
        <f t="shared" si="0"/>
        <v>125</v>
      </c>
    </row>
    <row r="17" spans="1:16" x14ac:dyDescent="0.35">
      <c r="A17" s="54"/>
      <c r="B17" s="102"/>
      <c r="C17" s="102"/>
      <c r="D17" s="102"/>
      <c r="E17" s="102"/>
      <c r="F17" s="102"/>
      <c r="G17" s="103" t="s">
        <v>2</v>
      </c>
      <c r="H17" s="167">
        <f>SUM(H5:H16)</f>
        <v>85</v>
      </c>
      <c r="I17" s="167">
        <f>SUM(I5:I16)</f>
        <v>87</v>
      </c>
      <c r="J17" s="168">
        <f>SUM(J5:J16)</f>
        <v>362</v>
      </c>
      <c r="K17" s="168">
        <f>SUM(K5:K16)</f>
        <v>360</v>
      </c>
      <c r="L17" s="127">
        <f t="shared" ref="L17:O17" si="1">SUM(L5:L16)</f>
        <v>161</v>
      </c>
      <c r="M17" s="127">
        <f t="shared" si="1"/>
        <v>184</v>
      </c>
      <c r="N17" s="124">
        <f t="shared" si="1"/>
        <v>392</v>
      </c>
      <c r="O17" s="124">
        <f t="shared" si="1"/>
        <v>420</v>
      </c>
      <c r="P17" s="217">
        <f t="shared" si="0"/>
        <v>2051</v>
      </c>
    </row>
    <row r="18" spans="1:16" x14ac:dyDescent="0.35">
      <c r="A18" s="229">
        <v>2</v>
      </c>
      <c r="B18" s="232" t="s">
        <v>1887</v>
      </c>
      <c r="C18" s="25" t="s">
        <v>1722</v>
      </c>
      <c r="D18" s="25" t="s">
        <v>1723</v>
      </c>
      <c r="E18" s="25" t="s">
        <v>226</v>
      </c>
      <c r="F18" s="25" t="s">
        <v>357</v>
      </c>
      <c r="G18" s="6" t="s">
        <v>357</v>
      </c>
      <c r="H18" s="97">
        <v>28</v>
      </c>
      <c r="I18" s="97">
        <v>29</v>
      </c>
      <c r="J18" s="101">
        <v>39</v>
      </c>
      <c r="K18" s="101">
        <v>41</v>
      </c>
      <c r="L18" s="130">
        <v>62</v>
      </c>
      <c r="M18" s="130">
        <v>65</v>
      </c>
      <c r="N18" s="130">
        <v>82</v>
      </c>
      <c r="O18" s="130">
        <v>83</v>
      </c>
      <c r="P18" s="218">
        <f t="shared" si="0"/>
        <v>429</v>
      </c>
    </row>
    <row r="19" spans="1:16" x14ac:dyDescent="0.35">
      <c r="A19" s="229"/>
      <c r="B19" s="232"/>
      <c r="C19" s="25" t="s">
        <v>1722</v>
      </c>
      <c r="D19" s="25" t="s">
        <v>1723</v>
      </c>
      <c r="E19" s="25" t="s">
        <v>226</v>
      </c>
      <c r="F19" s="25" t="s">
        <v>226</v>
      </c>
      <c r="G19" s="6" t="s">
        <v>358</v>
      </c>
      <c r="H19" s="97">
        <v>6</v>
      </c>
      <c r="I19" s="97">
        <v>7</v>
      </c>
      <c r="J19" s="101">
        <v>31</v>
      </c>
      <c r="K19" s="101">
        <v>37</v>
      </c>
      <c r="L19" s="130">
        <v>17</v>
      </c>
      <c r="M19" s="130">
        <v>17</v>
      </c>
      <c r="N19" s="130">
        <v>27</v>
      </c>
      <c r="O19" s="130">
        <v>25</v>
      </c>
      <c r="P19" s="218">
        <f t="shared" si="0"/>
        <v>167</v>
      </c>
    </row>
    <row r="20" spans="1:16" x14ac:dyDescent="0.35">
      <c r="A20" s="229"/>
      <c r="B20" s="232"/>
      <c r="C20" s="25" t="s">
        <v>1722</v>
      </c>
      <c r="D20" s="25" t="s">
        <v>1723</v>
      </c>
      <c r="E20" s="25" t="s">
        <v>1729</v>
      </c>
      <c r="F20" s="25" t="s">
        <v>1728</v>
      </c>
      <c r="G20" s="6" t="s">
        <v>227</v>
      </c>
      <c r="H20" s="97">
        <v>8</v>
      </c>
      <c r="I20" s="97">
        <v>8</v>
      </c>
      <c r="J20" s="101">
        <v>6</v>
      </c>
      <c r="K20" s="101">
        <v>8</v>
      </c>
      <c r="L20" s="130">
        <v>3</v>
      </c>
      <c r="M20" s="130">
        <v>4</v>
      </c>
      <c r="N20" s="130">
        <v>7</v>
      </c>
      <c r="O20" s="130">
        <v>9</v>
      </c>
      <c r="P20" s="218">
        <f t="shared" si="0"/>
        <v>53</v>
      </c>
    </row>
    <row r="21" spans="1:16" x14ac:dyDescent="0.35">
      <c r="A21" s="229"/>
      <c r="B21" s="232"/>
      <c r="C21" s="25" t="s">
        <v>1722</v>
      </c>
      <c r="D21" s="25" t="s">
        <v>1723</v>
      </c>
      <c r="E21" s="25" t="s">
        <v>1730</v>
      </c>
      <c r="F21" s="25" t="s">
        <v>362</v>
      </c>
      <c r="G21" s="6" t="s">
        <v>359</v>
      </c>
      <c r="H21" s="97">
        <v>17</v>
      </c>
      <c r="I21" s="97">
        <v>13</v>
      </c>
      <c r="J21" s="101">
        <v>29</v>
      </c>
      <c r="K21" s="101">
        <v>21</v>
      </c>
      <c r="L21" s="130">
        <v>33</v>
      </c>
      <c r="M21" s="130">
        <v>37</v>
      </c>
      <c r="N21" s="130">
        <v>10</v>
      </c>
      <c r="O21" s="130">
        <v>11</v>
      </c>
      <c r="P21" s="218">
        <f t="shared" si="0"/>
        <v>171</v>
      </c>
    </row>
    <row r="22" spans="1:16" x14ac:dyDescent="0.35">
      <c r="A22" s="229"/>
      <c r="B22" s="232"/>
      <c r="C22" s="25" t="s">
        <v>1722</v>
      </c>
      <c r="D22" s="25" t="s">
        <v>1723</v>
      </c>
      <c r="E22" s="25" t="s">
        <v>1730</v>
      </c>
      <c r="F22" s="25" t="s">
        <v>362</v>
      </c>
      <c r="G22" s="6" t="s">
        <v>360</v>
      </c>
      <c r="H22" s="97">
        <v>12</v>
      </c>
      <c r="I22" s="97">
        <v>13</v>
      </c>
      <c r="J22" s="101">
        <v>7</v>
      </c>
      <c r="K22" s="101">
        <v>14</v>
      </c>
      <c r="L22" s="130">
        <v>36</v>
      </c>
      <c r="M22" s="130">
        <v>34</v>
      </c>
      <c r="N22" s="130">
        <v>38</v>
      </c>
      <c r="O22" s="130">
        <v>42</v>
      </c>
      <c r="P22" s="218">
        <f t="shared" si="0"/>
        <v>196</v>
      </c>
    </row>
    <row r="23" spans="1:16" x14ac:dyDescent="0.35">
      <c r="A23" s="229"/>
      <c r="B23" s="232"/>
      <c r="C23" s="25" t="s">
        <v>1722</v>
      </c>
      <c r="D23" s="25" t="s">
        <v>1723</v>
      </c>
      <c r="E23" s="25" t="s">
        <v>226</v>
      </c>
      <c r="F23" s="25" t="s">
        <v>357</v>
      </c>
      <c r="G23" s="6" t="s">
        <v>361</v>
      </c>
      <c r="H23" s="97">
        <v>11</v>
      </c>
      <c r="I23" s="97">
        <v>11</v>
      </c>
      <c r="J23" s="101">
        <v>55</v>
      </c>
      <c r="K23" s="101">
        <v>42</v>
      </c>
      <c r="L23" s="130">
        <v>37</v>
      </c>
      <c r="M23" s="130">
        <v>40</v>
      </c>
      <c r="N23" s="130">
        <v>19</v>
      </c>
      <c r="O23" s="130">
        <v>18</v>
      </c>
      <c r="P23" s="218">
        <f t="shared" si="0"/>
        <v>233</v>
      </c>
    </row>
    <row r="24" spans="1:16" x14ac:dyDescent="0.35">
      <c r="A24" s="229"/>
      <c r="B24" s="232"/>
      <c r="C24" s="25" t="s">
        <v>1722</v>
      </c>
      <c r="D24" s="25" t="s">
        <v>1723</v>
      </c>
      <c r="E24" s="25" t="s">
        <v>1730</v>
      </c>
      <c r="F24" s="25" t="s">
        <v>362</v>
      </c>
      <c r="G24" s="6" t="s">
        <v>362</v>
      </c>
      <c r="H24" s="97">
        <v>28</v>
      </c>
      <c r="I24" s="97">
        <v>29</v>
      </c>
      <c r="J24" s="101">
        <v>41</v>
      </c>
      <c r="K24" s="101">
        <v>47</v>
      </c>
      <c r="L24" s="130">
        <v>33</v>
      </c>
      <c r="M24" s="130">
        <v>37</v>
      </c>
      <c r="N24" s="130">
        <v>20</v>
      </c>
      <c r="O24" s="130">
        <v>22</v>
      </c>
      <c r="P24" s="218">
        <f t="shared" si="0"/>
        <v>257</v>
      </c>
    </row>
    <row r="25" spans="1:16" x14ac:dyDescent="0.35">
      <c r="A25" s="229"/>
      <c r="B25" s="232"/>
      <c r="C25" s="25" t="s">
        <v>1722</v>
      </c>
      <c r="D25" s="25" t="s">
        <v>1723</v>
      </c>
      <c r="E25" s="25" t="s">
        <v>226</v>
      </c>
      <c r="F25" s="25" t="s">
        <v>1726</v>
      </c>
      <c r="G25" s="6" t="s">
        <v>363</v>
      </c>
      <c r="H25" s="97">
        <v>4</v>
      </c>
      <c r="I25" s="97">
        <v>6</v>
      </c>
      <c r="J25" s="101">
        <v>15</v>
      </c>
      <c r="K25" s="101">
        <v>21</v>
      </c>
      <c r="L25" s="130">
        <v>5</v>
      </c>
      <c r="M25" s="130">
        <v>6</v>
      </c>
      <c r="N25" s="130">
        <v>26</v>
      </c>
      <c r="O25" s="130">
        <v>30</v>
      </c>
      <c r="P25" s="218">
        <f t="shared" si="0"/>
        <v>113</v>
      </c>
    </row>
    <row r="26" spans="1:16" x14ac:dyDescent="0.35">
      <c r="A26" s="229"/>
      <c r="B26" s="232"/>
      <c r="C26" s="25" t="s">
        <v>1722</v>
      </c>
      <c r="D26" s="25" t="s">
        <v>1723</v>
      </c>
      <c r="E26" s="25" t="s">
        <v>226</v>
      </c>
      <c r="F26" s="25" t="s">
        <v>399</v>
      </c>
      <c r="G26" s="6" t="s">
        <v>364</v>
      </c>
      <c r="H26" s="97">
        <v>5</v>
      </c>
      <c r="I26" s="97">
        <v>5</v>
      </c>
      <c r="J26" s="101">
        <v>37</v>
      </c>
      <c r="K26" s="101">
        <v>32</v>
      </c>
      <c r="L26" s="130">
        <v>30</v>
      </c>
      <c r="M26" s="130">
        <v>31</v>
      </c>
      <c r="N26" s="130">
        <v>38</v>
      </c>
      <c r="O26" s="130">
        <v>42</v>
      </c>
      <c r="P26" s="218">
        <f t="shared" si="0"/>
        <v>220</v>
      </c>
    </row>
    <row r="27" spans="1:16" x14ac:dyDescent="0.35">
      <c r="A27" s="229"/>
      <c r="B27" s="232"/>
      <c r="C27" s="25" t="s">
        <v>1722</v>
      </c>
      <c r="D27" s="25" t="s">
        <v>1723</v>
      </c>
      <c r="E27" s="25" t="s">
        <v>226</v>
      </c>
      <c r="F27" s="25" t="s">
        <v>1727</v>
      </c>
      <c r="G27" s="6" t="s">
        <v>365</v>
      </c>
      <c r="H27" s="97">
        <v>13</v>
      </c>
      <c r="I27" s="97">
        <v>14</v>
      </c>
      <c r="J27" s="101">
        <v>31</v>
      </c>
      <c r="K27" s="101">
        <v>37</v>
      </c>
      <c r="L27" s="130">
        <v>30</v>
      </c>
      <c r="M27" s="130">
        <v>32</v>
      </c>
      <c r="N27" s="130">
        <v>22</v>
      </c>
      <c r="O27" s="130">
        <v>25</v>
      </c>
      <c r="P27" s="218">
        <f t="shared" si="0"/>
        <v>204</v>
      </c>
    </row>
    <row r="28" spans="1:16" x14ac:dyDescent="0.35">
      <c r="A28" s="229"/>
      <c r="B28" s="232"/>
      <c r="C28" s="25" t="s">
        <v>1722</v>
      </c>
      <c r="D28" s="25" t="s">
        <v>1723</v>
      </c>
      <c r="E28" s="25" t="s">
        <v>226</v>
      </c>
      <c r="F28" s="25" t="s">
        <v>402</v>
      </c>
      <c r="G28" s="6" t="s">
        <v>366</v>
      </c>
      <c r="H28" s="97">
        <v>5</v>
      </c>
      <c r="I28" s="97">
        <v>5</v>
      </c>
      <c r="J28" s="101">
        <v>15</v>
      </c>
      <c r="K28" s="101">
        <v>21</v>
      </c>
      <c r="L28" s="130">
        <v>14</v>
      </c>
      <c r="M28" s="130">
        <v>15</v>
      </c>
      <c r="N28" s="130">
        <v>38</v>
      </c>
      <c r="O28" s="130">
        <v>40</v>
      </c>
      <c r="P28" s="218">
        <f t="shared" si="0"/>
        <v>153</v>
      </c>
    </row>
    <row r="29" spans="1:16" x14ac:dyDescent="0.35">
      <c r="A29" s="229"/>
      <c r="B29" s="232"/>
      <c r="C29" s="25" t="s">
        <v>1722</v>
      </c>
      <c r="D29" s="25" t="s">
        <v>1723</v>
      </c>
      <c r="E29" s="25" t="s">
        <v>226</v>
      </c>
      <c r="F29" s="25" t="s">
        <v>399</v>
      </c>
      <c r="G29" s="6" t="s">
        <v>367</v>
      </c>
      <c r="H29" s="97">
        <v>6</v>
      </c>
      <c r="I29" s="97">
        <v>6</v>
      </c>
      <c r="J29" s="101">
        <v>12</v>
      </c>
      <c r="K29" s="101">
        <v>19</v>
      </c>
      <c r="L29" s="130">
        <v>6</v>
      </c>
      <c r="M29" s="130">
        <v>8</v>
      </c>
      <c r="N29" s="130">
        <v>10</v>
      </c>
      <c r="O29" s="130">
        <v>13</v>
      </c>
      <c r="P29" s="218">
        <f t="shared" si="0"/>
        <v>80</v>
      </c>
    </row>
    <row r="30" spans="1:16" x14ac:dyDescent="0.35">
      <c r="A30" s="229"/>
      <c r="B30" s="232"/>
      <c r="C30" s="25" t="s">
        <v>1722</v>
      </c>
      <c r="D30" s="25" t="s">
        <v>1723</v>
      </c>
      <c r="E30" s="25" t="s">
        <v>1730</v>
      </c>
      <c r="F30" s="25" t="s">
        <v>1730</v>
      </c>
      <c r="G30" s="6" t="s">
        <v>368</v>
      </c>
      <c r="H30" s="97">
        <v>12</v>
      </c>
      <c r="I30" s="97">
        <v>12</v>
      </c>
      <c r="J30" s="101">
        <v>49</v>
      </c>
      <c r="K30" s="101">
        <v>71</v>
      </c>
      <c r="L30" s="130">
        <v>44</v>
      </c>
      <c r="M30" s="130">
        <v>41</v>
      </c>
      <c r="N30" s="130">
        <v>71</v>
      </c>
      <c r="O30" s="130">
        <v>79</v>
      </c>
      <c r="P30" s="218">
        <f t="shared" si="0"/>
        <v>379</v>
      </c>
    </row>
    <row r="31" spans="1:16" x14ac:dyDescent="0.35">
      <c r="A31" s="229"/>
      <c r="B31" s="232"/>
      <c r="C31" s="25" t="s">
        <v>1722</v>
      </c>
      <c r="D31" s="25" t="s">
        <v>1723</v>
      </c>
      <c r="E31" s="25" t="s">
        <v>226</v>
      </c>
      <c r="F31" s="25" t="s">
        <v>349</v>
      </c>
      <c r="G31" s="6" t="s">
        <v>349</v>
      </c>
      <c r="H31" s="97">
        <v>8</v>
      </c>
      <c r="I31" s="97">
        <v>9</v>
      </c>
      <c r="J31" s="101">
        <v>39</v>
      </c>
      <c r="K31" s="101">
        <v>43</v>
      </c>
      <c r="L31" s="130">
        <v>29</v>
      </c>
      <c r="M31" s="130">
        <v>29</v>
      </c>
      <c r="N31" s="130">
        <v>56</v>
      </c>
      <c r="O31" s="130">
        <v>64</v>
      </c>
      <c r="P31" s="218">
        <f t="shared" si="0"/>
        <v>277</v>
      </c>
    </row>
    <row r="32" spans="1:16" x14ac:dyDescent="0.35">
      <c r="A32" s="229"/>
      <c r="B32" s="232"/>
      <c r="C32" s="25" t="s">
        <v>1722</v>
      </c>
      <c r="D32" s="25" t="s">
        <v>1723</v>
      </c>
      <c r="E32" s="25" t="s">
        <v>226</v>
      </c>
      <c r="F32" s="25" t="s">
        <v>349</v>
      </c>
      <c r="G32" s="6" t="s">
        <v>369</v>
      </c>
      <c r="H32" s="97">
        <v>12</v>
      </c>
      <c r="I32" s="97">
        <v>13</v>
      </c>
      <c r="J32" s="101">
        <v>48</v>
      </c>
      <c r="K32" s="101">
        <v>52</v>
      </c>
      <c r="L32" s="130">
        <v>26</v>
      </c>
      <c r="M32" s="130">
        <v>24</v>
      </c>
      <c r="N32" s="132">
        <v>36</v>
      </c>
      <c r="O32" s="130">
        <v>39</v>
      </c>
      <c r="P32" s="218">
        <f t="shared" si="0"/>
        <v>250</v>
      </c>
    </row>
    <row r="33" spans="1:16" x14ac:dyDescent="0.35">
      <c r="A33" s="229"/>
      <c r="B33" s="232"/>
      <c r="C33" s="25" t="s">
        <v>1722</v>
      </c>
      <c r="D33" s="25" t="s">
        <v>1723</v>
      </c>
      <c r="E33" s="25" t="s">
        <v>226</v>
      </c>
      <c r="F33" s="25" t="s">
        <v>349</v>
      </c>
      <c r="G33" s="6" t="s">
        <v>370</v>
      </c>
      <c r="H33" s="97">
        <v>7</v>
      </c>
      <c r="I33" s="97">
        <v>7</v>
      </c>
      <c r="J33" s="101">
        <v>21</v>
      </c>
      <c r="K33" s="101">
        <v>26</v>
      </c>
      <c r="L33" s="130">
        <v>23</v>
      </c>
      <c r="M33" s="130">
        <v>27</v>
      </c>
      <c r="N33" s="130">
        <v>12</v>
      </c>
      <c r="O33" s="130">
        <v>13</v>
      </c>
      <c r="P33" s="218">
        <f t="shared" si="0"/>
        <v>136</v>
      </c>
    </row>
    <row r="34" spans="1:16" x14ac:dyDescent="0.35">
      <c r="A34" s="229"/>
      <c r="B34" s="232"/>
      <c r="C34" s="25" t="s">
        <v>1722</v>
      </c>
      <c r="D34" s="25" t="s">
        <v>1723</v>
      </c>
      <c r="E34" s="25" t="s">
        <v>226</v>
      </c>
      <c r="F34" s="25" t="s">
        <v>349</v>
      </c>
      <c r="G34" s="6" t="s">
        <v>371</v>
      </c>
      <c r="H34" s="97">
        <v>20</v>
      </c>
      <c r="I34" s="97">
        <v>30</v>
      </c>
      <c r="J34" s="101">
        <v>42</v>
      </c>
      <c r="K34" s="101">
        <v>58</v>
      </c>
      <c r="L34" s="130">
        <v>44</v>
      </c>
      <c r="M34" s="130">
        <v>56</v>
      </c>
      <c r="N34" s="130">
        <v>43</v>
      </c>
      <c r="O34" s="130">
        <v>57</v>
      </c>
      <c r="P34" s="218">
        <f t="shared" si="0"/>
        <v>350</v>
      </c>
    </row>
    <row r="35" spans="1:16" x14ac:dyDescent="0.35">
      <c r="A35" s="229"/>
      <c r="B35" s="232"/>
      <c r="C35" s="25" t="s">
        <v>1722</v>
      </c>
      <c r="D35" s="25" t="s">
        <v>1723</v>
      </c>
      <c r="E35" s="25" t="s">
        <v>226</v>
      </c>
      <c r="F35" s="25" t="s">
        <v>349</v>
      </c>
      <c r="G35" s="6" t="s">
        <v>372</v>
      </c>
      <c r="H35" s="97">
        <v>29</v>
      </c>
      <c r="I35" s="97">
        <v>31</v>
      </c>
      <c r="J35" s="101">
        <v>37</v>
      </c>
      <c r="K35" s="101">
        <v>38</v>
      </c>
      <c r="L35" s="130">
        <v>36</v>
      </c>
      <c r="M35" s="130">
        <v>39</v>
      </c>
      <c r="N35" s="130">
        <v>38</v>
      </c>
      <c r="O35" s="132">
        <v>37</v>
      </c>
      <c r="P35" s="218">
        <f t="shared" si="0"/>
        <v>285</v>
      </c>
    </row>
    <row r="36" spans="1:16" x14ac:dyDescent="0.35">
      <c r="A36" s="229"/>
      <c r="B36" s="232"/>
      <c r="C36" s="25" t="s">
        <v>1722</v>
      </c>
      <c r="D36" s="25" t="s">
        <v>1723</v>
      </c>
      <c r="E36" s="25" t="s">
        <v>226</v>
      </c>
      <c r="F36" s="25" t="s">
        <v>349</v>
      </c>
      <c r="G36" s="6" t="s">
        <v>373</v>
      </c>
      <c r="H36" s="97">
        <v>7</v>
      </c>
      <c r="I36" s="97">
        <v>8</v>
      </c>
      <c r="J36" s="101">
        <v>27</v>
      </c>
      <c r="K36" s="101">
        <v>29</v>
      </c>
      <c r="L36" s="130">
        <v>9</v>
      </c>
      <c r="M36" s="130">
        <v>11</v>
      </c>
      <c r="N36" s="130">
        <v>30</v>
      </c>
      <c r="O36" s="130">
        <v>25</v>
      </c>
      <c r="P36" s="218">
        <f t="shared" si="0"/>
        <v>146</v>
      </c>
    </row>
    <row r="37" spans="1:16" x14ac:dyDescent="0.35">
      <c r="A37" s="229"/>
      <c r="B37" s="232"/>
      <c r="C37" s="25" t="s">
        <v>1722</v>
      </c>
      <c r="D37" s="25" t="s">
        <v>1723</v>
      </c>
      <c r="E37" s="25" t="s">
        <v>226</v>
      </c>
      <c r="F37" s="25" t="s">
        <v>349</v>
      </c>
      <c r="G37" s="6" t="s">
        <v>374</v>
      </c>
      <c r="H37" s="97">
        <v>10</v>
      </c>
      <c r="I37" s="97">
        <v>11</v>
      </c>
      <c r="J37" s="101">
        <v>45</v>
      </c>
      <c r="K37" s="101">
        <v>69</v>
      </c>
      <c r="L37" s="130">
        <v>28</v>
      </c>
      <c r="M37" s="130">
        <v>30</v>
      </c>
      <c r="N37" s="130">
        <v>35</v>
      </c>
      <c r="O37" s="130">
        <v>37</v>
      </c>
      <c r="P37" s="218">
        <f t="shared" si="0"/>
        <v>265</v>
      </c>
    </row>
    <row r="38" spans="1:16" x14ac:dyDescent="0.35">
      <c r="A38" s="229"/>
      <c r="B38" s="232"/>
      <c r="C38" s="25" t="s">
        <v>1722</v>
      </c>
      <c r="D38" s="25" t="s">
        <v>1723</v>
      </c>
      <c r="E38" s="25" t="s">
        <v>226</v>
      </c>
      <c r="F38" s="25" t="s">
        <v>388</v>
      </c>
      <c r="G38" s="25" t="s">
        <v>375</v>
      </c>
      <c r="H38" s="97">
        <v>9</v>
      </c>
      <c r="I38" s="97">
        <v>7</v>
      </c>
      <c r="J38" s="101">
        <v>68</v>
      </c>
      <c r="K38" s="101">
        <v>72</v>
      </c>
      <c r="L38" s="130">
        <v>30</v>
      </c>
      <c r="M38" s="130">
        <v>31</v>
      </c>
      <c r="N38" s="130">
        <v>73</v>
      </c>
      <c r="O38" s="130">
        <v>77</v>
      </c>
      <c r="P38" s="218">
        <f t="shared" si="0"/>
        <v>367</v>
      </c>
    </row>
    <row r="39" spans="1:16" x14ac:dyDescent="0.35">
      <c r="A39" s="229"/>
      <c r="B39" s="232"/>
      <c r="C39" s="25" t="s">
        <v>1722</v>
      </c>
      <c r="D39" s="25" t="s">
        <v>1723</v>
      </c>
      <c r="E39" s="25" t="s">
        <v>226</v>
      </c>
      <c r="F39" s="25" t="s">
        <v>349</v>
      </c>
      <c r="G39" s="25" t="s">
        <v>376</v>
      </c>
      <c r="H39" s="97">
        <v>6</v>
      </c>
      <c r="I39" s="97">
        <v>6</v>
      </c>
      <c r="J39" s="101">
        <v>43</v>
      </c>
      <c r="K39" s="101">
        <v>31</v>
      </c>
      <c r="L39" s="130">
        <v>22</v>
      </c>
      <c r="M39" s="130">
        <v>24</v>
      </c>
      <c r="N39" s="130">
        <v>11</v>
      </c>
      <c r="O39" s="130">
        <v>12</v>
      </c>
      <c r="P39" s="218">
        <f t="shared" si="0"/>
        <v>155</v>
      </c>
    </row>
    <row r="40" spans="1:16" x14ac:dyDescent="0.35">
      <c r="A40" s="229"/>
      <c r="B40" s="232"/>
      <c r="C40" s="25" t="s">
        <v>1722</v>
      </c>
      <c r="D40" s="25" t="s">
        <v>1723</v>
      </c>
      <c r="E40" s="25" t="s">
        <v>226</v>
      </c>
      <c r="F40" s="25" t="s">
        <v>349</v>
      </c>
      <c r="G40" s="25" t="s">
        <v>377</v>
      </c>
      <c r="H40" s="97">
        <v>8</v>
      </c>
      <c r="I40" s="97">
        <v>12</v>
      </c>
      <c r="J40" s="101">
        <v>44</v>
      </c>
      <c r="K40" s="101">
        <v>58</v>
      </c>
      <c r="L40" s="130">
        <v>17</v>
      </c>
      <c r="M40" s="130">
        <v>23</v>
      </c>
      <c r="N40" s="130">
        <v>78</v>
      </c>
      <c r="O40" s="130">
        <v>81</v>
      </c>
      <c r="P40" s="218">
        <f t="shared" si="0"/>
        <v>321</v>
      </c>
    </row>
    <row r="41" spans="1:16" x14ac:dyDescent="0.35">
      <c r="A41" s="229"/>
      <c r="B41" s="232"/>
      <c r="C41" s="25" t="s">
        <v>1722</v>
      </c>
      <c r="D41" s="25" t="s">
        <v>1723</v>
      </c>
      <c r="E41" s="25" t="s">
        <v>226</v>
      </c>
      <c r="F41" s="25" t="s">
        <v>388</v>
      </c>
      <c r="G41" s="25" t="s">
        <v>378</v>
      </c>
      <c r="H41" s="97">
        <v>10</v>
      </c>
      <c r="I41" s="97">
        <v>11</v>
      </c>
      <c r="J41" s="101">
        <v>76</v>
      </c>
      <c r="K41" s="101">
        <v>79</v>
      </c>
      <c r="L41" s="130">
        <v>64</v>
      </c>
      <c r="M41" s="130">
        <v>65</v>
      </c>
      <c r="N41" s="130">
        <v>62</v>
      </c>
      <c r="O41" s="130">
        <v>63</v>
      </c>
      <c r="P41" s="218">
        <f t="shared" si="0"/>
        <v>430</v>
      </c>
    </row>
    <row r="42" spans="1:16" x14ac:dyDescent="0.35">
      <c r="A42" s="229"/>
      <c r="B42" s="232"/>
      <c r="C42" s="25" t="s">
        <v>1722</v>
      </c>
      <c r="D42" s="25" t="s">
        <v>1723</v>
      </c>
      <c r="E42" s="25" t="s">
        <v>226</v>
      </c>
      <c r="F42" s="25" t="s">
        <v>1920</v>
      </c>
      <c r="G42" s="25" t="s">
        <v>379</v>
      </c>
      <c r="H42" s="97">
        <v>7</v>
      </c>
      <c r="I42" s="97">
        <v>8</v>
      </c>
      <c r="J42" s="101">
        <v>77</v>
      </c>
      <c r="K42" s="101">
        <v>81</v>
      </c>
      <c r="L42" s="130">
        <v>28</v>
      </c>
      <c r="M42" s="130">
        <v>27</v>
      </c>
      <c r="N42" s="130">
        <v>87</v>
      </c>
      <c r="O42" s="130">
        <v>101</v>
      </c>
      <c r="P42" s="218">
        <f t="shared" si="0"/>
        <v>416</v>
      </c>
    </row>
    <row r="43" spans="1:16" x14ac:dyDescent="0.35">
      <c r="A43" s="229"/>
      <c r="B43" s="232"/>
      <c r="C43" s="25" t="s">
        <v>1722</v>
      </c>
      <c r="D43" s="25" t="s">
        <v>1723</v>
      </c>
      <c r="E43" s="25" t="s">
        <v>226</v>
      </c>
      <c r="F43" s="25" t="s">
        <v>1726</v>
      </c>
      <c r="G43" s="25" t="s">
        <v>364</v>
      </c>
      <c r="H43" s="97">
        <v>13</v>
      </c>
      <c r="I43" s="97">
        <v>13</v>
      </c>
      <c r="J43" s="101">
        <v>62</v>
      </c>
      <c r="K43" s="101">
        <v>82</v>
      </c>
      <c r="L43" s="130">
        <v>51</v>
      </c>
      <c r="M43" s="130">
        <v>69</v>
      </c>
      <c r="N43" s="130">
        <v>74</v>
      </c>
      <c r="O43" s="130">
        <v>98</v>
      </c>
      <c r="P43" s="218">
        <f t="shared" si="0"/>
        <v>462</v>
      </c>
    </row>
    <row r="44" spans="1:16" x14ac:dyDescent="0.35">
      <c r="A44" s="229"/>
      <c r="B44" s="232"/>
      <c r="C44" s="25" t="s">
        <v>1722</v>
      </c>
      <c r="D44" s="25" t="s">
        <v>1723</v>
      </c>
      <c r="E44" s="25" t="s">
        <v>226</v>
      </c>
      <c r="F44" s="25" t="s">
        <v>349</v>
      </c>
      <c r="G44" s="25" t="s">
        <v>380</v>
      </c>
      <c r="H44" s="97">
        <v>8</v>
      </c>
      <c r="I44" s="97">
        <v>9</v>
      </c>
      <c r="J44" s="101">
        <v>37</v>
      </c>
      <c r="K44" s="101">
        <v>41</v>
      </c>
      <c r="L44" s="130">
        <v>22</v>
      </c>
      <c r="M44" s="130">
        <v>29</v>
      </c>
      <c r="N44" s="130">
        <v>73</v>
      </c>
      <c r="O44" s="130">
        <v>83</v>
      </c>
      <c r="P44" s="218">
        <f t="shared" si="0"/>
        <v>302</v>
      </c>
    </row>
    <row r="45" spans="1:16" x14ac:dyDescent="0.35">
      <c r="A45" s="229"/>
      <c r="B45" s="232"/>
      <c r="C45" s="25" t="s">
        <v>1722</v>
      </c>
      <c r="D45" s="25" t="s">
        <v>1723</v>
      </c>
      <c r="E45" s="25" t="s">
        <v>226</v>
      </c>
      <c r="F45" s="25" t="s">
        <v>388</v>
      </c>
      <c r="G45" s="25" t="s">
        <v>381</v>
      </c>
      <c r="H45" s="97">
        <v>11</v>
      </c>
      <c r="I45" s="97">
        <v>12</v>
      </c>
      <c r="J45" s="101">
        <v>52</v>
      </c>
      <c r="K45" s="101">
        <v>69</v>
      </c>
      <c r="L45" s="130">
        <v>20</v>
      </c>
      <c r="M45" s="130">
        <v>23</v>
      </c>
      <c r="N45" s="130">
        <v>35</v>
      </c>
      <c r="O45" s="130">
        <v>36</v>
      </c>
      <c r="P45" s="218">
        <f t="shared" si="0"/>
        <v>258</v>
      </c>
    </row>
    <row r="46" spans="1:16" x14ac:dyDescent="0.35">
      <c r="A46" s="229"/>
      <c r="B46" s="232"/>
      <c r="C46" s="25" t="s">
        <v>1722</v>
      </c>
      <c r="D46" s="25" t="s">
        <v>1723</v>
      </c>
      <c r="E46" s="25" t="s">
        <v>226</v>
      </c>
      <c r="F46" s="25" t="s">
        <v>388</v>
      </c>
      <c r="G46" s="25" t="s">
        <v>382</v>
      </c>
      <c r="H46" s="97">
        <v>39</v>
      </c>
      <c r="I46" s="97">
        <v>41</v>
      </c>
      <c r="J46" s="101">
        <v>161</v>
      </c>
      <c r="K46" s="101">
        <v>159</v>
      </c>
      <c r="L46" s="130">
        <v>160</v>
      </c>
      <c r="M46" s="130">
        <v>173</v>
      </c>
      <c r="N46" s="130">
        <v>166</v>
      </c>
      <c r="O46" s="130">
        <v>234</v>
      </c>
      <c r="P46" s="218">
        <f t="shared" si="0"/>
        <v>1133</v>
      </c>
    </row>
    <row r="47" spans="1:16" x14ac:dyDescent="0.35">
      <c r="A47" s="229"/>
      <c r="B47" s="232"/>
      <c r="C47" s="25" t="s">
        <v>1722</v>
      </c>
      <c r="D47" s="25" t="s">
        <v>1723</v>
      </c>
      <c r="E47" s="25" t="s">
        <v>226</v>
      </c>
      <c r="F47" s="25" t="s">
        <v>388</v>
      </c>
      <c r="G47" s="25" t="s">
        <v>383</v>
      </c>
      <c r="H47" s="97">
        <v>12</v>
      </c>
      <c r="I47" s="97">
        <v>13</v>
      </c>
      <c r="J47" s="101">
        <v>43</v>
      </c>
      <c r="K47" s="101">
        <v>78</v>
      </c>
      <c r="L47" s="130">
        <v>16</v>
      </c>
      <c r="M47" s="130">
        <v>24</v>
      </c>
      <c r="N47" s="130">
        <v>38</v>
      </c>
      <c r="O47" s="130">
        <v>44</v>
      </c>
      <c r="P47" s="218">
        <f t="shared" si="0"/>
        <v>268</v>
      </c>
    </row>
    <row r="48" spans="1:16" x14ac:dyDescent="0.35">
      <c r="A48" s="229"/>
      <c r="B48" s="232"/>
      <c r="C48" s="25" t="s">
        <v>1722</v>
      </c>
      <c r="D48" s="25" t="s">
        <v>1723</v>
      </c>
      <c r="E48" s="25" t="s">
        <v>226</v>
      </c>
      <c r="F48" s="25" t="s">
        <v>388</v>
      </c>
      <c r="G48" s="25" t="s">
        <v>384</v>
      </c>
      <c r="H48" s="97">
        <v>13</v>
      </c>
      <c r="I48" s="97">
        <v>14</v>
      </c>
      <c r="J48" s="101">
        <v>71</v>
      </c>
      <c r="K48" s="101">
        <v>81</v>
      </c>
      <c r="L48" s="130">
        <v>34</v>
      </c>
      <c r="M48" s="130">
        <v>41</v>
      </c>
      <c r="N48" s="130">
        <v>70</v>
      </c>
      <c r="O48" s="130">
        <v>78</v>
      </c>
      <c r="P48" s="218">
        <f t="shared" si="0"/>
        <v>402</v>
      </c>
    </row>
    <row r="49" spans="1:16" x14ac:dyDescent="0.35">
      <c r="A49" s="229"/>
      <c r="B49" s="232"/>
      <c r="C49" s="25" t="s">
        <v>1722</v>
      </c>
      <c r="D49" s="25" t="s">
        <v>1723</v>
      </c>
      <c r="E49" s="25" t="s">
        <v>226</v>
      </c>
      <c r="F49" s="25" t="s">
        <v>388</v>
      </c>
      <c r="G49" s="25" t="s">
        <v>385</v>
      </c>
      <c r="H49" s="97">
        <v>16</v>
      </c>
      <c r="I49" s="97">
        <v>16</v>
      </c>
      <c r="J49" s="101">
        <v>44</v>
      </c>
      <c r="K49" s="101">
        <v>64</v>
      </c>
      <c r="L49" s="130">
        <v>39</v>
      </c>
      <c r="M49" s="130">
        <v>40</v>
      </c>
      <c r="N49" s="130">
        <v>42</v>
      </c>
      <c r="O49" s="130">
        <v>42</v>
      </c>
      <c r="P49" s="218">
        <f t="shared" si="0"/>
        <v>303</v>
      </c>
    </row>
    <row r="50" spans="1:16" x14ac:dyDescent="0.35">
      <c r="A50" s="229"/>
      <c r="B50" s="232"/>
      <c r="C50" s="25" t="s">
        <v>1722</v>
      </c>
      <c r="D50" s="25" t="s">
        <v>1723</v>
      </c>
      <c r="E50" s="25" t="s">
        <v>226</v>
      </c>
      <c r="F50" s="25" t="s">
        <v>388</v>
      </c>
      <c r="G50" s="25" t="s">
        <v>386</v>
      </c>
      <c r="H50" s="97">
        <v>7</v>
      </c>
      <c r="I50" s="97">
        <v>8</v>
      </c>
      <c r="J50" s="101">
        <v>24</v>
      </c>
      <c r="K50" s="101">
        <v>21</v>
      </c>
      <c r="L50" s="130">
        <v>23</v>
      </c>
      <c r="M50" s="130">
        <v>27</v>
      </c>
      <c r="N50" s="130">
        <v>32</v>
      </c>
      <c r="O50" s="130">
        <v>43</v>
      </c>
      <c r="P50" s="218">
        <f t="shared" si="0"/>
        <v>185</v>
      </c>
    </row>
    <row r="51" spans="1:16" x14ac:dyDescent="0.35">
      <c r="A51" s="229"/>
      <c r="B51" s="232"/>
      <c r="C51" s="25" t="s">
        <v>1722</v>
      </c>
      <c r="D51" s="25" t="s">
        <v>1723</v>
      </c>
      <c r="E51" s="25" t="s">
        <v>226</v>
      </c>
      <c r="F51" s="25" t="s">
        <v>388</v>
      </c>
      <c r="G51" s="25" t="s">
        <v>387</v>
      </c>
      <c r="H51" s="97">
        <v>5</v>
      </c>
      <c r="I51" s="97">
        <v>9</v>
      </c>
      <c r="J51" s="101">
        <v>29</v>
      </c>
      <c r="K51" s="101">
        <v>18</v>
      </c>
      <c r="L51" s="130">
        <v>14</v>
      </c>
      <c r="M51" s="130">
        <v>15</v>
      </c>
      <c r="N51" s="130">
        <v>21</v>
      </c>
      <c r="O51" s="130">
        <v>23</v>
      </c>
      <c r="P51" s="218">
        <f t="shared" si="0"/>
        <v>134</v>
      </c>
    </row>
    <row r="52" spans="1:16" x14ac:dyDescent="0.35">
      <c r="A52" s="229"/>
      <c r="B52" s="232"/>
      <c r="C52" s="25" t="s">
        <v>1722</v>
      </c>
      <c r="D52" s="25" t="s">
        <v>1723</v>
      </c>
      <c r="E52" s="25" t="s">
        <v>226</v>
      </c>
      <c r="F52" s="25" t="s">
        <v>388</v>
      </c>
      <c r="G52" s="6" t="s">
        <v>388</v>
      </c>
      <c r="H52" s="97">
        <v>10</v>
      </c>
      <c r="I52" s="97">
        <v>11</v>
      </c>
      <c r="J52" s="101">
        <v>40</v>
      </c>
      <c r="K52" s="101">
        <v>67</v>
      </c>
      <c r="L52" s="130">
        <v>12</v>
      </c>
      <c r="M52" s="130">
        <v>15</v>
      </c>
      <c r="N52" s="130">
        <v>89</v>
      </c>
      <c r="O52" s="130">
        <v>111</v>
      </c>
      <c r="P52" s="218">
        <f t="shared" si="0"/>
        <v>355</v>
      </c>
    </row>
    <row r="53" spans="1:16" x14ac:dyDescent="0.35">
      <c r="A53" s="229"/>
      <c r="B53" s="232"/>
      <c r="C53" s="25" t="s">
        <v>1722</v>
      </c>
      <c r="D53" s="25" t="s">
        <v>1723</v>
      </c>
      <c r="E53" s="25" t="s">
        <v>226</v>
      </c>
      <c r="F53" s="25" t="s">
        <v>388</v>
      </c>
      <c r="G53" s="6" t="s">
        <v>389</v>
      </c>
      <c r="H53" s="97">
        <v>17</v>
      </c>
      <c r="I53" s="97">
        <v>17</v>
      </c>
      <c r="J53" s="101">
        <v>64</v>
      </c>
      <c r="K53" s="101">
        <v>88</v>
      </c>
      <c r="L53" s="130">
        <v>44</v>
      </c>
      <c r="M53" s="130">
        <v>59</v>
      </c>
      <c r="N53" s="130">
        <v>70</v>
      </c>
      <c r="O53" s="130">
        <v>78</v>
      </c>
      <c r="P53" s="218">
        <f t="shared" si="0"/>
        <v>437</v>
      </c>
    </row>
    <row r="54" spans="1:16" x14ac:dyDescent="0.35">
      <c r="A54" s="229"/>
      <c r="B54" s="232"/>
      <c r="C54" s="25" t="s">
        <v>1722</v>
      </c>
      <c r="D54" s="25" t="s">
        <v>1723</v>
      </c>
      <c r="E54" s="25" t="s">
        <v>226</v>
      </c>
      <c r="F54" s="25" t="s">
        <v>388</v>
      </c>
      <c r="G54" s="6" t="s">
        <v>390</v>
      </c>
      <c r="H54" s="97">
        <v>5</v>
      </c>
      <c r="I54" s="97">
        <v>5</v>
      </c>
      <c r="J54" s="101">
        <v>46</v>
      </c>
      <c r="K54" s="101">
        <v>69</v>
      </c>
      <c r="L54" s="130">
        <v>17</v>
      </c>
      <c r="M54" s="130">
        <v>18</v>
      </c>
      <c r="N54" s="130">
        <v>37</v>
      </c>
      <c r="O54" s="130">
        <v>38</v>
      </c>
      <c r="P54" s="218">
        <f t="shared" si="0"/>
        <v>235</v>
      </c>
    </row>
    <row r="55" spans="1:16" x14ac:dyDescent="0.35">
      <c r="A55" s="229"/>
      <c r="B55" s="232"/>
      <c r="C55" s="25" t="s">
        <v>1722</v>
      </c>
      <c r="D55" s="25" t="s">
        <v>1723</v>
      </c>
      <c r="E55" s="25" t="s">
        <v>226</v>
      </c>
      <c r="F55" s="25" t="s">
        <v>388</v>
      </c>
      <c r="G55" s="6" t="s">
        <v>391</v>
      </c>
      <c r="H55" s="97">
        <v>35</v>
      </c>
      <c r="I55" s="97">
        <v>37</v>
      </c>
      <c r="J55" s="101">
        <v>82</v>
      </c>
      <c r="K55" s="101">
        <v>78</v>
      </c>
      <c r="L55" s="130">
        <v>70</v>
      </c>
      <c r="M55" s="130">
        <v>73</v>
      </c>
      <c r="N55" s="130">
        <v>283</v>
      </c>
      <c r="O55" s="130">
        <v>323</v>
      </c>
      <c r="P55" s="218">
        <f t="shared" si="0"/>
        <v>981</v>
      </c>
    </row>
    <row r="56" spans="1:16" x14ac:dyDescent="0.35">
      <c r="A56" s="229"/>
      <c r="B56" s="232"/>
      <c r="C56" s="25" t="s">
        <v>1722</v>
      </c>
      <c r="D56" s="25" t="s">
        <v>1723</v>
      </c>
      <c r="E56" s="25" t="s">
        <v>226</v>
      </c>
      <c r="F56" s="25" t="s">
        <v>388</v>
      </c>
      <c r="G56" s="6" t="s">
        <v>392</v>
      </c>
      <c r="H56" s="97">
        <v>4</v>
      </c>
      <c r="I56" s="97">
        <v>9</v>
      </c>
      <c r="J56" s="101">
        <v>50</v>
      </c>
      <c r="K56" s="101">
        <v>45</v>
      </c>
      <c r="L56" s="130">
        <v>21</v>
      </c>
      <c r="M56" s="130">
        <v>17</v>
      </c>
      <c r="N56" s="130">
        <v>74</v>
      </c>
      <c r="O56" s="130">
        <v>78</v>
      </c>
      <c r="P56" s="218">
        <f t="shared" si="0"/>
        <v>298</v>
      </c>
    </row>
    <row r="57" spans="1:16" x14ac:dyDescent="0.35">
      <c r="A57" s="229"/>
      <c r="B57" s="232"/>
      <c r="C57" s="25" t="s">
        <v>1722</v>
      </c>
      <c r="D57" s="25" t="s">
        <v>1723</v>
      </c>
      <c r="E57" s="25" t="s">
        <v>226</v>
      </c>
      <c r="F57" s="25" t="s">
        <v>226</v>
      </c>
      <c r="G57" s="6" t="s">
        <v>393</v>
      </c>
      <c r="H57" s="97">
        <v>10</v>
      </c>
      <c r="I57" s="97">
        <v>4</v>
      </c>
      <c r="J57" s="101">
        <v>5</v>
      </c>
      <c r="K57" s="101">
        <v>9</v>
      </c>
      <c r="L57" s="130">
        <v>18</v>
      </c>
      <c r="M57" s="130">
        <v>21</v>
      </c>
      <c r="N57" s="130">
        <v>22</v>
      </c>
      <c r="O57" s="130">
        <v>22</v>
      </c>
      <c r="P57" s="218">
        <f t="shared" si="0"/>
        <v>111</v>
      </c>
    </row>
    <row r="58" spans="1:16" x14ac:dyDescent="0.35">
      <c r="A58" s="229"/>
      <c r="B58" s="232"/>
      <c r="C58" s="25" t="s">
        <v>1722</v>
      </c>
      <c r="D58" s="25" t="s">
        <v>1723</v>
      </c>
      <c r="E58" s="25" t="s">
        <v>1730</v>
      </c>
      <c r="F58" s="25" t="s">
        <v>362</v>
      </c>
      <c r="G58" s="6" t="s">
        <v>394</v>
      </c>
      <c r="H58" s="97">
        <v>8</v>
      </c>
      <c r="I58" s="97">
        <v>9</v>
      </c>
      <c r="J58" s="101">
        <v>42</v>
      </c>
      <c r="K58" s="101">
        <v>44</v>
      </c>
      <c r="L58" s="130">
        <v>15</v>
      </c>
      <c r="M58" s="130">
        <v>18</v>
      </c>
      <c r="N58" s="130">
        <v>19</v>
      </c>
      <c r="O58" s="130">
        <v>19</v>
      </c>
      <c r="P58" s="218">
        <f t="shared" si="0"/>
        <v>174</v>
      </c>
    </row>
    <row r="59" spans="1:16" x14ac:dyDescent="0.35">
      <c r="A59" s="229"/>
      <c r="B59" s="232"/>
      <c r="C59" s="25" t="s">
        <v>1722</v>
      </c>
      <c r="D59" s="25" t="s">
        <v>1723</v>
      </c>
      <c r="E59" s="25" t="s">
        <v>1730</v>
      </c>
      <c r="F59" s="25" t="s">
        <v>1731</v>
      </c>
      <c r="G59" s="6" t="s">
        <v>395</v>
      </c>
      <c r="H59" s="97">
        <v>12</v>
      </c>
      <c r="I59" s="97">
        <v>13</v>
      </c>
      <c r="J59" s="101">
        <v>24</v>
      </c>
      <c r="K59" s="101">
        <v>21</v>
      </c>
      <c r="L59" s="130">
        <v>21</v>
      </c>
      <c r="M59" s="130">
        <v>25</v>
      </c>
      <c r="N59" s="130">
        <v>11</v>
      </c>
      <c r="O59" s="130">
        <v>12</v>
      </c>
      <c r="P59" s="218">
        <f t="shared" si="0"/>
        <v>139</v>
      </c>
    </row>
    <row r="60" spans="1:16" x14ac:dyDescent="0.35">
      <c r="A60" s="229"/>
      <c r="B60" s="232"/>
      <c r="C60" s="25" t="s">
        <v>1722</v>
      </c>
      <c r="D60" s="25" t="s">
        <v>1723</v>
      </c>
      <c r="E60" s="25" t="s">
        <v>226</v>
      </c>
      <c r="F60" s="25" t="s">
        <v>1726</v>
      </c>
      <c r="G60" s="6" t="s">
        <v>396</v>
      </c>
      <c r="H60" s="97">
        <v>7</v>
      </c>
      <c r="I60" s="97">
        <v>7</v>
      </c>
      <c r="J60" s="101">
        <v>48</v>
      </c>
      <c r="K60" s="101">
        <v>45</v>
      </c>
      <c r="L60" s="130">
        <v>7</v>
      </c>
      <c r="M60" s="130">
        <v>5</v>
      </c>
      <c r="N60" s="130">
        <v>24</v>
      </c>
      <c r="O60" s="130">
        <v>20</v>
      </c>
      <c r="P60" s="218">
        <f t="shared" si="0"/>
        <v>163</v>
      </c>
    </row>
    <row r="61" spans="1:16" x14ac:dyDescent="0.35">
      <c r="A61" s="229"/>
      <c r="B61" s="232"/>
      <c r="C61" s="25" t="s">
        <v>1722</v>
      </c>
      <c r="D61" s="25" t="s">
        <v>1723</v>
      </c>
      <c r="E61" s="25" t="s">
        <v>226</v>
      </c>
      <c r="F61" s="25" t="s">
        <v>226</v>
      </c>
      <c r="G61" s="6" t="s">
        <v>397</v>
      </c>
      <c r="H61" s="97">
        <v>9</v>
      </c>
      <c r="I61" s="97">
        <v>10</v>
      </c>
      <c r="J61" s="101">
        <v>50</v>
      </c>
      <c r="K61" s="101">
        <v>43</v>
      </c>
      <c r="L61" s="130">
        <v>17</v>
      </c>
      <c r="M61" s="130">
        <v>15</v>
      </c>
      <c r="N61" s="130">
        <v>18</v>
      </c>
      <c r="O61" s="130">
        <v>16</v>
      </c>
      <c r="P61" s="218">
        <f t="shared" si="0"/>
        <v>178</v>
      </c>
    </row>
    <row r="62" spans="1:16" x14ac:dyDescent="0.35">
      <c r="A62" s="229"/>
      <c r="B62" s="232"/>
      <c r="C62" s="25" t="s">
        <v>1722</v>
      </c>
      <c r="D62" s="25" t="s">
        <v>1723</v>
      </c>
      <c r="E62" s="25" t="s">
        <v>226</v>
      </c>
      <c r="F62" s="25" t="s">
        <v>399</v>
      </c>
      <c r="G62" s="6" t="s">
        <v>398</v>
      </c>
      <c r="H62" s="97">
        <v>7</v>
      </c>
      <c r="I62" s="97">
        <v>8</v>
      </c>
      <c r="J62" s="101">
        <v>68</v>
      </c>
      <c r="K62" s="101">
        <v>92</v>
      </c>
      <c r="L62" s="130">
        <v>80</v>
      </c>
      <c r="M62" s="130">
        <v>85</v>
      </c>
      <c r="N62" s="130">
        <v>37</v>
      </c>
      <c r="O62" s="130">
        <v>43</v>
      </c>
      <c r="P62" s="218">
        <f t="shared" si="0"/>
        <v>420</v>
      </c>
    </row>
    <row r="63" spans="1:16" x14ac:dyDescent="0.35">
      <c r="A63" s="229"/>
      <c r="B63" s="232"/>
      <c r="C63" s="25" t="s">
        <v>1722</v>
      </c>
      <c r="D63" s="25" t="s">
        <v>1723</v>
      </c>
      <c r="E63" s="25" t="s">
        <v>226</v>
      </c>
      <c r="F63" s="25" t="s">
        <v>399</v>
      </c>
      <c r="G63" s="6" t="s">
        <v>399</v>
      </c>
      <c r="H63" s="97">
        <v>2</v>
      </c>
      <c r="I63" s="97">
        <v>3</v>
      </c>
      <c r="J63" s="101">
        <v>37</v>
      </c>
      <c r="K63" s="101">
        <v>29</v>
      </c>
      <c r="L63" s="130">
        <v>21</v>
      </c>
      <c r="M63" s="130">
        <v>21</v>
      </c>
      <c r="N63" s="130">
        <v>22</v>
      </c>
      <c r="O63" s="130">
        <v>20</v>
      </c>
      <c r="P63" s="218">
        <f t="shared" si="0"/>
        <v>155</v>
      </c>
    </row>
    <row r="64" spans="1:16" x14ac:dyDescent="0.35">
      <c r="A64" s="229"/>
      <c r="B64" s="232"/>
      <c r="C64" s="25" t="s">
        <v>1722</v>
      </c>
      <c r="D64" s="25" t="s">
        <v>1723</v>
      </c>
      <c r="E64" s="25" t="s">
        <v>226</v>
      </c>
      <c r="F64" s="25" t="s">
        <v>1726</v>
      </c>
      <c r="G64" s="6" t="s">
        <v>400</v>
      </c>
      <c r="H64" s="97">
        <v>15</v>
      </c>
      <c r="I64" s="97">
        <v>10</v>
      </c>
      <c r="J64" s="101">
        <v>61</v>
      </c>
      <c r="K64" s="101">
        <v>74</v>
      </c>
      <c r="L64" s="130">
        <v>23</v>
      </c>
      <c r="M64" s="130">
        <v>23</v>
      </c>
      <c r="N64" s="130">
        <v>50</v>
      </c>
      <c r="O64" s="130">
        <v>41</v>
      </c>
      <c r="P64" s="218">
        <f t="shared" si="0"/>
        <v>297</v>
      </c>
    </row>
    <row r="65" spans="1:16" x14ac:dyDescent="0.35">
      <c r="A65" s="229"/>
      <c r="B65" s="232"/>
      <c r="C65" s="25" t="s">
        <v>1722</v>
      </c>
      <c r="D65" s="25" t="s">
        <v>1723</v>
      </c>
      <c r="E65" s="25" t="s">
        <v>226</v>
      </c>
      <c r="F65" s="25" t="s">
        <v>226</v>
      </c>
      <c r="G65" s="6" t="s">
        <v>401</v>
      </c>
      <c r="H65" s="97">
        <v>12</v>
      </c>
      <c r="I65" s="97">
        <v>13</v>
      </c>
      <c r="J65" s="101">
        <v>22</v>
      </c>
      <c r="K65" s="101">
        <v>35</v>
      </c>
      <c r="L65" s="130">
        <v>17</v>
      </c>
      <c r="M65" s="130">
        <v>18</v>
      </c>
      <c r="N65" s="130">
        <v>12</v>
      </c>
      <c r="O65" s="130">
        <v>13</v>
      </c>
      <c r="P65" s="218">
        <f t="shared" si="0"/>
        <v>142</v>
      </c>
    </row>
    <row r="66" spans="1:16" x14ac:dyDescent="0.35">
      <c r="A66" s="229"/>
      <c r="B66" s="232"/>
      <c r="C66" s="25" t="s">
        <v>1722</v>
      </c>
      <c r="D66" s="25" t="s">
        <v>1723</v>
      </c>
      <c r="E66" s="25" t="s">
        <v>226</v>
      </c>
      <c r="F66" s="25" t="s">
        <v>1727</v>
      </c>
      <c r="G66" s="6" t="s">
        <v>402</v>
      </c>
      <c r="H66" s="97">
        <v>9</v>
      </c>
      <c r="I66" s="97">
        <v>11</v>
      </c>
      <c r="J66" s="101">
        <v>44</v>
      </c>
      <c r="K66" s="101">
        <v>61</v>
      </c>
      <c r="L66" s="130">
        <v>13</v>
      </c>
      <c r="M66" s="130">
        <v>11</v>
      </c>
      <c r="N66" s="130">
        <v>14</v>
      </c>
      <c r="O66" s="130">
        <v>12</v>
      </c>
      <c r="P66" s="218">
        <f t="shared" si="0"/>
        <v>175</v>
      </c>
    </row>
    <row r="67" spans="1:16" x14ac:dyDescent="0.35">
      <c r="A67" s="229"/>
      <c r="B67" s="232"/>
      <c r="C67" s="25" t="s">
        <v>1722</v>
      </c>
      <c r="D67" s="25" t="s">
        <v>1723</v>
      </c>
      <c r="E67" s="25" t="s">
        <v>226</v>
      </c>
      <c r="F67" s="25" t="s">
        <v>357</v>
      </c>
      <c r="G67" s="6" t="s">
        <v>403</v>
      </c>
      <c r="H67" s="97">
        <v>17</v>
      </c>
      <c r="I67" s="97">
        <v>17</v>
      </c>
      <c r="J67" s="101">
        <v>36</v>
      </c>
      <c r="K67" s="101">
        <v>32</v>
      </c>
      <c r="L67" s="130">
        <v>12</v>
      </c>
      <c r="M67" s="130">
        <v>12</v>
      </c>
      <c r="N67" s="130">
        <v>20</v>
      </c>
      <c r="O67" s="130">
        <v>17</v>
      </c>
      <c r="P67" s="218">
        <f t="shared" si="0"/>
        <v>163</v>
      </c>
    </row>
    <row r="68" spans="1:16" x14ac:dyDescent="0.35">
      <c r="A68" s="229"/>
      <c r="B68" s="232"/>
      <c r="C68" s="25" t="s">
        <v>1722</v>
      </c>
      <c r="D68" s="25" t="s">
        <v>1723</v>
      </c>
      <c r="E68" s="25" t="s">
        <v>226</v>
      </c>
      <c r="F68" s="25" t="s">
        <v>226</v>
      </c>
      <c r="G68" s="26" t="s">
        <v>404</v>
      </c>
      <c r="H68" s="97">
        <v>5</v>
      </c>
      <c r="I68" s="97">
        <v>5</v>
      </c>
      <c r="J68" s="101">
        <v>28</v>
      </c>
      <c r="K68" s="101">
        <v>23</v>
      </c>
      <c r="L68" s="130">
        <v>4</v>
      </c>
      <c r="M68" s="130">
        <v>6</v>
      </c>
      <c r="N68" s="130">
        <v>21</v>
      </c>
      <c r="O68" s="130">
        <v>16</v>
      </c>
      <c r="P68" s="218">
        <f t="shared" si="0"/>
        <v>108</v>
      </c>
    </row>
    <row r="69" spans="1:16" x14ac:dyDescent="0.35">
      <c r="A69" s="229"/>
      <c r="B69" s="232"/>
      <c r="C69" s="25" t="s">
        <v>1722</v>
      </c>
      <c r="D69" s="25" t="s">
        <v>1723</v>
      </c>
      <c r="E69" s="25" t="s">
        <v>226</v>
      </c>
      <c r="F69" s="25" t="s">
        <v>1727</v>
      </c>
      <c r="G69" s="6" t="s">
        <v>405</v>
      </c>
      <c r="H69" s="97">
        <v>5</v>
      </c>
      <c r="I69" s="97">
        <v>6</v>
      </c>
      <c r="J69" s="101">
        <v>36</v>
      </c>
      <c r="K69" s="101">
        <v>33</v>
      </c>
      <c r="L69" s="130">
        <v>7</v>
      </c>
      <c r="M69" s="130">
        <v>7</v>
      </c>
      <c r="N69" s="130">
        <v>14</v>
      </c>
      <c r="O69" s="130">
        <v>13</v>
      </c>
      <c r="P69" s="218">
        <f t="shared" si="0"/>
        <v>121</v>
      </c>
    </row>
    <row r="70" spans="1:16" x14ac:dyDescent="0.35">
      <c r="A70" s="229"/>
      <c r="B70" s="232"/>
      <c r="C70" s="25" t="s">
        <v>1722</v>
      </c>
      <c r="D70" s="25" t="s">
        <v>1723</v>
      </c>
      <c r="E70" s="25" t="s">
        <v>226</v>
      </c>
      <c r="F70" s="25" t="s">
        <v>226</v>
      </c>
      <c r="G70" s="6" t="s">
        <v>406</v>
      </c>
      <c r="H70" s="97">
        <v>17</v>
      </c>
      <c r="I70" s="97">
        <v>18</v>
      </c>
      <c r="J70" s="101">
        <v>8</v>
      </c>
      <c r="K70" s="101">
        <v>19</v>
      </c>
      <c r="L70" s="130">
        <v>13</v>
      </c>
      <c r="M70" s="130">
        <v>12</v>
      </c>
      <c r="N70" s="130">
        <v>19</v>
      </c>
      <c r="O70" s="130">
        <v>17</v>
      </c>
      <c r="P70" s="218">
        <f t="shared" ref="P70:P133" si="2">H70+I70+J70+K70+L70+M70+N70+O70</f>
        <v>123</v>
      </c>
    </row>
    <row r="71" spans="1:16" x14ac:dyDescent="0.35">
      <c r="A71" s="229"/>
      <c r="B71" s="232"/>
      <c r="C71" s="25" t="s">
        <v>1722</v>
      </c>
      <c r="D71" s="25" t="s">
        <v>1723</v>
      </c>
      <c r="E71" s="25" t="s">
        <v>226</v>
      </c>
      <c r="F71" s="25" t="s">
        <v>1727</v>
      </c>
      <c r="G71" s="6" t="s">
        <v>407</v>
      </c>
      <c r="H71" s="97">
        <v>4</v>
      </c>
      <c r="I71" s="97">
        <v>6</v>
      </c>
      <c r="J71" s="101">
        <v>21</v>
      </c>
      <c r="K71" s="101">
        <v>19</v>
      </c>
      <c r="L71" s="130">
        <v>11</v>
      </c>
      <c r="M71" s="130">
        <v>13</v>
      </c>
      <c r="N71" s="130">
        <v>21</v>
      </c>
      <c r="O71" s="130">
        <v>29</v>
      </c>
      <c r="P71" s="218">
        <f t="shared" si="2"/>
        <v>124</v>
      </c>
    </row>
    <row r="72" spans="1:16" x14ac:dyDescent="0.35">
      <c r="A72" s="229"/>
      <c r="B72" s="232"/>
      <c r="C72" s="25" t="s">
        <v>1722</v>
      </c>
      <c r="D72" s="25" t="s">
        <v>1723</v>
      </c>
      <c r="E72" s="25" t="s">
        <v>1730</v>
      </c>
      <c r="F72" s="25" t="s">
        <v>1731</v>
      </c>
      <c r="G72" s="6" t="s">
        <v>408</v>
      </c>
      <c r="H72" s="97">
        <v>9</v>
      </c>
      <c r="I72" s="97">
        <v>9</v>
      </c>
      <c r="J72" s="101">
        <v>51</v>
      </c>
      <c r="K72" s="101">
        <v>41</v>
      </c>
      <c r="L72" s="130">
        <v>26</v>
      </c>
      <c r="M72" s="130">
        <v>24</v>
      </c>
      <c r="N72" s="130">
        <v>21</v>
      </c>
      <c r="O72" s="130">
        <v>25</v>
      </c>
      <c r="P72" s="218">
        <f t="shared" si="2"/>
        <v>206</v>
      </c>
    </row>
    <row r="73" spans="1:16" x14ac:dyDescent="0.35">
      <c r="A73" s="229"/>
      <c r="B73" s="232"/>
      <c r="C73" s="25" t="s">
        <v>1722</v>
      </c>
      <c r="D73" s="25" t="s">
        <v>1723</v>
      </c>
      <c r="E73" s="25" t="s">
        <v>226</v>
      </c>
      <c r="F73" s="25" t="s">
        <v>399</v>
      </c>
      <c r="G73" s="6" t="s">
        <v>399</v>
      </c>
      <c r="H73" s="97">
        <v>8</v>
      </c>
      <c r="I73" s="97">
        <v>8</v>
      </c>
      <c r="J73" s="101">
        <v>34</v>
      </c>
      <c r="K73" s="101">
        <v>35</v>
      </c>
      <c r="L73" s="130">
        <v>9</v>
      </c>
      <c r="M73" s="130">
        <v>13</v>
      </c>
      <c r="N73" s="130">
        <v>42</v>
      </c>
      <c r="O73" s="130">
        <v>45</v>
      </c>
      <c r="P73" s="218">
        <f t="shared" si="2"/>
        <v>194</v>
      </c>
    </row>
    <row r="74" spans="1:16" x14ac:dyDescent="0.35">
      <c r="A74" s="229"/>
      <c r="B74" s="232"/>
      <c r="C74" s="25" t="s">
        <v>1722</v>
      </c>
      <c r="D74" s="25" t="s">
        <v>1723</v>
      </c>
      <c r="E74" s="25" t="s">
        <v>226</v>
      </c>
      <c r="F74" s="25" t="s">
        <v>357</v>
      </c>
      <c r="G74" s="6" t="s">
        <v>409</v>
      </c>
      <c r="H74" s="97">
        <v>8</v>
      </c>
      <c r="I74" s="97">
        <v>12</v>
      </c>
      <c r="J74" s="101">
        <v>49</v>
      </c>
      <c r="K74" s="101">
        <v>61</v>
      </c>
      <c r="L74" s="130">
        <v>24</v>
      </c>
      <c r="M74" s="130">
        <v>26</v>
      </c>
      <c r="N74" s="130">
        <v>12</v>
      </c>
      <c r="O74" s="130">
        <v>15</v>
      </c>
      <c r="P74" s="218">
        <f t="shared" si="2"/>
        <v>207</v>
      </c>
    </row>
    <row r="75" spans="1:16" x14ac:dyDescent="0.35">
      <c r="A75" s="229"/>
      <c r="B75" s="232"/>
      <c r="C75" s="25" t="s">
        <v>1722</v>
      </c>
      <c r="D75" s="25" t="s">
        <v>1723</v>
      </c>
      <c r="E75" s="25" t="s">
        <v>226</v>
      </c>
      <c r="F75" s="25" t="s">
        <v>1727</v>
      </c>
      <c r="G75" s="6" t="s">
        <v>410</v>
      </c>
      <c r="H75" s="97">
        <v>2</v>
      </c>
      <c r="I75" s="97">
        <v>3</v>
      </c>
      <c r="J75" s="101">
        <v>22</v>
      </c>
      <c r="K75" s="101">
        <v>21</v>
      </c>
      <c r="L75" s="130">
        <v>5</v>
      </c>
      <c r="M75" s="130">
        <v>7</v>
      </c>
      <c r="N75" s="130">
        <v>7</v>
      </c>
      <c r="O75" s="130">
        <v>8</v>
      </c>
      <c r="P75" s="218">
        <f t="shared" si="2"/>
        <v>75</v>
      </c>
    </row>
    <row r="76" spans="1:16" x14ac:dyDescent="0.35">
      <c r="A76" s="229"/>
      <c r="B76" s="232"/>
      <c r="C76" s="25" t="s">
        <v>1722</v>
      </c>
      <c r="D76" s="25" t="s">
        <v>1723</v>
      </c>
      <c r="E76" s="25" t="s">
        <v>226</v>
      </c>
      <c r="F76" s="25" t="s">
        <v>399</v>
      </c>
      <c r="G76" s="6" t="s">
        <v>364</v>
      </c>
      <c r="H76" s="97">
        <v>10</v>
      </c>
      <c r="I76" s="97">
        <v>10</v>
      </c>
      <c r="J76" s="101">
        <v>23</v>
      </c>
      <c r="K76" s="101">
        <v>23</v>
      </c>
      <c r="L76" s="130">
        <v>21</v>
      </c>
      <c r="M76" s="130">
        <v>27</v>
      </c>
      <c r="N76" s="130">
        <v>22</v>
      </c>
      <c r="O76" s="130">
        <v>24</v>
      </c>
      <c r="P76" s="218">
        <f t="shared" si="2"/>
        <v>160</v>
      </c>
    </row>
    <row r="77" spans="1:16" x14ac:dyDescent="0.35">
      <c r="A77" s="229"/>
      <c r="B77" s="232"/>
      <c r="C77" s="25" t="s">
        <v>1722</v>
      </c>
      <c r="D77" s="25" t="s">
        <v>1723</v>
      </c>
      <c r="E77" s="25" t="s">
        <v>226</v>
      </c>
      <c r="F77" s="25" t="s">
        <v>226</v>
      </c>
      <c r="G77" s="6" t="s">
        <v>411</v>
      </c>
      <c r="H77" s="97">
        <v>5</v>
      </c>
      <c r="I77" s="97">
        <v>5</v>
      </c>
      <c r="J77" s="101">
        <v>49</v>
      </c>
      <c r="K77" s="101">
        <v>39</v>
      </c>
      <c r="L77" s="130">
        <v>15</v>
      </c>
      <c r="M77" s="130">
        <v>17</v>
      </c>
      <c r="N77" s="130">
        <v>27</v>
      </c>
      <c r="O77" s="130">
        <v>21</v>
      </c>
      <c r="P77" s="218">
        <f t="shared" si="2"/>
        <v>178</v>
      </c>
    </row>
    <row r="78" spans="1:16" x14ac:dyDescent="0.35">
      <c r="A78" s="229"/>
      <c r="B78" s="232"/>
      <c r="C78" s="25" t="s">
        <v>1722</v>
      </c>
      <c r="D78" s="25" t="s">
        <v>1723</v>
      </c>
      <c r="E78" s="25" t="s">
        <v>226</v>
      </c>
      <c r="F78" s="25" t="s">
        <v>399</v>
      </c>
      <c r="G78" s="6" t="s">
        <v>412</v>
      </c>
      <c r="H78" s="97">
        <v>7</v>
      </c>
      <c r="I78" s="97">
        <v>8</v>
      </c>
      <c r="J78" s="101">
        <v>38</v>
      </c>
      <c r="K78" s="101">
        <v>40</v>
      </c>
      <c r="L78" s="130">
        <v>6</v>
      </c>
      <c r="M78" s="130">
        <v>7</v>
      </c>
      <c r="N78" s="130">
        <v>14</v>
      </c>
      <c r="O78" s="130">
        <v>15</v>
      </c>
      <c r="P78" s="218">
        <f t="shared" si="2"/>
        <v>135</v>
      </c>
    </row>
    <row r="79" spans="1:16" x14ac:dyDescent="0.35">
      <c r="A79" s="229"/>
      <c r="B79" s="232"/>
      <c r="C79" s="25" t="s">
        <v>1722</v>
      </c>
      <c r="D79" s="25" t="s">
        <v>1723</v>
      </c>
      <c r="E79" s="25" t="s">
        <v>226</v>
      </c>
      <c r="F79" s="25" t="s">
        <v>226</v>
      </c>
      <c r="G79" s="6" t="s">
        <v>250</v>
      </c>
      <c r="H79" s="97">
        <v>8</v>
      </c>
      <c r="I79" s="97">
        <v>8</v>
      </c>
      <c r="J79" s="101">
        <v>40</v>
      </c>
      <c r="K79" s="101">
        <v>34</v>
      </c>
      <c r="L79" s="130">
        <v>28</v>
      </c>
      <c r="M79" s="130">
        <v>31</v>
      </c>
      <c r="N79" s="130">
        <v>19</v>
      </c>
      <c r="O79" s="130">
        <v>21</v>
      </c>
      <c r="P79" s="218">
        <f t="shared" si="2"/>
        <v>189</v>
      </c>
    </row>
    <row r="80" spans="1:16" x14ac:dyDescent="0.35">
      <c r="A80" s="229"/>
      <c r="B80" s="232"/>
      <c r="C80" s="25" t="s">
        <v>1722</v>
      </c>
      <c r="D80" s="25" t="s">
        <v>1723</v>
      </c>
      <c r="E80" s="25" t="s">
        <v>226</v>
      </c>
      <c r="F80" s="25" t="s">
        <v>357</v>
      </c>
      <c r="G80" s="6" t="s">
        <v>413</v>
      </c>
      <c r="H80" s="97">
        <v>12</v>
      </c>
      <c r="I80" s="97">
        <v>13</v>
      </c>
      <c r="J80" s="101">
        <v>51</v>
      </c>
      <c r="K80" s="101">
        <v>79</v>
      </c>
      <c r="L80" s="130">
        <v>76</v>
      </c>
      <c r="M80" s="130">
        <v>79</v>
      </c>
      <c r="N80" s="130">
        <v>20</v>
      </c>
      <c r="O80" s="130">
        <v>22</v>
      </c>
      <c r="P80" s="218">
        <f t="shared" si="2"/>
        <v>352</v>
      </c>
    </row>
    <row r="81" spans="1:16" x14ac:dyDescent="0.35">
      <c r="A81" s="229"/>
      <c r="B81" s="232"/>
      <c r="C81" s="25" t="s">
        <v>1722</v>
      </c>
      <c r="D81" s="25" t="s">
        <v>1723</v>
      </c>
      <c r="E81" s="25" t="s">
        <v>1730</v>
      </c>
      <c r="F81" s="25" t="s">
        <v>362</v>
      </c>
      <c r="G81" s="6" t="s">
        <v>414</v>
      </c>
      <c r="H81" s="97">
        <v>12</v>
      </c>
      <c r="I81" s="97">
        <v>13</v>
      </c>
      <c r="J81" s="101">
        <v>11</v>
      </c>
      <c r="K81" s="101">
        <v>19</v>
      </c>
      <c r="L81" s="130">
        <v>11</v>
      </c>
      <c r="M81" s="130">
        <v>12</v>
      </c>
      <c r="N81" s="130">
        <v>15</v>
      </c>
      <c r="O81" s="130">
        <v>17</v>
      </c>
      <c r="P81" s="218">
        <f t="shared" si="2"/>
        <v>110</v>
      </c>
    </row>
    <row r="82" spans="1:16" x14ac:dyDescent="0.35">
      <c r="A82" s="229"/>
      <c r="B82" s="232"/>
      <c r="C82" s="25" t="s">
        <v>1722</v>
      </c>
      <c r="D82" s="25" t="s">
        <v>1723</v>
      </c>
      <c r="E82" s="25" t="s">
        <v>226</v>
      </c>
      <c r="F82" s="25" t="s">
        <v>1726</v>
      </c>
      <c r="G82" s="6" t="s">
        <v>415</v>
      </c>
      <c r="H82" s="97">
        <v>14</v>
      </c>
      <c r="I82" s="97">
        <v>14</v>
      </c>
      <c r="J82" s="101">
        <v>77</v>
      </c>
      <c r="K82" s="101">
        <v>78</v>
      </c>
      <c r="L82" s="130">
        <v>48</v>
      </c>
      <c r="M82" s="130">
        <v>50</v>
      </c>
      <c r="N82" s="130">
        <v>24</v>
      </c>
      <c r="O82" s="130">
        <v>25</v>
      </c>
      <c r="P82" s="218">
        <f t="shared" si="2"/>
        <v>330</v>
      </c>
    </row>
    <row r="83" spans="1:16" x14ac:dyDescent="0.35">
      <c r="A83" s="229"/>
      <c r="B83" s="232"/>
      <c r="C83" s="25" t="s">
        <v>1722</v>
      </c>
      <c r="D83" s="25" t="s">
        <v>1723</v>
      </c>
      <c r="E83" s="25" t="s">
        <v>226</v>
      </c>
      <c r="F83" s="25" t="s">
        <v>1726</v>
      </c>
      <c r="G83" s="6" t="s">
        <v>416</v>
      </c>
      <c r="H83" s="97">
        <v>9</v>
      </c>
      <c r="I83" s="97">
        <v>13</v>
      </c>
      <c r="J83" s="101">
        <v>23</v>
      </c>
      <c r="K83" s="101">
        <v>15</v>
      </c>
      <c r="L83" s="130">
        <v>14</v>
      </c>
      <c r="M83" s="130">
        <v>16</v>
      </c>
      <c r="N83" s="130">
        <v>9</v>
      </c>
      <c r="O83" s="130">
        <v>11</v>
      </c>
      <c r="P83" s="218">
        <f t="shared" si="2"/>
        <v>110</v>
      </c>
    </row>
    <row r="84" spans="1:16" x14ac:dyDescent="0.35">
      <c r="A84" s="229"/>
      <c r="B84" s="232"/>
      <c r="C84" s="25" t="s">
        <v>1722</v>
      </c>
      <c r="D84" s="25" t="s">
        <v>1723</v>
      </c>
      <c r="E84" s="25" t="s">
        <v>226</v>
      </c>
      <c r="F84" s="25" t="s">
        <v>357</v>
      </c>
      <c r="G84" s="6" t="s">
        <v>417</v>
      </c>
      <c r="H84" s="97">
        <v>27</v>
      </c>
      <c r="I84" s="97">
        <v>28</v>
      </c>
      <c r="J84" s="101">
        <v>50</v>
      </c>
      <c r="K84" s="101">
        <v>43</v>
      </c>
      <c r="L84" s="130">
        <v>8</v>
      </c>
      <c r="M84" s="130">
        <v>9</v>
      </c>
      <c r="N84" s="130">
        <v>15</v>
      </c>
      <c r="O84" s="130">
        <v>17</v>
      </c>
      <c r="P84" s="218">
        <f t="shared" si="2"/>
        <v>197</v>
      </c>
    </row>
    <row r="85" spans="1:16" x14ac:dyDescent="0.35">
      <c r="A85" s="229"/>
      <c r="B85" s="232"/>
      <c r="C85" s="25" t="s">
        <v>1722</v>
      </c>
      <c r="D85" s="25" t="s">
        <v>1723</v>
      </c>
      <c r="E85" s="25" t="s">
        <v>226</v>
      </c>
      <c r="F85" s="25" t="s">
        <v>1726</v>
      </c>
      <c r="G85" s="6" t="s">
        <v>418</v>
      </c>
      <c r="H85" s="97">
        <v>5</v>
      </c>
      <c r="I85" s="97">
        <v>5</v>
      </c>
      <c r="J85" s="101">
        <v>23</v>
      </c>
      <c r="K85" s="101">
        <v>37</v>
      </c>
      <c r="L85" s="130">
        <v>22</v>
      </c>
      <c r="M85" s="130">
        <v>23</v>
      </c>
      <c r="N85" s="130">
        <v>8</v>
      </c>
      <c r="O85" s="130">
        <v>8</v>
      </c>
      <c r="P85" s="218">
        <f t="shared" si="2"/>
        <v>131</v>
      </c>
    </row>
    <row r="86" spans="1:16" x14ac:dyDescent="0.35">
      <c r="A86" s="229"/>
      <c r="B86" s="232"/>
      <c r="C86" s="25" t="s">
        <v>1722</v>
      </c>
      <c r="D86" s="25" t="s">
        <v>1723</v>
      </c>
      <c r="E86" s="25" t="s">
        <v>226</v>
      </c>
      <c r="F86" s="25" t="s">
        <v>1726</v>
      </c>
      <c r="G86" s="6" t="s">
        <v>419</v>
      </c>
      <c r="H86" s="97">
        <v>10</v>
      </c>
      <c r="I86" s="97">
        <v>10</v>
      </c>
      <c r="J86" s="101">
        <v>17</v>
      </c>
      <c r="K86" s="101">
        <v>25</v>
      </c>
      <c r="L86" s="130">
        <v>23</v>
      </c>
      <c r="M86" s="130">
        <v>17</v>
      </c>
      <c r="N86" s="130">
        <v>5</v>
      </c>
      <c r="O86" s="130">
        <v>7</v>
      </c>
      <c r="P86" s="218">
        <f t="shared" si="2"/>
        <v>114</v>
      </c>
    </row>
    <row r="87" spans="1:16" x14ac:dyDescent="0.35">
      <c r="A87" s="229"/>
      <c r="B87" s="232"/>
      <c r="C87" s="25" t="s">
        <v>1722</v>
      </c>
      <c r="D87" s="25" t="s">
        <v>1723</v>
      </c>
      <c r="E87" s="25" t="s">
        <v>226</v>
      </c>
      <c r="F87" s="25" t="s">
        <v>1727</v>
      </c>
      <c r="G87" s="6" t="s">
        <v>420</v>
      </c>
      <c r="H87" s="97">
        <v>4</v>
      </c>
      <c r="I87" s="97">
        <v>5</v>
      </c>
      <c r="J87" s="101">
        <v>8</v>
      </c>
      <c r="K87" s="101">
        <v>12</v>
      </c>
      <c r="L87" s="130">
        <v>13</v>
      </c>
      <c r="M87" s="130">
        <v>17</v>
      </c>
      <c r="N87" s="130">
        <v>27</v>
      </c>
      <c r="O87" s="130">
        <v>23</v>
      </c>
      <c r="P87" s="218">
        <f t="shared" si="2"/>
        <v>109</v>
      </c>
    </row>
    <row r="88" spans="1:16" x14ac:dyDescent="0.35">
      <c r="A88" s="229"/>
      <c r="B88" s="232"/>
      <c r="C88" s="25" t="s">
        <v>1722</v>
      </c>
      <c r="D88" s="25" t="s">
        <v>1723</v>
      </c>
      <c r="E88" s="25" t="s">
        <v>1730</v>
      </c>
      <c r="F88" s="25" t="s">
        <v>1731</v>
      </c>
      <c r="G88" s="6" t="s">
        <v>421</v>
      </c>
      <c r="H88" s="97">
        <v>7</v>
      </c>
      <c r="I88" s="97">
        <v>8</v>
      </c>
      <c r="J88" s="101">
        <v>11</v>
      </c>
      <c r="K88" s="101">
        <v>14</v>
      </c>
      <c r="L88" s="130">
        <v>11</v>
      </c>
      <c r="M88" s="130">
        <v>15</v>
      </c>
      <c r="N88" s="130">
        <v>22</v>
      </c>
      <c r="O88" s="130">
        <v>24</v>
      </c>
      <c r="P88" s="218">
        <f t="shared" si="2"/>
        <v>112</v>
      </c>
    </row>
    <row r="89" spans="1:16" x14ac:dyDescent="0.35">
      <c r="A89" s="229"/>
      <c r="B89" s="232"/>
      <c r="C89" s="25" t="s">
        <v>1722</v>
      </c>
      <c r="D89" s="25" t="s">
        <v>1723</v>
      </c>
      <c r="E89" s="25" t="s">
        <v>1730</v>
      </c>
      <c r="F89" s="25" t="s">
        <v>1731</v>
      </c>
      <c r="G89" s="6" t="s">
        <v>1921</v>
      </c>
      <c r="H89" s="97">
        <v>7</v>
      </c>
      <c r="I89" s="97">
        <v>8</v>
      </c>
      <c r="J89" s="101">
        <v>12</v>
      </c>
      <c r="K89" s="101">
        <v>17</v>
      </c>
      <c r="L89" s="130">
        <v>9</v>
      </c>
      <c r="M89" s="130">
        <v>10</v>
      </c>
      <c r="N89" s="130">
        <v>17</v>
      </c>
      <c r="O89" s="130">
        <v>19</v>
      </c>
      <c r="P89" s="218">
        <f t="shared" si="2"/>
        <v>99</v>
      </c>
    </row>
    <row r="90" spans="1:16" x14ac:dyDescent="0.35">
      <c r="A90" s="229"/>
      <c r="B90" s="232"/>
      <c r="C90" s="25" t="s">
        <v>1722</v>
      </c>
      <c r="D90" s="25" t="s">
        <v>1723</v>
      </c>
      <c r="E90" s="25" t="s">
        <v>226</v>
      </c>
      <c r="F90" s="25" t="s">
        <v>1726</v>
      </c>
      <c r="G90" s="6" t="s">
        <v>1922</v>
      </c>
      <c r="H90" s="97">
        <v>23</v>
      </c>
      <c r="I90" s="97">
        <v>24</v>
      </c>
      <c r="J90" s="101">
        <v>54</v>
      </c>
      <c r="K90" s="101">
        <v>61</v>
      </c>
      <c r="L90" s="130">
        <v>33</v>
      </c>
      <c r="M90" s="130">
        <v>31</v>
      </c>
      <c r="N90" s="130">
        <v>20</v>
      </c>
      <c r="O90" s="130">
        <v>21</v>
      </c>
      <c r="P90" s="218">
        <f t="shared" si="2"/>
        <v>267</v>
      </c>
    </row>
    <row r="91" spans="1:16" x14ac:dyDescent="0.35">
      <c r="A91" s="229"/>
      <c r="B91" s="232"/>
      <c r="C91" s="25" t="s">
        <v>1722</v>
      </c>
      <c r="D91" s="25" t="s">
        <v>1723</v>
      </c>
      <c r="E91" s="25" t="s">
        <v>1730</v>
      </c>
      <c r="F91" s="25" t="s">
        <v>1731</v>
      </c>
      <c r="G91" s="6" t="s">
        <v>422</v>
      </c>
      <c r="H91" s="97">
        <v>10</v>
      </c>
      <c r="I91" s="97">
        <v>11</v>
      </c>
      <c r="J91" s="101">
        <v>33</v>
      </c>
      <c r="K91" s="101">
        <v>31</v>
      </c>
      <c r="L91" s="130">
        <v>16</v>
      </c>
      <c r="M91" s="130">
        <v>15</v>
      </c>
      <c r="N91" s="130">
        <v>24</v>
      </c>
      <c r="O91" s="130">
        <v>25</v>
      </c>
      <c r="P91" s="218">
        <f t="shared" si="2"/>
        <v>165</v>
      </c>
    </row>
    <row r="92" spans="1:16" x14ac:dyDescent="0.35">
      <c r="A92" s="229"/>
      <c r="B92" s="232"/>
      <c r="C92" s="25" t="s">
        <v>1722</v>
      </c>
      <c r="D92" s="25" t="s">
        <v>1723</v>
      </c>
      <c r="E92" s="25" t="s">
        <v>226</v>
      </c>
      <c r="F92" s="25" t="s">
        <v>1726</v>
      </c>
      <c r="G92" s="6" t="s">
        <v>423</v>
      </c>
      <c r="H92" s="97">
        <v>15</v>
      </c>
      <c r="I92" s="97">
        <v>15</v>
      </c>
      <c r="J92" s="101">
        <v>88</v>
      </c>
      <c r="K92" s="101">
        <v>98</v>
      </c>
      <c r="L92" s="130">
        <v>57</v>
      </c>
      <c r="M92" s="130">
        <v>55</v>
      </c>
      <c r="N92" s="130">
        <v>69</v>
      </c>
      <c r="O92" s="130">
        <v>73</v>
      </c>
      <c r="P92" s="218">
        <f t="shared" si="2"/>
        <v>470</v>
      </c>
    </row>
    <row r="93" spans="1:16" x14ac:dyDescent="0.35">
      <c r="A93" s="229"/>
      <c r="B93" s="232"/>
      <c r="C93" s="25" t="s">
        <v>1722</v>
      </c>
      <c r="D93" s="25" t="s">
        <v>1723</v>
      </c>
      <c r="E93" s="25" t="s">
        <v>226</v>
      </c>
      <c r="F93" s="25" t="s">
        <v>399</v>
      </c>
      <c r="G93" s="6" t="s">
        <v>424</v>
      </c>
      <c r="H93" s="97">
        <v>8</v>
      </c>
      <c r="I93" s="97">
        <v>8</v>
      </c>
      <c r="J93" s="101">
        <v>30</v>
      </c>
      <c r="K93" s="101">
        <v>15</v>
      </c>
      <c r="L93" s="130">
        <v>20</v>
      </c>
      <c r="M93" s="130">
        <v>25</v>
      </c>
      <c r="N93" s="130">
        <v>13</v>
      </c>
      <c r="O93" s="130">
        <v>15</v>
      </c>
      <c r="P93" s="218">
        <f t="shared" si="2"/>
        <v>134</v>
      </c>
    </row>
    <row r="94" spans="1:16" x14ac:dyDescent="0.35">
      <c r="A94" s="229"/>
      <c r="B94" s="232"/>
      <c r="C94" s="25" t="s">
        <v>1722</v>
      </c>
      <c r="D94" s="25" t="s">
        <v>1723</v>
      </c>
      <c r="E94" s="25" t="s">
        <v>226</v>
      </c>
      <c r="F94" s="25" t="s">
        <v>1726</v>
      </c>
      <c r="G94" s="6" t="s">
        <v>425</v>
      </c>
      <c r="H94" s="97">
        <v>22</v>
      </c>
      <c r="I94" s="97">
        <v>23</v>
      </c>
      <c r="J94" s="101">
        <v>70</v>
      </c>
      <c r="K94" s="101">
        <v>74</v>
      </c>
      <c r="L94" s="130">
        <v>71</v>
      </c>
      <c r="M94" s="130">
        <v>75</v>
      </c>
      <c r="N94" s="130">
        <v>52</v>
      </c>
      <c r="O94" s="130">
        <v>61</v>
      </c>
      <c r="P94" s="218">
        <f t="shared" si="2"/>
        <v>448</v>
      </c>
    </row>
    <row r="95" spans="1:16" x14ac:dyDescent="0.35">
      <c r="A95" s="229"/>
      <c r="B95" s="232"/>
      <c r="C95" s="25" t="s">
        <v>1722</v>
      </c>
      <c r="D95" s="25" t="s">
        <v>1723</v>
      </c>
      <c r="E95" s="25" t="s">
        <v>226</v>
      </c>
      <c r="F95" s="25" t="s">
        <v>399</v>
      </c>
      <c r="G95" s="6" t="s">
        <v>426</v>
      </c>
      <c r="H95" s="97">
        <v>13</v>
      </c>
      <c r="I95" s="97">
        <v>14</v>
      </c>
      <c r="J95" s="101">
        <v>74</v>
      </c>
      <c r="K95" s="101">
        <v>78</v>
      </c>
      <c r="L95" s="130">
        <v>39</v>
      </c>
      <c r="M95" s="130">
        <v>36</v>
      </c>
      <c r="N95" s="130">
        <v>123</v>
      </c>
      <c r="O95" s="130">
        <v>112</v>
      </c>
      <c r="P95" s="218">
        <f t="shared" si="2"/>
        <v>489</v>
      </c>
    </row>
    <row r="96" spans="1:16" x14ac:dyDescent="0.35">
      <c r="A96" s="229"/>
      <c r="B96" s="232"/>
      <c r="C96" s="25" t="s">
        <v>1722</v>
      </c>
      <c r="D96" s="25" t="s">
        <v>1723</v>
      </c>
      <c r="E96" s="25" t="s">
        <v>1730</v>
      </c>
      <c r="F96" s="25" t="s">
        <v>362</v>
      </c>
      <c r="G96" s="6" t="s">
        <v>427</v>
      </c>
      <c r="H96" s="97">
        <v>5</v>
      </c>
      <c r="I96" s="97">
        <v>5</v>
      </c>
      <c r="J96" s="101">
        <v>38</v>
      </c>
      <c r="K96" s="101">
        <v>32</v>
      </c>
      <c r="L96" s="130">
        <v>8</v>
      </c>
      <c r="M96" s="130">
        <v>11</v>
      </c>
      <c r="N96" s="130">
        <v>27</v>
      </c>
      <c r="O96" s="130">
        <v>25</v>
      </c>
      <c r="P96" s="218">
        <f t="shared" si="2"/>
        <v>151</v>
      </c>
    </row>
    <row r="97" spans="1:16" x14ac:dyDescent="0.35">
      <c r="A97" s="229"/>
      <c r="B97" s="232"/>
      <c r="C97" s="25" t="s">
        <v>1722</v>
      </c>
      <c r="D97" s="25" t="s">
        <v>1723</v>
      </c>
      <c r="E97" s="25" t="s">
        <v>226</v>
      </c>
      <c r="F97" s="25" t="s">
        <v>388</v>
      </c>
      <c r="G97" s="6" t="s">
        <v>428</v>
      </c>
      <c r="H97" s="97">
        <v>33</v>
      </c>
      <c r="I97" s="97">
        <v>34</v>
      </c>
      <c r="J97" s="101">
        <v>73</v>
      </c>
      <c r="K97" s="101">
        <v>87</v>
      </c>
      <c r="L97" s="130">
        <v>78</v>
      </c>
      <c r="M97" s="130">
        <v>76</v>
      </c>
      <c r="N97" s="130">
        <v>37</v>
      </c>
      <c r="O97" s="130">
        <v>38</v>
      </c>
      <c r="P97" s="218">
        <f t="shared" si="2"/>
        <v>456</v>
      </c>
    </row>
    <row r="98" spans="1:16" x14ac:dyDescent="0.35">
      <c r="A98" s="229"/>
      <c r="B98" s="232"/>
      <c r="C98" s="25" t="s">
        <v>1722</v>
      </c>
      <c r="D98" s="25" t="s">
        <v>1723</v>
      </c>
      <c r="E98" s="25" t="s">
        <v>226</v>
      </c>
      <c r="F98" s="25" t="s">
        <v>1727</v>
      </c>
      <c r="G98" s="6" t="s">
        <v>420</v>
      </c>
      <c r="H98" s="97">
        <v>25</v>
      </c>
      <c r="I98" s="97">
        <v>26</v>
      </c>
      <c r="J98" s="101">
        <v>44</v>
      </c>
      <c r="K98" s="101">
        <v>56</v>
      </c>
      <c r="L98" s="130">
        <v>57</v>
      </c>
      <c r="M98" s="130">
        <v>43</v>
      </c>
      <c r="N98" s="130">
        <v>23</v>
      </c>
      <c r="O98" s="130">
        <v>22</v>
      </c>
      <c r="P98" s="218">
        <f t="shared" si="2"/>
        <v>296</v>
      </c>
    </row>
    <row r="99" spans="1:16" x14ac:dyDescent="0.35">
      <c r="A99" s="229"/>
      <c r="B99" s="232"/>
      <c r="C99" s="25" t="s">
        <v>1722</v>
      </c>
      <c r="D99" s="25" t="s">
        <v>1723</v>
      </c>
      <c r="E99" s="25" t="s">
        <v>1733</v>
      </c>
      <c r="F99" s="25" t="s">
        <v>1732</v>
      </c>
      <c r="G99" s="6" t="s">
        <v>429</v>
      </c>
      <c r="H99" s="97">
        <v>8</v>
      </c>
      <c r="I99" s="97">
        <v>8</v>
      </c>
      <c r="J99" s="101">
        <v>31</v>
      </c>
      <c r="K99" s="101">
        <v>25</v>
      </c>
      <c r="L99" s="130">
        <v>13</v>
      </c>
      <c r="M99" s="130">
        <v>17</v>
      </c>
      <c r="N99" s="130">
        <v>12</v>
      </c>
      <c r="O99" s="130">
        <v>16</v>
      </c>
      <c r="P99" s="218">
        <f t="shared" si="2"/>
        <v>130</v>
      </c>
    </row>
    <row r="100" spans="1:16" x14ac:dyDescent="0.35">
      <c r="A100" s="54"/>
      <c r="B100" s="60"/>
      <c r="C100" s="60"/>
      <c r="D100" s="60"/>
      <c r="E100" s="60"/>
      <c r="F100" s="60"/>
      <c r="G100" s="54" t="s">
        <v>2</v>
      </c>
      <c r="H100" s="169">
        <f t="shared" ref="H100:O100" si="3">SUM(H18:H99)</f>
        <v>948</v>
      </c>
      <c r="I100" s="169">
        <f t="shared" si="3"/>
        <v>1013</v>
      </c>
      <c r="J100" s="170">
        <f t="shared" si="3"/>
        <v>3393</v>
      </c>
      <c r="K100" s="170">
        <f t="shared" si="3"/>
        <v>3776</v>
      </c>
      <c r="L100" s="128">
        <f t="shared" si="3"/>
        <v>2289</v>
      </c>
      <c r="M100" s="128">
        <f t="shared" si="3"/>
        <v>2452</v>
      </c>
      <c r="N100" s="125">
        <f t="shared" si="3"/>
        <v>3123</v>
      </c>
      <c r="O100" s="125">
        <f t="shared" si="3"/>
        <v>3419</v>
      </c>
      <c r="P100" s="217">
        <f t="shared" si="2"/>
        <v>20413</v>
      </c>
    </row>
    <row r="101" spans="1:16" x14ac:dyDescent="0.35">
      <c r="A101" s="229">
        <v>3</v>
      </c>
      <c r="B101" s="232" t="s">
        <v>1888</v>
      </c>
      <c r="C101" s="25" t="s">
        <v>1722</v>
      </c>
      <c r="D101" s="25" t="s">
        <v>1723</v>
      </c>
      <c r="E101" s="25" t="s">
        <v>1734</v>
      </c>
      <c r="F101" s="25" t="s">
        <v>1735</v>
      </c>
      <c r="G101" s="25" t="s">
        <v>430</v>
      </c>
      <c r="H101" s="97">
        <v>3</v>
      </c>
      <c r="I101" s="97">
        <v>3</v>
      </c>
      <c r="J101" s="101">
        <v>8</v>
      </c>
      <c r="K101" s="101">
        <v>12</v>
      </c>
      <c r="L101" s="130">
        <v>3</v>
      </c>
      <c r="M101" s="130">
        <v>5</v>
      </c>
      <c r="N101" s="130">
        <v>9</v>
      </c>
      <c r="O101" s="130">
        <v>13</v>
      </c>
      <c r="P101" s="218">
        <f t="shared" si="2"/>
        <v>56</v>
      </c>
    </row>
    <row r="102" spans="1:16" x14ac:dyDescent="0.35">
      <c r="A102" s="229"/>
      <c r="B102" s="232"/>
      <c r="C102" s="25" t="s">
        <v>1722</v>
      </c>
      <c r="D102" s="25" t="s">
        <v>1723</v>
      </c>
      <c r="E102" s="25" t="s">
        <v>1734</v>
      </c>
      <c r="F102" s="25" t="s">
        <v>1735</v>
      </c>
      <c r="G102" s="25" t="s">
        <v>431</v>
      </c>
      <c r="H102" s="97">
        <v>1</v>
      </c>
      <c r="I102" s="97">
        <v>2</v>
      </c>
      <c r="J102" s="101">
        <v>9</v>
      </c>
      <c r="K102" s="101">
        <v>10</v>
      </c>
      <c r="L102" s="130">
        <v>3</v>
      </c>
      <c r="M102" s="130">
        <v>4</v>
      </c>
      <c r="N102" s="130">
        <v>6</v>
      </c>
      <c r="O102" s="130">
        <v>6</v>
      </c>
      <c r="P102" s="218">
        <f t="shared" si="2"/>
        <v>41</v>
      </c>
    </row>
    <row r="103" spans="1:16" x14ac:dyDescent="0.35">
      <c r="A103" s="229"/>
      <c r="B103" s="232"/>
      <c r="C103" s="25" t="s">
        <v>1722</v>
      </c>
      <c r="D103" s="25" t="s">
        <v>1723</v>
      </c>
      <c r="E103" s="25" t="s">
        <v>1734</v>
      </c>
      <c r="F103" s="25" t="s">
        <v>1739</v>
      </c>
      <c r="G103" s="25" t="s">
        <v>432</v>
      </c>
      <c r="H103" s="97">
        <v>7</v>
      </c>
      <c r="I103" s="97">
        <v>7</v>
      </c>
      <c r="J103" s="101">
        <v>16</v>
      </c>
      <c r="K103" s="101">
        <v>14</v>
      </c>
      <c r="L103" s="130">
        <v>9</v>
      </c>
      <c r="M103" s="130">
        <v>10</v>
      </c>
      <c r="N103" s="130">
        <v>6</v>
      </c>
      <c r="O103" s="130">
        <v>7</v>
      </c>
      <c r="P103" s="218">
        <f t="shared" si="2"/>
        <v>76</v>
      </c>
    </row>
    <row r="104" spans="1:16" x14ac:dyDescent="0.35">
      <c r="A104" s="229"/>
      <c r="B104" s="232"/>
      <c r="C104" s="25" t="s">
        <v>1722</v>
      </c>
      <c r="D104" s="25" t="s">
        <v>1723</v>
      </c>
      <c r="E104" s="25" t="s">
        <v>1734</v>
      </c>
      <c r="F104" s="25" t="s">
        <v>1739</v>
      </c>
      <c r="G104" s="25" t="s">
        <v>433</v>
      </c>
      <c r="H104" s="97">
        <v>6</v>
      </c>
      <c r="I104" s="97">
        <v>6</v>
      </c>
      <c r="J104" s="101">
        <v>12</v>
      </c>
      <c r="K104" s="101">
        <v>11</v>
      </c>
      <c r="L104" s="130">
        <v>5</v>
      </c>
      <c r="M104" s="130">
        <v>6</v>
      </c>
      <c r="N104" s="130">
        <v>8</v>
      </c>
      <c r="O104" s="130">
        <v>7</v>
      </c>
      <c r="P104" s="218">
        <f t="shared" si="2"/>
        <v>61</v>
      </c>
    </row>
    <row r="105" spans="1:16" x14ac:dyDescent="0.35">
      <c r="A105" s="229"/>
      <c r="B105" s="232"/>
      <c r="C105" s="25" t="s">
        <v>1722</v>
      </c>
      <c r="D105" s="25" t="s">
        <v>1723</v>
      </c>
      <c r="E105" s="25" t="s">
        <v>1734</v>
      </c>
      <c r="F105" s="25" t="s">
        <v>1735</v>
      </c>
      <c r="G105" s="25" t="s">
        <v>434</v>
      </c>
      <c r="H105" s="97">
        <v>8</v>
      </c>
      <c r="I105" s="97">
        <v>9</v>
      </c>
      <c r="J105" s="101">
        <v>51</v>
      </c>
      <c r="K105" s="101">
        <v>52</v>
      </c>
      <c r="L105" s="130">
        <v>33</v>
      </c>
      <c r="M105" s="130">
        <v>35</v>
      </c>
      <c r="N105" s="130">
        <v>30</v>
      </c>
      <c r="O105" s="130">
        <v>34</v>
      </c>
      <c r="P105" s="218">
        <f t="shared" si="2"/>
        <v>252</v>
      </c>
    </row>
    <row r="106" spans="1:16" x14ac:dyDescent="0.35">
      <c r="A106" s="229"/>
      <c r="B106" s="232"/>
      <c r="C106" s="25" t="s">
        <v>1722</v>
      </c>
      <c r="D106" s="25" t="s">
        <v>1723</v>
      </c>
      <c r="E106" s="25" t="s">
        <v>1734</v>
      </c>
      <c r="F106" s="25" t="s">
        <v>1739</v>
      </c>
      <c r="G106" s="25" t="s">
        <v>435</v>
      </c>
      <c r="H106" s="97">
        <v>0</v>
      </c>
      <c r="I106" s="97">
        <v>0</v>
      </c>
      <c r="J106" s="101">
        <v>0</v>
      </c>
      <c r="K106" s="101">
        <v>0</v>
      </c>
      <c r="L106" s="130">
        <v>6</v>
      </c>
      <c r="M106" s="130">
        <v>7</v>
      </c>
      <c r="N106" s="130">
        <v>11</v>
      </c>
      <c r="O106" s="130">
        <v>13</v>
      </c>
      <c r="P106" s="218">
        <f t="shared" si="2"/>
        <v>37</v>
      </c>
    </row>
    <row r="107" spans="1:16" x14ac:dyDescent="0.35">
      <c r="A107" s="229"/>
      <c r="B107" s="232"/>
      <c r="C107" s="25" t="s">
        <v>1722</v>
      </c>
      <c r="D107" s="25" t="s">
        <v>1723</v>
      </c>
      <c r="E107" s="25" t="s">
        <v>1734</v>
      </c>
      <c r="F107" s="25" t="s">
        <v>1739</v>
      </c>
      <c r="G107" s="25" t="s">
        <v>436</v>
      </c>
      <c r="H107" s="97">
        <v>13</v>
      </c>
      <c r="I107" s="97">
        <v>20</v>
      </c>
      <c r="J107" s="101">
        <v>22</v>
      </c>
      <c r="K107" s="101">
        <v>31</v>
      </c>
      <c r="L107" s="130">
        <v>18</v>
      </c>
      <c r="M107" s="130">
        <v>20</v>
      </c>
      <c r="N107" s="130">
        <v>19</v>
      </c>
      <c r="O107" s="130">
        <v>23</v>
      </c>
      <c r="P107" s="218">
        <f t="shared" si="2"/>
        <v>166</v>
      </c>
    </row>
    <row r="108" spans="1:16" x14ac:dyDescent="0.35">
      <c r="A108" s="229"/>
      <c r="B108" s="232"/>
      <c r="C108" s="25" t="s">
        <v>1722</v>
      </c>
      <c r="D108" s="25" t="s">
        <v>1723</v>
      </c>
      <c r="E108" s="25" t="s">
        <v>1734</v>
      </c>
      <c r="F108" s="25" t="s">
        <v>1735</v>
      </c>
      <c r="G108" s="25" t="s">
        <v>437</v>
      </c>
      <c r="H108" s="97">
        <v>7</v>
      </c>
      <c r="I108" s="97">
        <v>7</v>
      </c>
      <c r="J108" s="101">
        <v>42</v>
      </c>
      <c r="K108" s="101">
        <v>40</v>
      </c>
      <c r="L108" s="130">
        <v>7</v>
      </c>
      <c r="M108" s="130">
        <v>6</v>
      </c>
      <c r="N108" s="130">
        <v>13</v>
      </c>
      <c r="O108" s="130">
        <v>15</v>
      </c>
      <c r="P108" s="218">
        <f t="shared" si="2"/>
        <v>137</v>
      </c>
    </row>
    <row r="109" spans="1:16" x14ac:dyDescent="0.35">
      <c r="A109" s="229"/>
      <c r="B109" s="232"/>
      <c r="C109" s="25" t="s">
        <v>1722</v>
      </c>
      <c r="D109" s="25" t="s">
        <v>1723</v>
      </c>
      <c r="E109" s="25" t="s">
        <v>1734</v>
      </c>
      <c r="F109" s="25" t="s">
        <v>1739</v>
      </c>
      <c r="G109" s="25" t="s">
        <v>438</v>
      </c>
      <c r="H109" s="97">
        <v>5</v>
      </c>
      <c r="I109" s="97">
        <v>5</v>
      </c>
      <c r="J109" s="101">
        <v>21</v>
      </c>
      <c r="K109" s="101">
        <v>22</v>
      </c>
      <c r="L109" s="130">
        <v>12</v>
      </c>
      <c r="M109" s="130">
        <v>9</v>
      </c>
      <c r="N109" s="130">
        <v>14</v>
      </c>
      <c r="O109" s="130">
        <v>16</v>
      </c>
      <c r="P109" s="218">
        <f t="shared" si="2"/>
        <v>104</v>
      </c>
    </row>
    <row r="110" spans="1:16" x14ac:dyDescent="0.35">
      <c r="A110" s="229"/>
      <c r="B110" s="232"/>
      <c r="C110" s="25" t="s">
        <v>1722</v>
      </c>
      <c r="D110" s="25" t="s">
        <v>1723</v>
      </c>
      <c r="E110" s="25" t="s">
        <v>1734</v>
      </c>
      <c r="F110" s="25" t="s">
        <v>1739</v>
      </c>
      <c r="G110" s="25" t="s">
        <v>439</v>
      </c>
      <c r="H110" s="97">
        <v>17</v>
      </c>
      <c r="I110" s="97">
        <v>18</v>
      </c>
      <c r="J110" s="101">
        <v>11</v>
      </c>
      <c r="K110" s="101">
        <v>9</v>
      </c>
      <c r="L110" s="130">
        <v>14</v>
      </c>
      <c r="M110" s="130">
        <v>16</v>
      </c>
      <c r="N110" s="130">
        <v>15</v>
      </c>
      <c r="O110" s="130">
        <v>15</v>
      </c>
      <c r="P110" s="218">
        <f t="shared" si="2"/>
        <v>115</v>
      </c>
    </row>
    <row r="111" spans="1:16" x14ac:dyDescent="0.35">
      <c r="A111" s="54"/>
      <c r="B111" s="56"/>
      <c r="C111" s="60"/>
      <c r="D111" s="60"/>
      <c r="E111" s="60"/>
      <c r="F111" s="60"/>
      <c r="G111" s="58" t="s">
        <v>2</v>
      </c>
      <c r="H111" s="172">
        <f t="shared" ref="H111:O111" si="4">SUM(H101:H110)</f>
        <v>67</v>
      </c>
      <c r="I111" s="172">
        <f t="shared" si="4"/>
        <v>77</v>
      </c>
      <c r="J111" s="171">
        <f t="shared" si="4"/>
        <v>192</v>
      </c>
      <c r="K111" s="171">
        <f t="shared" si="4"/>
        <v>201</v>
      </c>
      <c r="L111" s="129">
        <f t="shared" si="4"/>
        <v>110</v>
      </c>
      <c r="M111" s="129">
        <f t="shared" si="4"/>
        <v>118</v>
      </c>
      <c r="N111" s="126">
        <f t="shared" si="4"/>
        <v>131</v>
      </c>
      <c r="O111" s="126">
        <f t="shared" si="4"/>
        <v>149</v>
      </c>
      <c r="P111" s="217">
        <f t="shared" si="2"/>
        <v>1045</v>
      </c>
    </row>
    <row r="112" spans="1:16" x14ac:dyDescent="0.35">
      <c r="A112" s="229">
        <v>4</v>
      </c>
      <c r="B112" s="231" t="s">
        <v>1889</v>
      </c>
      <c r="C112" s="25" t="s">
        <v>1722</v>
      </c>
      <c r="D112" s="25" t="s">
        <v>1723</v>
      </c>
      <c r="E112" s="1" t="s">
        <v>1740</v>
      </c>
      <c r="F112" s="1" t="s">
        <v>1741</v>
      </c>
      <c r="G112" s="6" t="s">
        <v>440</v>
      </c>
      <c r="H112" s="97">
        <v>2</v>
      </c>
      <c r="I112" s="97">
        <v>4</v>
      </c>
      <c r="J112" s="101">
        <v>31</v>
      </c>
      <c r="K112" s="101">
        <v>33</v>
      </c>
      <c r="L112" s="130">
        <v>12</v>
      </c>
      <c r="M112" s="130">
        <v>13</v>
      </c>
      <c r="N112" s="130">
        <v>11</v>
      </c>
      <c r="O112" s="130">
        <v>13</v>
      </c>
      <c r="P112" s="218">
        <f t="shared" si="2"/>
        <v>119</v>
      </c>
    </row>
    <row r="113" spans="1:16" x14ac:dyDescent="0.35">
      <c r="A113" s="229"/>
      <c r="B113" s="231"/>
      <c r="C113" s="25" t="s">
        <v>1722</v>
      </c>
      <c r="D113" s="25" t="s">
        <v>1723</v>
      </c>
      <c r="E113" s="1" t="s">
        <v>1740</v>
      </c>
      <c r="F113" s="1" t="s">
        <v>1691</v>
      </c>
      <c r="G113" s="6" t="s">
        <v>441</v>
      </c>
      <c r="H113" s="97">
        <v>2</v>
      </c>
      <c r="I113" s="97">
        <v>3</v>
      </c>
      <c r="J113" s="101">
        <v>22</v>
      </c>
      <c r="K113" s="101">
        <v>32</v>
      </c>
      <c r="L113" s="130">
        <v>9</v>
      </c>
      <c r="M113" s="130">
        <v>8</v>
      </c>
      <c r="N113" s="130">
        <v>14</v>
      </c>
      <c r="O113" s="130">
        <v>15</v>
      </c>
      <c r="P113" s="218">
        <f t="shared" si="2"/>
        <v>105</v>
      </c>
    </row>
    <row r="114" spans="1:16" x14ac:dyDescent="0.35">
      <c r="A114" s="229"/>
      <c r="B114" s="231"/>
      <c r="C114" s="25" t="s">
        <v>1722</v>
      </c>
      <c r="D114" s="25" t="s">
        <v>1723</v>
      </c>
      <c r="E114" s="1" t="s">
        <v>1740</v>
      </c>
      <c r="F114" s="1" t="s">
        <v>1691</v>
      </c>
      <c r="G114" s="6" t="s">
        <v>442</v>
      </c>
      <c r="H114" s="97">
        <v>6</v>
      </c>
      <c r="I114" s="97">
        <v>4</v>
      </c>
      <c r="J114" s="101">
        <v>18</v>
      </c>
      <c r="K114" s="101">
        <v>20</v>
      </c>
      <c r="L114" s="130">
        <v>2</v>
      </c>
      <c r="M114" s="130">
        <v>3</v>
      </c>
      <c r="N114" s="130">
        <v>14</v>
      </c>
      <c r="O114" s="130">
        <v>12</v>
      </c>
      <c r="P114" s="218">
        <f t="shared" si="2"/>
        <v>79</v>
      </c>
    </row>
    <row r="115" spans="1:16" x14ac:dyDescent="0.35">
      <c r="A115" s="229"/>
      <c r="B115" s="231"/>
      <c r="C115" s="25" t="s">
        <v>1722</v>
      </c>
      <c r="D115" s="25" t="s">
        <v>1723</v>
      </c>
      <c r="E115" s="1" t="s">
        <v>1740</v>
      </c>
      <c r="F115" s="1" t="s">
        <v>1741</v>
      </c>
      <c r="G115" s="6" t="s">
        <v>443</v>
      </c>
      <c r="H115" s="97">
        <v>13</v>
      </c>
      <c r="I115" s="97">
        <v>7</v>
      </c>
      <c r="J115" s="101">
        <v>24</v>
      </c>
      <c r="K115" s="101">
        <v>30</v>
      </c>
      <c r="L115" s="130">
        <v>16</v>
      </c>
      <c r="M115" s="130">
        <v>18</v>
      </c>
      <c r="N115" s="130">
        <v>30</v>
      </c>
      <c r="O115" s="130">
        <v>32</v>
      </c>
      <c r="P115" s="218">
        <f t="shared" si="2"/>
        <v>170</v>
      </c>
    </row>
    <row r="116" spans="1:16" x14ac:dyDescent="0.35">
      <c r="A116" s="229"/>
      <c r="B116" s="231"/>
      <c r="C116" s="25" t="s">
        <v>1722</v>
      </c>
      <c r="D116" s="25" t="s">
        <v>1723</v>
      </c>
      <c r="E116" s="1" t="s">
        <v>1740</v>
      </c>
      <c r="F116" s="1" t="s">
        <v>1691</v>
      </c>
      <c r="G116" s="6" t="s">
        <v>444</v>
      </c>
      <c r="H116" s="97">
        <v>10</v>
      </c>
      <c r="I116" s="97">
        <v>16</v>
      </c>
      <c r="J116" s="101">
        <v>76</v>
      </c>
      <c r="K116" s="101">
        <v>67</v>
      </c>
      <c r="L116" s="130">
        <v>26</v>
      </c>
      <c r="M116" s="130">
        <v>28</v>
      </c>
      <c r="N116" s="130">
        <v>33</v>
      </c>
      <c r="O116" s="130">
        <v>35</v>
      </c>
      <c r="P116" s="218">
        <f t="shared" si="2"/>
        <v>291</v>
      </c>
    </row>
    <row r="117" spans="1:16" x14ac:dyDescent="0.35">
      <c r="A117" s="229"/>
      <c r="B117" s="231"/>
      <c r="C117" s="25" t="s">
        <v>1722</v>
      </c>
      <c r="D117" s="25" t="s">
        <v>1723</v>
      </c>
      <c r="E117" s="1" t="s">
        <v>1740</v>
      </c>
      <c r="F117" s="1" t="s">
        <v>1742</v>
      </c>
      <c r="G117" s="6" t="s">
        <v>445</v>
      </c>
      <c r="H117" s="97">
        <v>9</v>
      </c>
      <c r="I117" s="97">
        <v>10</v>
      </c>
      <c r="J117" s="101">
        <v>41</v>
      </c>
      <c r="K117" s="101">
        <v>41</v>
      </c>
      <c r="L117" s="130">
        <v>17</v>
      </c>
      <c r="M117" s="130">
        <v>19</v>
      </c>
      <c r="N117" s="130">
        <v>33</v>
      </c>
      <c r="O117" s="130">
        <v>32</v>
      </c>
      <c r="P117" s="218">
        <f t="shared" si="2"/>
        <v>202</v>
      </c>
    </row>
    <row r="118" spans="1:16" x14ac:dyDescent="0.35">
      <c r="A118" s="229"/>
      <c r="B118" s="231"/>
      <c r="C118" s="25" t="s">
        <v>1722</v>
      </c>
      <c r="D118" s="25" t="s">
        <v>1723</v>
      </c>
      <c r="E118" s="1" t="s">
        <v>1740</v>
      </c>
      <c r="F118" s="1" t="s">
        <v>1691</v>
      </c>
      <c r="G118" s="6" t="s">
        <v>446</v>
      </c>
      <c r="H118" s="97">
        <v>5</v>
      </c>
      <c r="I118" s="97">
        <v>5</v>
      </c>
      <c r="J118" s="101">
        <v>15</v>
      </c>
      <c r="K118" s="101">
        <v>22</v>
      </c>
      <c r="L118" s="130">
        <v>10</v>
      </c>
      <c r="M118" s="130">
        <v>12</v>
      </c>
      <c r="N118" s="130">
        <v>15</v>
      </c>
      <c r="O118" s="130">
        <v>19</v>
      </c>
      <c r="P118" s="218">
        <f t="shared" si="2"/>
        <v>103</v>
      </c>
    </row>
    <row r="119" spans="1:16" x14ac:dyDescent="0.35">
      <c r="A119" s="229"/>
      <c r="B119" s="231"/>
      <c r="C119" s="25" t="s">
        <v>1722</v>
      </c>
      <c r="D119" s="25" t="s">
        <v>1723</v>
      </c>
      <c r="E119" s="1" t="s">
        <v>1740</v>
      </c>
      <c r="F119" s="1" t="s">
        <v>1742</v>
      </c>
      <c r="G119" s="6" t="s">
        <v>447</v>
      </c>
      <c r="H119" s="97">
        <v>5</v>
      </c>
      <c r="I119" s="97">
        <v>5</v>
      </c>
      <c r="J119" s="101">
        <v>31</v>
      </c>
      <c r="K119" s="101">
        <v>32</v>
      </c>
      <c r="L119" s="130">
        <v>16</v>
      </c>
      <c r="M119" s="130">
        <v>18</v>
      </c>
      <c r="N119" s="130">
        <v>20</v>
      </c>
      <c r="O119" s="130">
        <v>23</v>
      </c>
      <c r="P119" s="218">
        <f t="shared" si="2"/>
        <v>150</v>
      </c>
    </row>
    <row r="120" spans="1:16" x14ac:dyDescent="0.35">
      <c r="A120" s="229"/>
      <c r="B120" s="231"/>
      <c r="C120" s="25" t="s">
        <v>1722</v>
      </c>
      <c r="D120" s="25" t="s">
        <v>1723</v>
      </c>
      <c r="E120" s="1" t="s">
        <v>1740</v>
      </c>
      <c r="F120" s="1" t="s">
        <v>1742</v>
      </c>
      <c r="G120" s="6" t="s">
        <v>448</v>
      </c>
      <c r="H120" s="97">
        <v>10</v>
      </c>
      <c r="I120" s="97">
        <v>8</v>
      </c>
      <c r="J120" s="101">
        <v>29</v>
      </c>
      <c r="K120" s="101">
        <v>34</v>
      </c>
      <c r="L120" s="130">
        <v>8</v>
      </c>
      <c r="M120" s="130">
        <v>9</v>
      </c>
      <c r="N120" s="130">
        <v>8</v>
      </c>
      <c r="O120" s="130">
        <v>10</v>
      </c>
      <c r="P120" s="218">
        <f t="shared" si="2"/>
        <v>116</v>
      </c>
    </row>
    <row r="121" spans="1:16" x14ac:dyDescent="0.35">
      <c r="A121" s="54"/>
      <c r="B121" s="61"/>
      <c r="C121" s="61"/>
      <c r="D121" s="61"/>
      <c r="E121" s="61"/>
      <c r="F121" s="61"/>
      <c r="G121" s="59" t="s">
        <v>449</v>
      </c>
      <c r="H121" s="172">
        <f t="shared" ref="H121:O121" si="5">SUM(H112:H120)</f>
        <v>62</v>
      </c>
      <c r="I121" s="172">
        <f t="shared" si="5"/>
        <v>62</v>
      </c>
      <c r="J121" s="171">
        <f t="shared" si="5"/>
        <v>287</v>
      </c>
      <c r="K121" s="171">
        <f t="shared" si="5"/>
        <v>311</v>
      </c>
      <c r="L121" s="129">
        <f t="shared" si="5"/>
        <v>116</v>
      </c>
      <c r="M121" s="129">
        <f t="shared" si="5"/>
        <v>128</v>
      </c>
      <c r="N121" s="126">
        <f t="shared" si="5"/>
        <v>178</v>
      </c>
      <c r="O121" s="126">
        <f t="shared" si="5"/>
        <v>191</v>
      </c>
      <c r="P121" s="217">
        <f t="shared" si="2"/>
        <v>1335</v>
      </c>
    </row>
    <row r="122" spans="1:16" x14ac:dyDescent="0.35">
      <c r="A122" s="229">
        <v>5</v>
      </c>
      <c r="B122" s="236" t="s">
        <v>1743</v>
      </c>
      <c r="C122" s="25" t="s">
        <v>1722</v>
      </c>
      <c r="D122" s="25" t="s">
        <v>1723</v>
      </c>
      <c r="E122" s="28" t="s">
        <v>1743</v>
      </c>
      <c r="F122" s="28" t="s">
        <v>483</v>
      </c>
      <c r="G122" s="28" t="s">
        <v>450</v>
      </c>
      <c r="H122" s="97">
        <v>10</v>
      </c>
      <c r="I122" s="97">
        <v>10</v>
      </c>
      <c r="J122" s="28">
        <v>20</v>
      </c>
      <c r="K122" s="101">
        <v>29</v>
      </c>
      <c r="L122" s="130">
        <v>12</v>
      </c>
      <c r="M122" s="130">
        <v>13</v>
      </c>
      <c r="N122" s="130">
        <v>27</v>
      </c>
      <c r="O122" s="130">
        <v>23</v>
      </c>
      <c r="P122" s="218">
        <f t="shared" si="2"/>
        <v>144</v>
      </c>
    </row>
    <row r="123" spans="1:16" x14ac:dyDescent="0.35">
      <c r="A123" s="229"/>
      <c r="B123" s="236"/>
      <c r="C123" s="25" t="s">
        <v>1722</v>
      </c>
      <c r="D123" s="25" t="s">
        <v>1723</v>
      </c>
      <c r="E123" s="28" t="s">
        <v>1743</v>
      </c>
      <c r="F123" s="28" t="s">
        <v>483</v>
      </c>
      <c r="G123" s="28" t="s">
        <v>451</v>
      </c>
      <c r="H123" s="97">
        <v>7</v>
      </c>
      <c r="I123" s="97">
        <v>8</v>
      </c>
      <c r="J123" s="28">
        <v>57</v>
      </c>
      <c r="K123" s="101">
        <v>49</v>
      </c>
      <c r="L123" s="130">
        <v>9</v>
      </c>
      <c r="M123" s="130">
        <v>8</v>
      </c>
      <c r="N123" s="130">
        <v>19</v>
      </c>
      <c r="O123" s="130">
        <v>20</v>
      </c>
      <c r="P123" s="218">
        <f t="shared" si="2"/>
        <v>177</v>
      </c>
    </row>
    <row r="124" spans="1:16" x14ac:dyDescent="0.35">
      <c r="A124" s="229"/>
      <c r="B124" s="236"/>
      <c r="C124" s="25" t="s">
        <v>1722</v>
      </c>
      <c r="D124" s="25" t="s">
        <v>1723</v>
      </c>
      <c r="E124" s="28" t="s">
        <v>1743</v>
      </c>
      <c r="F124" s="28" t="s">
        <v>453</v>
      </c>
      <c r="G124" s="28" t="s">
        <v>452</v>
      </c>
      <c r="H124" s="97">
        <v>2</v>
      </c>
      <c r="I124" s="97">
        <v>3</v>
      </c>
      <c r="J124" s="28">
        <v>22</v>
      </c>
      <c r="K124" s="101">
        <v>19</v>
      </c>
      <c r="L124" s="130">
        <v>5</v>
      </c>
      <c r="M124" s="130">
        <v>7</v>
      </c>
      <c r="N124" s="130">
        <v>11</v>
      </c>
      <c r="O124" s="130">
        <v>15</v>
      </c>
      <c r="P124" s="218">
        <f t="shared" si="2"/>
        <v>84</v>
      </c>
    </row>
    <row r="125" spans="1:16" x14ac:dyDescent="0.35">
      <c r="A125" s="229"/>
      <c r="B125" s="236"/>
      <c r="C125" s="25" t="s">
        <v>1722</v>
      </c>
      <c r="D125" s="25" t="s">
        <v>1723</v>
      </c>
      <c r="E125" s="28" t="s">
        <v>1743</v>
      </c>
      <c r="F125" s="28" t="s">
        <v>453</v>
      </c>
      <c r="G125" s="28" t="s">
        <v>453</v>
      </c>
      <c r="H125" s="97">
        <v>6</v>
      </c>
      <c r="I125" s="97">
        <v>7</v>
      </c>
      <c r="J125" s="28">
        <v>7</v>
      </c>
      <c r="K125" s="101">
        <v>11</v>
      </c>
      <c r="L125" s="130">
        <v>6</v>
      </c>
      <c r="M125" s="130">
        <v>7</v>
      </c>
      <c r="N125" s="130">
        <v>6</v>
      </c>
      <c r="O125" s="130">
        <v>7</v>
      </c>
      <c r="P125" s="218">
        <f t="shared" si="2"/>
        <v>57</v>
      </c>
    </row>
    <row r="126" spans="1:16" x14ac:dyDescent="0.35">
      <c r="A126" s="229"/>
      <c r="B126" s="236"/>
      <c r="C126" s="25" t="s">
        <v>1722</v>
      </c>
      <c r="D126" s="25" t="s">
        <v>1723</v>
      </c>
      <c r="E126" s="28" t="s">
        <v>1743</v>
      </c>
      <c r="F126" s="28" t="s">
        <v>454</v>
      </c>
      <c r="G126" s="28" t="s">
        <v>454</v>
      </c>
      <c r="H126" s="97">
        <v>2</v>
      </c>
      <c r="I126" s="97">
        <v>3</v>
      </c>
      <c r="J126" s="28">
        <v>12</v>
      </c>
      <c r="K126" s="101">
        <v>38</v>
      </c>
      <c r="L126" s="130">
        <v>46</v>
      </c>
      <c r="M126" s="130">
        <v>54</v>
      </c>
      <c r="N126" s="130">
        <v>28</v>
      </c>
      <c r="O126" s="130">
        <v>32</v>
      </c>
      <c r="P126" s="218">
        <f t="shared" si="2"/>
        <v>215</v>
      </c>
    </row>
    <row r="127" spans="1:16" x14ac:dyDescent="0.35">
      <c r="A127" s="229"/>
      <c r="B127" s="236"/>
      <c r="C127" s="25" t="s">
        <v>1722</v>
      </c>
      <c r="D127" s="25" t="s">
        <v>1723</v>
      </c>
      <c r="E127" s="25" t="s">
        <v>1743</v>
      </c>
      <c r="F127" s="25" t="s">
        <v>454</v>
      </c>
      <c r="G127" s="28" t="s">
        <v>455</v>
      </c>
      <c r="H127" s="97">
        <v>5</v>
      </c>
      <c r="I127" s="97">
        <v>5</v>
      </c>
      <c r="J127" s="28">
        <v>26</v>
      </c>
      <c r="K127" s="101">
        <v>32</v>
      </c>
      <c r="L127" s="130">
        <v>12</v>
      </c>
      <c r="M127" s="130">
        <v>15</v>
      </c>
      <c r="N127" s="130">
        <v>13</v>
      </c>
      <c r="O127" s="130">
        <v>11</v>
      </c>
      <c r="P127" s="218">
        <f t="shared" si="2"/>
        <v>119</v>
      </c>
    </row>
    <row r="128" spans="1:16" x14ac:dyDescent="0.35">
      <c r="A128" s="229"/>
      <c r="B128" s="236"/>
      <c r="C128" s="25" t="s">
        <v>1722</v>
      </c>
      <c r="D128" s="25" t="s">
        <v>1723</v>
      </c>
      <c r="E128" s="28" t="s">
        <v>1743</v>
      </c>
      <c r="F128" s="28" t="s">
        <v>454</v>
      </c>
      <c r="G128" s="28" t="s">
        <v>456</v>
      </c>
      <c r="H128" s="97">
        <v>2</v>
      </c>
      <c r="I128" s="97">
        <v>2</v>
      </c>
      <c r="J128" s="28">
        <v>13</v>
      </c>
      <c r="K128" s="101">
        <v>16</v>
      </c>
      <c r="L128" s="130">
        <v>3</v>
      </c>
      <c r="M128" s="130">
        <v>5</v>
      </c>
      <c r="N128" s="130">
        <v>9</v>
      </c>
      <c r="O128" s="130">
        <v>7</v>
      </c>
      <c r="P128" s="218">
        <f t="shared" si="2"/>
        <v>57</v>
      </c>
    </row>
    <row r="129" spans="1:16" x14ac:dyDescent="0.35">
      <c r="A129" s="229"/>
      <c r="B129" s="236"/>
      <c r="C129" s="25" t="s">
        <v>1722</v>
      </c>
      <c r="D129" s="25" t="s">
        <v>1723</v>
      </c>
      <c r="E129" s="28" t="s">
        <v>1743</v>
      </c>
      <c r="F129" s="28" t="s">
        <v>483</v>
      </c>
      <c r="G129" s="28" t="s">
        <v>457</v>
      </c>
      <c r="H129" s="97">
        <v>5</v>
      </c>
      <c r="I129" s="97">
        <v>5</v>
      </c>
      <c r="J129" s="28">
        <v>11</v>
      </c>
      <c r="K129" s="101">
        <v>13</v>
      </c>
      <c r="L129" s="130">
        <v>22</v>
      </c>
      <c r="M129" s="130">
        <v>25</v>
      </c>
      <c r="N129" s="130">
        <v>24</v>
      </c>
      <c r="O129" s="130">
        <v>21</v>
      </c>
      <c r="P129" s="218">
        <f t="shared" si="2"/>
        <v>126</v>
      </c>
    </row>
    <row r="130" spans="1:16" x14ac:dyDescent="0.35">
      <c r="A130" s="229"/>
      <c r="B130" s="236"/>
      <c r="C130" s="25" t="s">
        <v>1722</v>
      </c>
      <c r="D130" s="25" t="s">
        <v>1723</v>
      </c>
      <c r="E130" s="28" t="s">
        <v>1743</v>
      </c>
      <c r="F130" s="28" t="s">
        <v>453</v>
      </c>
      <c r="G130" s="28" t="s">
        <v>458</v>
      </c>
      <c r="H130" s="97">
        <v>0</v>
      </c>
      <c r="I130" s="97">
        <v>0</v>
      </c>
      <c r="J130" s="28">
        <v>0</v>
      </c>
      <c r="K130" s="101">
        <v>0</v>
      </c>
      <c r="L130" s="130">
        <v>8</v>
      </c>
      <c r="M130" s="130">
        <v>10</v>
      </c>
      <c r="N130" s="130">
        <v>9</v>
      </c>
      <c r="O130" s="130">
        <v>10</v>
      </c>
      <c r="P130" s="218">
        <f t="shared" si="2"/>
        <v>37</v>
      </c>
    </row>
    <row r="131" spans="1:16" x14ac:dyDescent="0.35">
      <c r="A131" s="229"/>
      <c r="B131" s="236"/>
      <c r="C131" s="25" t="s">
        <v>1722</v>
      </c>
      <c r="D131" s="25" t="s">
        <v>1723</v>
      </c>
      <c r="E131" s="28" t="s">
        <v>1743</v>
      </c>
      <c r="F131" s="28" t="s">
        <v>1744</v>
      </c>
      <c r="G131" s="28" t="s">
        <v>459</v>
      </c>
      <c r="H131" s="97">
        <v>8</v>
      </c>
      <c r="I131" s="97">
        <v>8</v>
      </c>
      <c r="J131" s="28">
        <v>16</v>
      </c>
      <c r="K131" s="101">
        <v>18</v>
      </c>
      <c r="L131" s="130">
        <v>9</v>
      </c>
      <c r="M131" s="130">
        <v>11</v>
      </c>
      <c r="N131" s="130">
        <v>8</v>
      </c>
      <c r="O131" s="130">
        <v>7</v>
      </c>
      <c r="P131" s="218">
        <f t="shared" si="2"/>
        <v>85</v>
      </c>
    </row>
    <row r="132" spans="1:16" x14ac:dyDescent="0.35">
      <c r="A132" s="229"/>
      <c r="B132" s="236"/>
      <c r="C132" s="25" t="s">
        <v>1722</v>
      </c>
      <c r="D132" s="25" t="s">
        <v>1723</v>
      </c>
      <c r="E132" s="28" t="s">
        <v>1743</v>
      </c>
      <c r="F132" s="28" t="s">
        <v>1744</v>
      </c>
      <c r="G132" s="28" t="s">
        <v>460</v>
      </c>
      <c r="H132" s="97">
        <v>10</v>
      </c>
      <c r="I132" s="97">
        <v>10</v>
      </c>
      <c r="J132" s="28">
        <v>22</v>
      </c>
      <c r="K132" s="101">
        <v>28</v>
      </c>
      <c r="L132" s="130">
        <v>8</v>
      </c>
      <c r="M132" s="130">
        <v>7</v>
      </c>
      <c r="N132" s="130">
        <v>19</v>
      </c>
      <c r="O132" s="130">
        <v>16</v>
      </c>
      <c r="P132" s="218">
        <f t="shared" si="2"/>
        <v>120</v>
      </c>
    </row>
    <row r="133" spans="1:16" x14ac:dyDescent="0.35">
      <c r="A133" s="229"/>
      <c r="B133" s="236"/>
      <c r="C133" s="25" t="s">
        <v>1722</v>
      </c>
      <c r="D133" s="25" t="s">
        <v>1723</v>
      </c>
      <c r="E133" s="28" t="s">
        <v>1743</v>
      </c>
      <c r="F133" s="28" t="s">
        <v>1744</v>
      </c>
      <c r="G133" s="28" t="s">
        <v>358</v>
      </c>
      <c r="H133" s="97">
        <v>7</v>
      </c>
      <c r="I133" s="97">
        <v>7</v>
      </c>
      <c r="J133" s="28">
        <v>12</v>
      </c>
      <c r="K133" s="101">
        <v>14</v>
      </c>
      <c r="L133" s="130">
        <v>12</v>
      </c>
      <c r="M133" s="130">
        <v>14</v>
      </c>
      <c r="N133" s="130">
        <v>35</v>
      </c>
      <c r="O133" s="130">
        <v>31</v>
      </c>
      <c r="P133" s="218">
        <f t="shared" si="2"/>
        <v>132</v>
      </c>
    </row>
    <row r="134" spans="1:16" x14ac:dyDescent="0.35">
      <c r="A134" s="229"/>
      <c r="B134" s="236"/>
      <c r="C134" s="25" t="s">
        <v>1722</v>
      </c>
      <c r="D134" s="25" t="s">
        <v>1723</v>
      </c>
      <c r="E134" s="28" t="s">
        <v>1743</v>
      </c>
      <c r="F134" s="28" t="s">
        <v>1744</v>
      </c>
      <c r="G134" s="28" t="s">
        <v>461</v>
      </c>
      <c r="H134" s="97">
        <v>0</v>
      </c>
      <c r="I134" s="97">
        <v>0</v>
      </c>
      <c r="J134" s="28">
        <v>0</v>
      </c>
      <c r="K134" s="101">
        <v>0</v>
      </c>
      <c r="L134" s="130">
        <v>9</v>
      </c>
      <c r="M134" s="130">
        <v>11</v>
      </c>
      <c r="N134" s="130">
        <v>17</v>
      </c>
      <c r="O134" s="130">
        <v>13</v>
      </c>
      <c r="P134" s="218">
        <f t="shared" ref="P134:P197" si="6">H134+I134+J134+K134+L134+M134+N134+O134</f>
        <v>50</v>
      </c>
    </row>
    <row r="135" spans="1:16" x14ac:dyDescent="0.35">
      <c r="A135" s="229"/>
      <c r="B135" s="236"/>
      <c r="C135" s="25" t="s">
        <v>1722</v>
      </c>
      <c r="D135" s="25" t="s">
        <v>1723</v>
      </c>
      <c r="E135" s="28" t="s">
        <v>1743</v>
      </c>
      <c r="F135" s="28" t="s">
        <v>1744</v>
      </c>
      <c r="G135" s="28" t="s">
        <v>462</v>
      </c>
      <c r="H135" s="97">
        <v>5</v>
      </c>
      <c r="I135" s="97">
        <v>6</v>
      </c>
      <c r="J135" s="28">
        <v>8</v>
      </c>
      <c r="K135" s="101">
        <v>12</v>
      </c>
      <c r="L135" s="130">
        <v>6</v>
      </c>
      <c r="M135" s="130">
        <v>9</v>
      </c>
      <c r="N135" s="130">
        <v>11</v>
      </c>
      <c r="O135" s="130">
        <v>13</v>
      </c>
      <c r="P135" s="218">
        <f t="shared" si="6"/>
        <v>70</v>
      </c>
    </row>
    <row r="136" spans="1:16" x14ac:dyDescent="0.35">
      <c r="A136" s="229"/>
      <c r="B136" s="236"/>
      <c r="C136" s="25" t="s">
        <v>1722</v>
      </c>
      <c r="D136" s="25" t="s">
        <v>1723</v>
      </c>
      <c r="E136" s="28" t="s">
        <v>1743</v>
      </c>
      <c r="F136" s="28" t="s">
        <v>454</v>
      </c>
      <c r="G136" s="28" t="s">
        <v>463</v>
      </c>
      <c r="H136" s="97">
        <v>10</v>
      </c>
      <c r="I136" s="97">
        <v>10</v>
      </c>
      <c r="J136" s="28">
        <v>12</v>
      </c>
      <c r="K136" s="101">
        <v>11</v>
      </c>
      <c r="L136" s="130">
        <v>21</v>
      </c>
      <c r="M136" s="130">
        <v>15</v>
      </c>
      <c r="N136" s="130">
        <v>25</v>
      </c>
      <c r="O136" s="130">
        <v>29</v>
      </c>
      <c r="P136" s="218">
        <f t="shared" si="6"/>
        <v>133</v>
      </c>
    </row>
    <row r="137" spans="1:16" x14ac:dyDescent="0.35">
      <c r="A137" s="229"/>
      <c r="B137" s="236"/>
      <c r="C137" s="25" t="s">
        <v>1722</v>
      </c>
      <c r="D137" s="25" t="s">
        <v>1723</v>
      </c>
      <c r="E137" s="28" t="s">
        <v>1743</v>
      </c>
      <c r="F137" s="28" t="s">
        <v>454</v>
      </c>
      <c r="G137" s="28" t="s">
        <v>464</v>
      </c>
      <c r="H137" s="97">
        <v>12</v>
      </c>
      <c r="I137" s="97">
        <v>13</v>
      </c>
      <c r="J137" s="28">
        <v>28</v>
      </c>
      <c r="K137" s="101">
        <v>26</v>
      </c>
      <c r="L137" s="130">
        <v>5</v>
      </c>
      <c r="M137" s="130">
        <v>5</v>
      </c>
      <c r="N137" s="130">
        <v>44</v>
      </c>
      <c r="O137" s="130">
        <v>51</v>
      </c>
      <c r="P137" s="218">
        <f t="shared" si="6"/>
        <v>184</v>
      </c>
    </row>
    <row r="138" spans="1:16" x14ac:dyDescent="0.35">
      <c r="A138" s="229"/>
      <c r="B138" s="236"/>
      <c r="C138" s="25" t="s">
        <v>1722</v>
      </c>
      <c r="D138" s="25" t="s">
        <v>1723</v>
      </c>
      <c r="E138" s="28" t="s">
        <v>1743</v>
      </c>
      <c r="F138" s="28" t="s">
        <v>454</v>
      </c>
      <c r="G138" s="28" t="s">
        <v>465</v>
      </c>
      <c r="H138" s="97">
        <v>3</v>
      </c>
      <c r="I138" s="97">
        <v>3</v>
      </c>
      <c r="J138" s="28">
        <v>21</v>
      </c>
      <c r="K138" s="101">
        <v>19</v>
      </c>
      <c r="L138" s="130">
        <v>9</v>
      </c>
      <c r="M138" s="130">
        <v>11</v>
      </c>
      <c r="N138" s="130">
        <v>12</v>
      </c>
      <c r="O138" s="130">
        <v>12</v>
      </c>
      <c r="P138" s="218">
        <f t="shared" si="6"/>
        <v>90</v>
      </c>
    </row>
    <row r="139" spans="1:16" x14ac:dyDescent="0.35">
      <c r="A139" s="229"/>
      <c r="B139" s="236"/>
      <c r="C139" s="25" t="s">
        <v>1722</v>
      </c>
      <c r="D139" s="25" t="s">
        <v>1723</v>
      </c>
      <c r="E139" s="28" t="s">
        <v>1743</v>
      </c>
      <c r="F139" s="28" t="s">
        <v>454</v>
      </c>
      <c r="G139" s="28" t="s">
        <v>466</v>
      </c>
      <c r="H139" s="97">
        <v>5</v>
      </c>
      <c r="I139" s="97">
        <v>5</v>
      </c>
      <c r="J139" s="28">
        <v>11</v>
      </c>
      <c r="K139" s="101">
        <v>17</v>
      </c>
      <c r="L139" s="130">
        <v>8</v>
      </c>
      <c r="M139" s="130">
        <v>8</v>
      </c>
      <c r="N139" s="130">
        <v>20</v>
      </c>
      <c r="O139" s="130">
        <v>14</v>
      </c>
      <c r="P139" s="218">
        <f t="shared" si="6"/>
        <v>88</v>
      </c>
    </row>
    <row r="140" spans="1:16" x14ac:dyDescent="0.35">
      <c r="A140" s="229"/>
      <c r="B140" s="236"/>
      <c r="C140" s="25" t="s">
        <v>1722</v>
      </c>
      <c r="D140" s="25" t="s">
        <v>1723</v>
      </c>
      <c r="E140" s="28" t="s">
        <v>1743</v>
      </c>
      <c r="F140" s="28" t="s">
        <v>469</v>
      </c>
      <c r="G140" s="28" t="s">
        <v>467</v>
      </c>
      <c r="H140" s="97">
        <v>5</v>
      </c>
      <c r="I140" s="97">
        <v>6</v>
      </c>
      <c r="J140" s="28">
        <v>8</v>
      </c>
      <c r="K140" s="101">
        <v>7</v>
      </c>
      <c r="L140" s="130">
        <v>10</v>
      </c>
      <c r="M140" s="130">
        <v>8</v>
      </c>
      <c r="N140" s="130">
        <v>17</v>
      </c>
      <c r="O140" s="130">
        <v>15</v>
      </c>
      <c r="P140" s="218">
        <f t="shared" si="6"/>
        <v>76</v>
      </c>
    </row>
    <row r="141" spans="1:16" x14ac:dyDescent="0.35">
      <c r="A141" s="229"/>
      <c r="B141" s="236"/>
      <c r="C141" s="25" t="s">
        <v>1722</v>
      </c>
      <c r="D141" s="25" t="s">
        <v>1723</v>
      </c>
      <c r="E141" s="28" t="s">
        <v>1743</v>
      </c>
      <c r="F141" s="28" t="s">
        <v>454</v>
      </c>
      <c r="G141" s="28" t="s">
        <v>468</v>
      </c>
      <c r="H141" s="97">
        <v>5</v>
      </c>
      <c r="I141" s="97">
        <v>5</v>
      </c>
      <c r="J141" s="28">
        <v>18</v>
      </c>
      <c r="K141" s="101">
        <v>17</v>
      </c>
      <c r="L141" s="130">
        <v>16</v>
      </c>
      <c r="M141" s="130">
        <v>15</v>
      </c>
      <c r="N141" s="130">
        <v>11</v>
      </c>
      <c r="O141" s="130">
        <v>12</v>
      </c>
      <c r="P141" s="218">
        <f t="shared" si="6"/>
        <v>99</v>
      </c>
    </row>
    <row r="142" spans="1:16" x14ac:dyDescent="0.35">
      <c r="A142" s="229"/>
      <c r="B142" s="236"/>
      <c r="C142" s="25" t="s">
        <v>1722</v>
      </c>
      <c r="D142" s="25" t="s">
        <v>1723</v>
      </c>
      <c r="E142" s="28" t="s">
        <v>1743</v>
      </c>
      <c r="F142" s="28" t="s">
        <v>469</v>
      </c>
      <c r="G142" s="28" t="s">
        <v>469</v>
      </c>
      <c r="H142" s="97">
        <v>3</v>
      </c>
      <c r="I142" s="97">
        <v>3</v>
      </c>
      <c r="J142" s="28">
        <v>15</v>
      </c>
      <c r="K142" s="101">
        <v>18</v>
      </c>
      <c r="L142" s="130">
        <v>6</v>
      </c>
      <c r="M142" s="130">
        <v>7</v>
      </c>
      <c r="N142" s="130">
        <v>16</v>
      </c>
      <c r="O142" s="130">
        <v>19</v>
      </c>
      <c r="P142" s="218">
        <f t="shared" si="6"/>
        <v>87</v>
      </c>
    </row>
    <row r="143" spans="1:16" x14ac:dyDescent="0.35">
      <c r="A143" s="229"/>
      <c r="B143" s="236"/>
      <c r="C143" s="25" t="s">
        <v>1722</v>
      </c>
      <c r="D143" s="25" t="s">
        <v>1723</v>
      </c>
      <c r="E143" s="28" t="s">
        <v>1743</v>
      </c>
      <c r="F143" s="28" t="s">
        <v>469</v>
      </c>
      <c r="G143" s="28" t="s">
        <v>470</v>
      </c>
      <c r="H143" s="97">
        <v>2</v>
      </c>
      <c r="I143" s="97">
        <v>3</v>
      </c>
      <c r="J143" s="28">
        <v>19</v>
      </c>
      <c r="K143" s="101">
        <v>16</v>
      </c>
      <c r="L143" s="130">
        <v>4</v>
      </c>
      <c r="M143" s="130">
        <v>5</v>
      </c>
      <c r="N143" s="130">
        <v>8</v>
      </c>
      <c r="O143" s="130">
        <v>11</v>
      </c>
      <c r="P143" s="218">
        <f t="shared" si="6"/>
        <v>68</v>
      </c>
    </row>
    <row r="144" spans="1:16" x14ac:dyDescent="0.35">
      <c r="A144" s="229"/>
      <c r="B144" s="236"/>
      <c r="C144" s="25" t="s">
        <v>1722</v>
      </c>
      <c r="D144" s="25" t="s">
        <v>1723</v>
      </c>
      <c r="E144" s="28" t="s">
        <v>1743</v>
      </c>
      <c r="F144" s="28" t="s">
        <v>469</v>
      </c>
      <c r="G144" s="28" t="s">
        <v>471</v>
      </c>
      <c r="H144" s="97">
        <v>7</v>
      </c>
      <c r="I144" s="97">
        <v>7</v>
      </c>
      <c r="J144" s="28">
        <v>19</v>
      </c>
      <c r="K144" s="101">
        <v>19</v>
      </c>
      <c r="L144" s="130">
        <v>12</v>
      </c>
      <c r="M144" s="130">
        <v>14</v>
      </c>
      <c r="N144" s="130">
        <v>21</v>
      </c>
      <c r="O144" s="130">
        <v>27</v>
      </c>
      <c r="P144" s="218">
        <f t="shared" si="6"/>
        <v>126</v>
      </c>
    </row>
    <row r="145" spans="1:16" x14ac:dyDescent="0.35">
      <c r="A145" s="229"/>
      <c r="B145" s="236"/>
      <c r="C145" s="25" t="s">
        <v>1722</v>
      </c>
      <c r="D145" s="25" t="s">
        <v>1723</v>
      </c>
      <c r="E145" s="28" t="s">
        <v>1743</v>
      </c>
      <c r="F145" s="28" t="s">
        <v>469</v>
      </c>
      <c r="G145" s="28" t="s">
        <v>472</v>
      </c>
      <c r="H145" s="97">
        <v>5</v>
      </c>
      <c r="I145" s="97">
        <v>5</v>
      </c>
      <c r="J145" s="28">
        <v>26</v>
      </c>
      <c r="K145" s="101">
        <v>26</v>
      </c>
      <c r="L145" s="130">
        <v>11</v>
      </c>
      <c r="M145" s="130">
        <v>15</v>
      </c>
      <c r="N145" s="130">
        <v>7</v>
      </c>
      <c r="O145" s="130">
        <v>11</v>
      </c>
      <c r="P145" s="218">
        <f t="shared" si="6"/>
        <v>106</v>
      </c>
    </row>
    <row r="146" spans="1:16" x14ac:dyDescent="0.35">
      <c r="A146" s="229"/>
      <c r="B146" s="236"/>
      <c r="C146" s="25" t="s">
        <v>1722</v>
      </c>
      <c r="D146" s="25" t="s">
        <v>1723</v>
      </c>
      <c r="E146" s="28" t="s">
        <v>1743</v>
      </c>
      <c r="F146" s="28" t="s">
        <v>1744</v>
      </c>
      <c r="G146" s="28" t="s">
        <v>473</v>
      </c>
      <c r="H146" s="97">
        <v>4</v>
      </c>
      <c r="I146" s="97">
        <v>4</v>
      </c>
      <c r="J146" s="28">
        <v>17</v>
      </c>
      <c r="K146" s="101">
        <v>19</v>
      </c>
      <c r="L146" s="130">
        <v>13</v>
      </c>
      <c r="M146" s="130">
        <v>13</v>
      </c>
      <c r="N146" s="130">
        <v>7</v>
      </c>
      <c r="O146" s="130">
        <v>10</v>
      </c>
      <c r="P146" s="218">
        <f t="shared" si="6"/>
        <v>87</v>
      </c>
    </row>
    <row r="147" spans="1:16" x14ac:dyDescent="0.35">
      <c r="A147" s="229"/>
      <c r="B147" s="236"/>
      <c r="C147" s="25" t="s">
        <v>1722</v>
      </c>
      <c r="D147" s="25" t="s">
        <v>1723</v>
      </c>
      <c r="E147" s="28" t="s">
        <v>1743</v>
      </c>
      <c r="F147" s="28" t="s">
        <v>1744</v>
      </c>
      <c r="G147" s="28" t="s">
        <v>474</v>
      </c>
      <c r="H147" s="97">
        <v>4</v>
      </c>
      <c r="I147" s="97">
        <v>4</v>
      </c>
      <c r="J147" s="28">
        <v>21</v>
      </c>
      <c r="K147" s="101">
        <v>26</v>
      </c>
      <c r="L147" s="130">
        <v>8</v>
      </c>
      <c r="M147" s="130">
        <v>7</v>
      </c>
      <c r="N147" s="130">
        <v>15</v>
      </c>
      <c r="O147" s="130">
        <v>17</v>
      </c>
      <c r="P147" s="218">
        <f t="shared" si="6"/>
        <v>102</v>
      </c>
    </row>
    <row r="148" spans="1:16" x14ac:dyDescent="0.35">
      <c r="A148" s="229"/>
      <c r="B148" s="236"/>
      <c r="C148" s="25" t="s">
        <v>1722</v>
      </c>
      <c r="D148" s="25" t="s">
        <v>1723</v>
      </c>
      <c r="E148" s="28" t="s">
        <v>1743</v>
      </c>
      <c r="F148" s="28" t="s">
        <v>1744</v>
      </c>
      <c r="G148" s="28" t="s">
        <v>475</v>
      </c>
      <c r="H148" s="97">
        <v>16</v>
      </c>
      <c r="I148" s="97">
        <v>16</v>
      </c>
      <c r="J148" s="28">
        <v>11</v>
      </c>
      <c r="K148" s="101">
        <v>12</v>
      </c>
      <c r="L148" s="130">
        <v>33</v>
      </c>
      <c r="M148" s="130">
        <v>37</v>
      </c>
      <c r="N148" s="130">
        <v>42</v>
      </c>
      <c r="O148" s="130">
        <v>58</v>
      </c>
      <c r="P148" s="218">
        <f t="shared" si="6"/>
        <v>225</v>
      </c>
    </row>
    <row r="149" spans="1:16" x14ac:dyDescent="0.35">
      <c r="A149" s="229"/>
      <c r="B149" s="236"/>
      <c r="C149" s="25" t="s">
        <v>1722</v>
      </c>
      <c r="D149" s="25" t="s">
        <v>1723</v>
      </c>
      <c r="E149" s="28" t="s">
        <v>1743</v>
      </c>
      <c r="F149" s="28" t="s">
        <v>1744</v>
      </c>
      <c r="G149" s="28" t="s">
        <v>369</v>
      </c>
      <c r="H149" s="97">
        <v>0</v>
      </c>
      <c r="I149" s="97">
        <v>0</v>
      </c>
      <c r="J149" s="28">
        <v>0</v>
      </c>
      <c r="K149" s="101">
        <v>0</v>
      </c>
      <c r="L149" s="130">
        <v>12</v>
      </c>
      <c r="M149" s="130">
        <v>13</v>
      </c>
      <c r="N149" s="130">
        <v>19</v>
      </c>
      <c r="O149" s="130">
        <v>21</v>
      </c>
      <c r="P149" s="218">
        <f t="shared" si="6"/>
        <v>65</v>
      </c>
    </row>
    <row r="150" spans="1:16" x14ac:dyDescent="0.35">
      <c r="A150" s="229"/>
      <c r="B150" s="236"/>
      <c r="C150" s="25" t="s">
        <v>1722</v>
      </c>
      <c r="D150" s="25" t="s">
        <v>1723</v>
      </c>
      <c r="E150" s="28" t="s">
        <v>1743</v>
      </c>
      <c r="F150" s="28" t="s">
        <v>1744</v>
      </c>
      <c r="G150" s="28" t="s">
        <v>476</v>
      </c>
      <c r="H150" s="97">
        <v>2</v>
      </c>
      <c r="I150" s="97">
        <v>3</v>
      </c>
      <c r="J150" s="28">
        <v>19</v>
      </c>
      <c r="K150" s="101">
        <v>29</v>
      </c>
      <c r="L150" s="130">
        <v>11</v>
      </c>
      <c r="M150" s="130">
        <v>14</v>
      </c>
      <c r="N150" s="130">
        <v>18</v>
      </c>
      <c r="O150" s="130">
        <v>20</v>
      </c>
      <c r="P150" s="218">
        <f t="shared" si="6"/>
        <v>116</v>
      </c>
    </row>
    <row r="151" spans="1:16" x14ac:dyDescent="0.35">
      <c r="A151" s="229"/>
      <c r="B151" s="236"/>
      <c r="C151" s="25" t="s">
        <v>1722</v>
      </c>
      <c r="D151" s="25" t="s">
        <v>1723</v>
      </c>
      <c r="E151" s="25" t="s">
        <v>1743</v>
      </c>
      <c r="F151" s="25" t="s">
        <v>454</v>
      </c>
      <c r="G151" s="28" t="s">
        <v>477</v>
      </c>
      <c r="H151" s="97">
        <v>6</v>
      </c>
      <c r="I151" s="97">
        <v>6</v>
      </c>
      <c r="J151" s="28">
        <v>26</v>
      </c>
      <c r="K151" s="101">
        <v>24</v>
      </c>
      <c r="L151" s="130">
        <v>13</v>
      </c>
      <c r="M151" s="130">
        <v>9</v>
      </c>
      <c r="N151" s="130">
        <v>3</v>
      </c>
      <c r="O151" s="130">
        <v>4</v>
      </c>
      <c r="P151" s="218">
        <f t="shared" si="6"/>
        <v>91</v>
      </c>
    </row>
    <row r="152" spans="1:16" x14ac:dyDescent="0.35">
      <c r="A152" s="229"/>
      <c r="B152" s="236"/>
      <c r="C152" s="25" t="s">
        <v>1722</v>
      </c>
      <c r="D152" s="25" t="s">
        <v>1723</v>
      </c>
      <c r="E152" s="28" t="s">
        <v>1743</v>
      </c>
      <c r="F152" s="28" t="s">
        <v>453</v>
      </c>
      <c r="G152" s="28" t="s">
        <v>478</v>
      </c>
      <c r="H152" s="97">
        <v>12</v>
      </c>
      <c r="I152" s="97">
        <v>13</v>
      </c>
      <c r="J152" s="28">
        <v>20</v>
      </c>
      <c r="K152" s="101">
        <v>22</v>
      </c>
      <c r="L152" s="130">
        <v>15</v>
      </c>
      <c r="M152" s="130">
        <v>13</v>
      </c>
      <c r="N152" s="130">
        <v>10</v>
      </c>
      <c r="O152" s="130">
        <v>12</v>
      </c>
      <c r="P152" s="218">
        <f t="shared" si="6"/>
        <v>117</v>
      </c>
    </row>
    <row r="153" spans="1:16" x14ac:dyDescent="0.35">
      <c r="A153" s="229"/>
      <c r="B153" s="236"/>
      <c r="C153" s="25" t="s">
        <v>1722</v>
      </c>
      <c r="D153" s="25" t="s">
        <v>1723</v>
      </c>
      <c r="E153" s="28" t="s">
        <v>1743</v>
      </c>
      <c r="F153" s="28" t="s">
        <v>453</v>
      </c>
      <c r="G153" s="28" t="s">
        <v>479</v>
      </c>
      <c r="H153" s="97">
        <v>11</v>
      </c>
      <c r="I153" s="97">
        <v>12</v>
      </c>
      <c r="J153" s="28">
        <v>40</v>
      </c>
      <c r="K153" s="101">
        <v>39</v>
      </c>
      <c r="L153" s="130">
        <v>11</v>
      </c>
      <c r="M153" s="130">
        <v>9</v>
      </c>
      <c r="N153" s="130">
        <v>13</v>
      </c>
      <c r="O153" s="130">
        <v>17</v>
      </c>
      <c r="P153" s="218">
        <f t="shared" si="6"/>
        <v>152</v>
      </c>
    </row>
    <row r="154" spans="1:16" x14ac:dyDescent="0.35">
      <c r="A154" s="229"/>
      <c r="B154" s="236"/>
      <c r="C154" s="25" t="s">
        <v>1722</v>
      </c>
      <c r="D154" s="25" t="s">
        <v>1723</v>
      </c>
      <c r="E154" s="28" t="s">
        <v>1743</v>
      </c>
      <c r="F154" s="28" t="s">
        <v>453</v>
      </c>
      <c r="G154" s="28" t="s">
        <v>480</v>
      </c>
      <c r="H154" s="97">
        <v>8</v>
      </c>
      <c r="I154" s="97">
        <v>12</v>
      </c>
      <c r="J154" s="28">
        <v>21</v>
      </c>
      <c r="K154" s="101">
        <v>30</v>
      </c>
      <c r="L154" s="130">
        <v>13</v>
      </c>
      <c r="M154" s="130">
        <v>12</v>
      </c>
      <c r="N154" s="130">
        <v>23</v>
      </c>
      <c r="O154" s="130">
        <v>27</v>
      </c>
      <c r="P154" s="218">
        <f t="shared" si="6"/>
        <v>146</v>
      </c>
    </row>
    <row r="155" spans="1:16" x14ac:dyDescent="0.35">
      <c r="A155" s="229"/>
      <c r="B155" s="236"/>
      <c r="C155" s="25" t="s">
        <v>1722</v>
      </c>
      <c r="D155" s="25" t="s">
        <v>1723</v>
      </c>
      <c r="E155" s="28" t="s">
        <v>1743</v>
      </c>
      <c r="F155" s="28" t="s">
        <v>453</v>
      </c>
      <c r="G155" s="28" t="s">
        <v>481</v>
      </c>
      <c r="H155" s="97">
        <v>9</v>
      </c>
      <c r="I155" s="97">
        <v>11</v>
      </c>
      <c r="J155" s="28">
        <v>13</v>
      </c>
      <c r="K155" s="101">
        <v>18</v>
      </c>
      <c r="L155" s="130">
        <v>15</v>
      </c>
      <c r="M155" s="130">
        <v>14</v>
      </c>
      <c r="N155" s="130">
        <v>11</v>
      </c>
      <c r="O155" s="130">
        <v>13</v>
      </c>
      <c r="P155" s="218">
        <f t="shared" si="6"/>
        <v>104</v>
      </c>
    </row>
    <row r="156" spans="1:16" x14ac:dyDescent="0.35">
      <c r="A156" s="229"/>
      <c r="B156" s="236"/>
      <c r="C156" s="25" t="s">
        <v>1722</v>
      </c>
      <c r="D156" s="25" t="s">
        <v>1723</v>
      </c>
      <c r="E156" s="28" t="s">
        <v>1743</v>
      </c>
      <c r="F156" s="28" t="s">
        <v>453</v>
      </c>
      <c r="G156" s="28" t="s">
        <v>482</v>
      </c>
      <c r="H156" s="97">
        <v>12</v>
      </c>
      <c r="I156" s="97">
        <v>13</v>
      </c>
      <c r="J156" s="28">
        <v>12</v>
      </c>
      <c r="K156" s="101">
        <v>13</v>
      </c>
      <c r="L156" s="130">
        <v>19</v>
      </c>
      <c r="M156" s="130">
        <v>17</v>
      </c>
      <c r="N156" s="130">
        <v>12</v>
      </c>
      <c r="O156" s="130">
        <v>14</v>
      </c>
      <c r="P156" s="218">
        <f t="shared" si="6"/>
        <v>112</v>
      </c>
    </row>
    <row r="157" spans="1:16" x14ac:dyDescent="0.35">
      <c r="A157" s="229"/>
      <c r="B157" s="236"/>
      <c r="C157" s="25" t="s">
        <v>1722</v>
      </c>
      <c r="D157" s="25" t="s">
        <v>1723</v>
      </c>
      <c r="E157" s="28" t="s">
        <v>1743</v>
      </c>
      <c r="F157" s="28" t="s">
        <v>483</v>
      </c>
      <c r="G157" s="28" t="s">
        <v>483</v>
      </c>
      <c r="H157" s="97">
        <v>7</v>
      </c>
      <c r="I157" s="97">
        <v>13</v>
      </c>
      <c r="J157" s="28">
        <v>9</v>
      </c>
      <c r="K157" s="101">
        <v>11</v>
      </c>
      <c r="L157" s="130">
        <v>33</v>
      </c>
      <c r="M157" s="130">
        <v>35</v>
      </c>
      <c r="N157" s="130">
        <v>10</v>
      </c>
      <c r="O157" s="130">
        <v>8</v>
      </c>
      <c r="P157" s="218">
        <f t="shared" si="6"/>
        <v>126</v>
      </c>
    </row>
    <row r="158" spans="1:16" x14ac:dyDescent="0.35">
      <c r="A158" s="229"/>
      <c r="B158" s="236"/>
      <c r="C158" s="25" t="s">
        <v>1722</v>
      </c>
      <c r="D158" s="25" t="s">
        <v>1723</v>
      </c>
      <c r="E158" s="28" t="s">
        <v>1743</v>
      </c>
      <c r="F158" s="28" t="s">
        <v>483</v>
      </c>
      <c r="G158" s="28" t="s">
        <v>484</v>
      </c>
      <c r="H158" s="97">
        <v>5</v>
      </c>
      <c r="I158" s="97">
        <v>5</v>
      </c>
      <c r="J158" s="28">
        <v>8</v>
      </c>
      <c r="K158" s="101">
        <v>15</v>
      </c>
      <c r="L158" s="130">
        <v>4</v>
      </c>
      <c r="M158" s="130">
        <v>2</v>
      </c>
      <c r="N158" s="130">
        <v>8</v>
      </c>
      <c r="O158" s="130">
        <v>10</v>
      </c>
      <c r="P158" s="218">
        <f t="shared" si="6"/>
        <v>57</v>
      </c>
    </row>
    <row r="159" spans="1:16" x14ac:dyDescent="0.35">
      <c r="A159" s="229"/>
      <c r="B159" s="236"/>
      <c r="C159" s="25" t="s">
        <v>1722</v>
      </c>
      <c r="D159" s="25" t="s">
        <v>1723</v>
      </c>
      <c r="E159" s="28" t="s">
        <v>1743</v>
      </c>
      <c r="F159" s="28" t="s">
        <v>483</v>
      </c>
      <c r="G159" s="28" t="s">
        <v>485</v>
      </c>
      <c r="H159" s="97">
        <v>9</v>
      </c>
      <c r="I159" s="97">
        <v>11</v>
      </c>
      <c r="J159" s="28">
        <v>19</v>
      </c>
      <c r="K159" s="101">
        <v>29</v>
      </c>
      <c r="L159" s="130">
        <v>25</v>
      </c>
      <c r="M159" s="130">
        <v>21</v>
      </c>
      <c r="N159" s="130">
        <v>13</v>
      </c>
      <c r="O159" s="130">
        <v>15</v>
      </c>
      <c r="P159" s="218">
        <f t="shared" si="6"/>
        <v>142</v>
      </c>
    </row>
    <row r="160" spans="1:16" x14ac:dyDescent="0.35">
      <c r="A160" s="229"/>
      <c r="B160" s="236"/>
      <c r="C160" s="25" t="s">
        <v>1722</v>
      </c>
      <c r="D160" s="25" t="s">
        <v>1723</v>
      </c>
      <c r="E160" s="28" t="s">
        <v>1743</v>
      </c>
      <c r="F160" s="28" t="s">
        <v>483</v>
      </c>
      <c r="G160" s="28" t="s">
        <v>486</v>
      </c>
      <c r="H160" s="97">
        <v>8</v>
      </c>
      <c r="I160" s="97">
        <v>9</v>
      </c>
      <c r="J160" s="28">
        <v>45</v>
      </c>
      <c r="K160" s="101">
        <v>55</v>
      </c>
      <c r="L160" s="130">
        <v>33</v>
      </c>
      <c r="M160" s="130">
        <v>37</v>
      </c>
      <c r="N160" s="130">
        <v>19</v>
      </c>
      <c r="O160" s="130">
        <v>16</v>
      </c>
      <c r="P160" s="218">
        <f t="shared" si="6"/>
        <v>222</v>
      </c>
    </row>
    <row r="161" spans="1:16" x14ac:dyDescent="0.35">
      <c r="A161" s="54"/>
      <c r="B161" s="62"/>
      <c r="C161" s="62"/>
      <c r="D161" s="62"/>
      <c r="E161" s="62"/>
      <c r="F161" s="62"/>
      <c r="G161" s="63" t="s">
        <v>449</v>
      </c>
      <c r="H161" s="172">
        <f t="shared" ref="H161:O161" si="7">SUM(H122:H160)</f>
        <v>239</v>
      </c>
      <c r="I161" s="172">
        <f t="shared" si="7"/>
        <v>266</v>
      </c>
      <c r="J161" s="171">
        <f t="shared" si="7"/>
        <v>684</v>
      </c>
      <c r="K161" s="171">
        <f t="shared" si="7"/>
        <v>797</v>
      </c>
      <c r="L161" s="129">
        <f t="shared" si="7"/>
        <v>527</v>
      </c>
      <c r="M161" s="129">
        <f t="shared" si="7"/>
        <v>552</v>
      </c>
      <c r="N161" s="126">
        <f t="shared" si="7"/>
        <v>640</v>
      </c>
      <c r="O161" s="126">
        <f t="shared" si="7"/>
        <v>689</v>
      </c>
      <c r="P161" s="217">
        <f t="shared" si="6"/>
        <v>4394</v>
      </c>
    </row>
    <row r="162" spans="1:16" x14ac:dyDescent="0.35">
      <c r="A162" s="229">
        <v>6</v>
      </c>
      <c r="B162" s="236" t="s">
        <v>1745</v>
      </c>
      <c r="C162" s="25" t="s">
        <v>1722</v>
      </c>
      <c r="D162" s="25" t="s">
        <v>1723</v>
      </c>
      <c r="E162" s="28" t="s">
        <v>1745</v>
      </c>
      <c r="F162" s="28" t="s">
        <v>485</v>
      </c>
      <c r="G162" s="28" t="s">
        <v>487</v>
      </c>
      <c r="H162" s="97">
        <v>2</v>
      </c>
      <c r="I162" s="97">
        <v>3</v>
      </c>
      <c r="J162" s="28">
        <v>9</v>
      </c>
      <c r="K162" s="101">
        <v>11</v>
      </c>
      <c r="L162" s="130">
        <v>3</v>
      </c>
      <c r="M162" s="130">
        <v>4</v>
      </c>
      <c r="N162" s="130">
        <v>26</v>
      </c>
      <c r="O162" s="130">
        <v>24</v>
      </c>
      <c r="P162" s="218">
        <f t="shared" si="6"/>
        <v>82</v>
      </c>
    </row>
    <row r="163" spans="1:16" x14ac:dyDescent="0.35">
      <c r="A163" s="229"/>
      <c r="B163" s="236"/>
      <c r="C163" s="25" t="s">
        <v>1722</v>
      </c>
      <c r="D163" s="25" t="s">
        <v>1723</v>
      </c>
      <c r="E163" s="28" t="s">
        <v>1745</v>
      </c>
      <c r="F163" s="28" t="s">
        <v>485</v>
      </c>
      <c r="G163" s="28" t="s">
        <v>488</v>
      </c>
      <c r="H163" s="97">
        <v>6</v>
      </c>
      <c r="I163" s="97">
        <v>4</v>
      </c>
      <c r="J163" s="28">
        <v>13</v>
      </c>
      <c r="K163" s="101">
        <v>17</v>
      </c>
      <c r="L163" s="130">
        <v>10</v>
      </c>
      <c r="M163" s="130">
        <v>11</v>
      </c>
      <c r="N163" s="130">
        <v>41</v>
      </c>
      <c r="O163" s="130">
        <v>39</v>
      </c>
      <c r="P163" s="218">
        <f t="shared" si="6"/>
        <v>141</v>
      </c>
    </row>
    <row r="164" spans="1:16" x14ac:dyDescent="0.35">
      <c r="A164" s="229"/>
      <c r="B164" s="236"/>
      <c r="C164" s="25" t="s">
        <v>1722</v>
      </c>
      <c r="D164" s="25" t="s">
        <v>1723</v>
      </c>
      <c r="E164" s="28" t="s">
        <v>1745</v>
      </c>
      <c r="F164" s="28" t="s">
        <v>485</v>
      </c>
      <c r="G164" s="28" t="s">
        <v>489</v>
      </c>
      <c r="H164" s="97">
        <v>7</v>
      </c>
      <c r="I164" s="97">
        <v>8</v>
      </c>
      <c r="J164" s="28">
        <v>12</v>
      </c>
      <c r="K164" s="101">
        <v>18</v>
      </c>
      <c r="L164" s="130">
        <v>6</v>
      </c>
      <c r="M164" s="130">
        <v>7</v>
      </c>
      <c r="N164" s="130">
        <v>39</v>
      </c>
      <c r="O164" s="130">
        <v>41</v>
      </c>
      <c r="P164" s="218">
        <f t="shared" si="6"/>
        <v>138</v>
      </c>
    </row>
    <row r="165" spans="1:16" x14ac:dyDescent="0.35">
      <c r="A165" s="229"/>
      <c r="B165" s="236"/>
      <c r="C165" s="25" t="s">
        <v>1722</v>
      </c>
      <c r="D165" s="25" t="s">
        <v>1723</v>
      </c>
      <c r="E165" s="28" t="s">
        <v>1745</v>
      </c>
      <c r="F165" s="28" t="s">
        <v>1746</v>
      </c>
      <c r="G165" s="28" t="s">
        <v>490</v>
      </c>
      <c r="H165" s="97">
        <v>3</v>
      </c>
      <c r="I165" s="97">
        <v>6</v>
      </c>
      <c r="J165" s="28">
        <v>14</v>
      </c>
      <c r="K165" s="101">
        <v>16</v>
      </c>
      <c r="L165" s="130">
        <v>6</v>
      </c>
      <c r="M165" s="130">
        <v>8</v>
      </c>
      <c r="N165" s="130">
        <v>40</v>
      </c>
      <c r="O165" s="130">
        <v>44</v>
      </c>
      <c r="P165" s="218">
        <f t="shared" si="6"/>
        <v>137</v>
      </c>
    </row>
    <row r="166" spans="1:16" x14ac:dyDescent="0.35">
      <c r="A166" s="229"/>
      <c r="B166" s="236"/>
      <c r="C166" s="25" t="s">
        <v>1722</v>
      </c>
      <c r="D166" s="25" t="s">
        <v>1723</v>
      </c>
      <c r="E166" s="28" t="s">
        <v>1745</v>
      </c>
      <c r="F166" s="28" t="s">
        <v>485</v>
      </c>
      <c r="G166" s="28" t="s">
        <v>46</v>
      </c>
      <c r="H166" s="97">
        <v>5</v>
      </c>
      <c r="I166" s="97">
        <v>6</v>
      </c>
      <c r="J166" s="28">
        <v>19</v>
      </c>
      <c r="K166" s="101">
        <v>21</v>
      </c>
      <c r="L166" s="130">
        <v>8</v>
      </c>
      <c r="M166" s="130">
        <v>8</v>
      </c>
      <c r="N166" s="130">
        <v>33</v>
      </c>
      <c r="O166" s="130">
        <v>35</v>
      </c>
      <c r="P166" s="218">
        <f t="shared" si="6"/>
        <v>135</v>
      </c>
    </row>
    <row r="167" spans="1:16" x14ac:dyDescent="0.35">
      <c r="A167" s="229"/>
      <c r="B167" s="236"/>
      <c r="C167" s="25" t="s">
        <v>1722</v>
      </c>
      <c r="D167" s="25" t="s">
        <v>1723</v>
      </c>
      <c r="E167" s="28" t="s">
        <v>1745</v>
      </c>
      <c r="F167" s="28" t="s">
        <v>485</v>
      </c>
      <c r="G167" s="28" t="s">
        <v>491</v>
      </c>
      <c r="H167" s="97">
        <v>2</v>
      </c>
      <c r="I167" s="97">
        <v>3</v>
      </c>
      <c r="J167" s="28">
        <v>9</v>
      </c>
      <c r="K167" s="101">
        <v>11</v>
      </c>
      <c r="L167" s="130">
        <v>9</v>
      </c>
      <c r="M167" s="130">
        <v>11</v>
      </c>
      <c r="N167" s="130">
        <v>19</v>
      </c>
      <c r="O167" s="130">
        <v>23</v>
      </c>
      <c r="P167" s="218">
        <f t="shared" si="6"/>
        <v>87</v>
      </c>
    </row>
    <row r="168" spans="1:16" x14ac:dyDescent="0.35">
      <c r="A168" s="229"/>
      <c r="B168" s="236"/>
      <c r="C168" s="25" t="s">
        <v>1722</v>
      </c>
      <c r="D168" s="25" t="s">
        <v>1723</v>
      </c>
      <c r="E168" s="28" t="s">
        <v>1745</v>
      </c>
      <c r="F168" s="28" t="s">
        <v>1746</v>
      </c>
      <c r="G168" s="28" t="s">
        <v>492</v>
      </c>
      <c r="H168" s="97">
        <v>10</v>
      </c>
      <c r="I168" s="97">
        <v>10</v>
      </c>
      <c r="J168" s="28">
        <v>32</v>
      </c>
      <c r="K168" s="101">
        <v>38</v>
      </c>
      <c r="L168" s="130">
        <v>10</v>
      </c>
      <c r="M168" s="130">
        <v>11</v>
      </c>
      <c r="N168" s="130">
        <v>60</v>
      </c>
      <c r="O168" s="130">
        <v>65</v>
      </c>
      <c r="P168" s="218">
        <f t="shared" si="6"/>
        <v>236</v>
      </c>
    </row>
    <row r="169" spans="1:16" x14ac:dyDescent="0.35">
      <c r="A169" s="229"/>
      <c r="B169" s="236"/>
      <c r="C169" s="25" t="s">
        <v>1722</v>
      </c>
      <c r="D169" s="25" t="s">
        <v>1723</v>
      </c>
      <c r="E169" s="28" t="s">
        <v>1745</v>
      </c>
      <c r="F169" s="28" t="s">
        <v>1745</v>
      </c>
      <c r="G169" s="28" t="s">
        <v>493</v>
      </c>
      <c r="H169" s="97">
        <v>5</v>
      </c>
      <c r="I169" s="97">
        <v>5</v>
      </c>
      <c r="J169" s="28">
        <v>55</v>
      </c>
      <c r="K169" s="101">
        <v>65</v>
      </c>
      <c r="L169" s="130">
        <v>50</v>
      </c>
      <c r="M169" s="130">
        <v>45</v>
      </c>
      <c r="N169" s="130">
        <v>45</v>
      </c>
      <c r="O169" s="130">
        <v>55</v>
      </c>
      <c r="P169" s="218">
        <f t="shared" si="6"/>
        <v>325</v>
      </c>
    </row>
    <row r="170" spans="1:16" x14ac:dyDescent="0.35">
      <c r="A170" s="229"/>
      <c r="B170" s="236"/>
      <c r="C170" s="25" t="s">
        <v>1722</v>
      </c>
      <c r="D170" s="25" t="s">
        <v>1723</v>
      </c>
      <c r="E170" s="28" t="s">
        <v>1745</v>
      </c>
      <c r="F170" s="28" t="s">
        <v>485</v>
      </c>
      <c r="G170" s="28" t="s">
        <v>494</v>
      </c>
      <c r="H170" s="97">
        <v>12</v>
      </c>
      <c r="I170" s="97">
        <v>13</v>
      </c>
      <c r="J170" s="28">
        <v>13</v>
      </c>
      <c r="K170" s="101">
        <v>17</v>
      </c>
      <c r="L170" s="130">
        <v>9</v>
      </c>
      <c r="M170" s="130">
        <v>11</v>
      </c>
      <c r="N170" s="130">
        <v>43</v>
      </c>
      <c r="O170" s="130">
        <v>57</v>
      </c>
      <c r="P170" s="218">
        <f t="shared" si="6"/>
        <v>175</v>
      </c>
    </row>
    <row r="171" spans="1:16" x14ac:dyDescent="0.35">
      <c r="A171" s="229"/>
      <c r="B171" s="236"/>
      <c r="C171" s="25" t="s">
        <v>1722</v>
      </c>
      <c r="D171" s="25" t="s">
        <v>1723</v>
      </c>
      <c r="E171" s="28" t="s">
        <v>1745</v>
      </c>
      <c r="F171" s="28" t="s">
        <v>1745</v>
      </c>
      <c r="G171" s="28" t="s">
        <v>495</v>
      </c>
      <c r="H171" s="97">
        <v>5</v>
      </c>
      <c r="I171" s="97">
        <v>6</v>
      </c>
      <c r="J171" s="28">
        <v>9</v>
      </c>
      <c r="K171" s="101">
        <v>11</v>
      </c>
      <c r="L171" s="130">
        <v>11</v>
      </c>
      <c r="M171" s="130">
        <v>11</v>
      </c>
      <c r="N171" s="130">
        <v>46</v>
      </c>
      <c r="O171" s="130">
        <v>50</v>
      </c>
      <c r="P171" s="218">
        <f t="shared" si="6"/>
        <v>149</v>
      </c>
    </row>
    <row r="172" spans="1:16" x14ac:dyDescent="0.35">
      <c r="A172" s="229"/>
      <c r="B172" s="236"/>
      <c r="C172" s="25" t="s">
        <v>1722</v>
      </c>
      <c r="D172" s="25" t="s">
        <v>1723</v>
      </c>
      <c r="E172" s="28" t="s">
        <v>1745</v>
      </c>
      <c r="F172" s="28" t="s">
        <v>1746</v>
      </c>
      <c r="G172" s="28" t="s">
        <v>496</v>
      </c>
      <c r="H172" s="97">
        <v>5</v>
      </c>
      <c r="I172" s="97">
        <v>5</v>
      </c>
      <c r="J172" s="28">
        <v>17</v>
      </c>
      <c r="K172" s="101">
        <v>23</v>
      </c>
      <c r="L172" s="130">
        <v>11</v>
      </c>
      <c r="M172" s="130">
        <v>13</v>
      </c>
      <c r="N172" s="130">
        <v>15</v>
      </c>
      <c r="O172" s="130">
        <v>20</v>
      </c>
      <c r="P172" s="218">
        <f t="shared" si="6"/>
        <v>109</v>
      </c>
    </row>
    <row r="173" spans="1:16" x14ac:dyDescent="0.35">
      <c r="A173" s="229"/>
      <c r="B173" s="236"/>
      <c r="C173" s="25" t="s">
        <v>1722</v>
      </c>
      <c r="D173" s="25" t="s">
        <v>1723</v>
      </c>
      <c r="E173" s="28" t="s">
        <v>1745</v>
      </c>
      <c r="F173" s="28" t="s">
        <v>485</v>
      </c>
      <c r="G173" s="28" t="s">
        <v>497</v>
      </c>
      <c r="H173" s="97">
        <v>3</v>
      </c>
      <c r="I173" s="97">
        <v>3</v>
      </c>
      <c r="J173" s="28">
        <v>8</v>
      </c>
      <c r="K173" s="101">
        <v>12</v>
      </c>
      <c r="L173" s="130">
        <v>10</v>
      </c>
      <c r="M173" s="130">
        <v>14</v>
      </c>
      <c r="N173" s="130">
        <v>29</v>
      </c>
      <c r="O173" s="130">
        <v>31</v>
      </c>
      <c r="P173" s="218">
        <f t="shared" si="6"/>
        <v>110</v>
      </c>
    </row>
    <row r="174" spans="1:16" x14ac:dyDescent="0.35">
      <c r="A174" s="229"/>
      <c r="B174" s="236"/>
      <c r="C174" s="25" t="s">
        <v>1722</v>
      </c>
      <c r="D174" s="25" t="s">
        <v>1723</v>
      </c>
      <c r="E174" s="28" t="s">
        <v>1745</v>
      </c>
      <c r="F174" s="28" t="s">
        <v>1746</v>
      </c>
      <c r="G174" s="28" t="s">
        <v>498</v>
      </c>
      <c r="H174" s="97">
        <v>7</v>
      </c>
      <c r="I174" s="97">
        <v>8</v>
      </c>
      <c r="J174" s="28">
        <v>14</v>
      </c>
      <c r="K174" s="101">
        <v>17</v>
      </c>
      <c r="L174" s="130">
        <v>11</v>
      </c>
      <c r="M174" s="130">
        <v>9</v>
      </c>
      <c r="N174" s="130">
        <v>26</v>
      </c>
      <c r="O174" s="130">
        <v>24</v>
      </c>
      <c r="P174" s="218">
        <f t="shared" si="6"/>
        <v>116</v>
      </c>
    </row>
    <row r="175" spans="1:16" x14ac:dyDescent="0.35">
      <c r="A175" s="229"/>
      <c r="B175" s="236"/>
      <c r="C175" s="25" t="s">
        <v>1722</v>
      </c>
      <c r="D175" s="25" t="s">
        <v>1723</v>
      </c>
      <c r="E175" s="28" t="s">
        <v>1745</v>
      </c>
      <c r="F175" s="28" t="s">
        <v>1746</v>
      </c>
      <c r="G175" s="28" t="s">
        <v>499</v>
      </c>
      <c r="H175" s="97">
        <v>11</v>
      </c>
      <c r="I175" s="97">
        <v>12</v>
      </c>
      <c r="J175" s="28">
        <v>25</v>
      </c>
      <c r="K175" s="101">
        <v>31</v>
      </c>
      <c r="L175" s="130">
        <v>3</v>
      </c>
      <c r="M175" s="130">
        <v>1</v>
      </c>
      <c r="N175" s="130">
        <v>36</v>
      </c>
      <c r="O175" s="130">
        <v>40</v>
      </c>
      <c r="P175" s="218">
        <f t="shared" si="6"/>
        <v>159</v>
      </c>
    </row>
    <row r="176" spans="1:16" x14ac:dyDescent="0.35">
      <c r="A176" s="229"/>
      <c r="B176" s="236"/>
      <c r="C176" s="25" t="s">
        <v>1722</v>
      </c>
      <c r="D176" s="25" t="s">
        <v>1723</v>
      </c>
      <c r="E176" s="28" t="s">
        <v>1745</v>
      </c>
      <c r="F176" s="28" t="s">
        <v>1746</v>
      </c>
      <c r="G176" s="28" t="s">
        <v>500</v>
      </c>
      <c r="H176" s="97">
        <v>3</v>
      </c>
      <c r="I176" s="97">
        <v>3</v>
      </c>
      <c r="J176" s="28">
        <v>6</v>
      </c>
      <c r="K176" s="101">
        <v>9</v>
      </c>
      <c r="L176" s="130">
        <v>4</v>
      </c>
      <c r="M176" s="130">
        <v>5</v>
      </c>
      <c r="N176" s="130">
        <v>23</v>
      </c>
      <c r="O176" s="130">
        <v>27</v>
      </c>
      <c r="P176" s="218">
        <f t="shared" si="6"/>
        <v>80</v>
      </c>
    </row>
    <row r="177" spans="1:16" x14ac:dyDescent="0.35">
      <c r="A177" s="229"/>
      <c r="B177" s="236"/>
      <c r="C177" s="25" t="s">
        <v>1722</v>
      </c>
      <c r="D177" s="25" t="s">
        <v>1723</v>
      </c>
      <c r="E177" s="28" t="s">
        <v>1745</v>
      </c>
      <c r="F177" s="28" t="s">
        <v>1745</v>
      </c>
      <c r="G177" s="28" t="s">
        <v>501</v>
      </c>
      <c r="H177" s="97">
        <v>4</v>
      </c>
      <c r="I177" s="97">
        <v>4</v>
      </c>
      <c r="J177" s="28">
        <v>11</v>
      </c>
      <c r="K177" s="101">
        <v>9</v>
      </c>
      <c r="L177" s="130">
        <v>18</v>
      </c>
      <c r="M177" s="130">
        <v>15</v>
      </c>
      <c r="N177" s="130">
        <v>35</v>
      </c>
      <c r="O177" s="130">
        <v>60</v>
      </c>
      <c r="P177" s="218">
        <f t="shared" si="6"/>
        <v>156</v>
      </c>
    </row>
    <row r="178" spans="1:16" x14ac:dyDescent="0.35">
      <c r="A178" s="229"/>
      <c r="B178" s="236"/>
      <c r="C178" s="25" t="s">
        <v>1722</v>
      </c>
      <c r="D178" s="25" t="s">
        <v>1723</v>
      </c>
      <c r="E178" s="28" t="s">
        <v>1745</v>
      </c>
      <c r="F178" s="28" t="s">
        <v>1746</v>
      </c>
      <c r="G178" s="28" t="s">
        <v>502</v>
      </c>
      <c r="H178" s="97">
        <v>3</v>
      </c>
      <c r="I178" s="97">
        <v>4</v>
      </c>
      <c r="J178" s="28">
        <v>19</v>
      </c>
      <c r="K178" s="101">
        <v>21</v>
      </c>
      <c r="L178" s="130">
        <v>9</v>
      </c>
      <c r="M178" s="130">
        <v>10</v>
      </c>
      <c r="N178" s="130">
        <v>14</v>
      </c>
      <c r="O178" s="130">
        <v>16</v>
      </c>
      <c r="P178" s="218">
        <f t="shared" si="6"/>
        <v>96</v>
      </c>
    </row>
    <row r="179" spans="1:16" x14ac:dyDescent="0.35">
      <c r="A179" s="229"/>
      <c r="B179" s="236"/>
      <c r="C179" s="25" t="s">
        <v>1722</v>
      </c>
      <c r="D179" s="25" t="s">
        <v>1723</v>
      </c>
      <c r="E179" s="28" t="s">
        <v>1745</v>
      </c>
      <c r="F179" s="28" t="s">
        <v>485</v>
      </c>
      <c r="G179" s="28" t="s">
        <v>503</v>
      </c>
      <c r="H179" s="97">
        <v>2</v>
      </c>
      <c r="I179" s="97">
        <v>3</v>
      </c>
      <c r="J179" s="28">
        <v>8</v>
      </c>
      <c r="K179" s="101">
        <v>12</v>
      </c>
      <c r="L179" s="130">
        <v>7</v>
      </c>
      <c r="M179" s="130">
        <v>7</v>
      </c>
      <c r="N179" s="130">
        <v>16</v>
      </c>
      <c r="O179" s="130">
        <v>14</v>
      </c>
      <c r="P179" s="218">
        <f t="shared" si="6"/>
        <v>69</v>
      </c>
    </row>
    <row r="180" spans="1:16" x14ac:dyDescent="0.35">
      <c r="A180" s="229"/>
      <c r="B180" s="236"/>
      <c r="C180" s="25" t="s">
        <v>1722</v>
      </c>
      <c r="D180" s="25" t="s">
        <v>1723</v>
      </c>
      <c r="E180" s="28" t="s">
        <v>1745</v>
      </c>
      <c r="F180" s="28" t="s">
        <v>1746</v>
      </c>
      <c r="G180" s="28" t="s">
        <v>504</v>
      </c>
      <c r="H180" s="97">
        <v>1</v>
      </c>
      <c r="I180" s="97">
        <v>2</v>
      </c>
      <c r="J180" s="28">
        <v>18</v>
      </c>
      <c r="K180" s="101">
        <v>17</v>
      </c>
      <c r="L180" s="130">
        <v>4</v>
      </c>
      <c r="M180" s="130">
        <v>6</v>
      </c>
      <c r="N180" s="130">
        <v>19</v>
      </c>
      <c r="O180" s="130">
        <v>20</v>
      </c>
      <c r="P180" s="218">
        <f t="shared" si="6"/>
        <v>87</v>
      </c>
    </row>
    <row r="181" spans="1:16" x14ac:dyDescent="0.35">
      <c r="A181" s="229"/>
      <c r="B181" s="236"/>
      <c r="C181" s="25" t="s">
        <v>1722</v>
      </c>
      <c r="D181" s="25" t="s">
        <v>1723</v>
      </c>
      <c r="E181" s="28" t="s">
        <v>1745</v>
      </c>
      <c r="F181" s="28" t="s">
        <v>1746</v>
      </c>
      <c r="G181" s="28" t="s">
        <v>505</v>
      </c>
      <c r="H181" s="97">
        <v>0</v>
      </c>
      <c r="I181" s="97">
        <v>1</v>
      </c>
      <c r="J181" s="28">
        <v>19</v>
      </c>
      <c r="K181" s="101">
        <v>18</v>
      </c>
      <c r="L181" s="130">
        <v>0</v>
      </c>
      <c r="M181" s="130">
        <v>3</v>
      </c>
      <c r="N181" s="130">
        <v>37</v>
      </c>
      <c r="O181" s="130">
        <v>35</v>
      </c>
      <c r="P181" s="218">
        <f t="shared" si="6"/>
        <v>113</v>
      </c>
    </row>
    <row r="182" spans="1:16" x14ac:dyDescent="0.35">
      <c r="A182" s="229"/>
      <c r="B182" s="236"/>
      <c r="C182" s="25" t="s">
        <v>1722</v>
      </c>
      <c r="D182" s="25" t="s">
        <v>1723</v>
      </c>
      <c r="E182" s="28" t="s">
        <v>1745</v>
      </c>
      <c r="F182" s="28" t="s">
        <v>485</v>
      </c>
      <c r="G182" s="28" t="s">
        <v>506</v>
      </c>
      <c r="H182" s="97">
        <v>15</v>
      </c>
      <c r="I182" s="97">
        <v>15</v>
      </c>
      <c r="J182" s="28">
        <v>21</v>
      </c>
      <c r="K182" s="101">
        <v>21</v>
      </c>
      <c r="L182" s="130">
        <v>50</v>
      </c>
      <c r="M182" s="130">
        <v>45</v>
      </c>
      <c r="N182" s="130">
        <v>88</v>
      </c>
      <c r="O182" s="130">
        <v>112</v>
      </c>
      <c r="P182" s="218">
        <f t="shared" si="6"/>
        <v>367</v>
      </c>
    </row>
    <row r="183" spans="1:16" x14ac:dyDescent="0.35">
      <c r="A183" s="229"/>
      <c r="B183" s="236"/>
      <c r="C183" s="25" t="s">
        <v>1722</v>
      </c>
      <c r="D183" s="25" t="s">
        <v>1723</v>
      </c>
      <c r="E183" s="28" t="s">
        <v>1745</v>
      </c>
      <c r="F183" s="28" t="s">
        <v>1746</v>
      </c>
      <c r="G183" s="28" t="s">
        <v>507</v>
      </c>
      <c r="H183" s="97">
        <v>3</v>
      </c>
      <c r="I183" s="97">
        <v>3</v>
      </c>
      <c r="J183" s="28">
        <v>13</v>
      </c>
      <c r="K183" s="101">
        <v>17</v>
      </c>
      <c r="L183" s="130">
        <v>11</v>
      </c>
      <c r="M183" s="130">
        <v>10</v>
      </c>
      <c r="N183" s="130">
        <v>23</v>
      </c>
      <c r="O183" s="130">
        <v>27</v>
      </c>
      <c r="P183" s="218">
        <f t="shared" si="6"/>
        <v>107</v>
      </c>
    </row>
    <row r="184" spans="1:16" x14ac:dyDescent="0.35">
      <c r="A184" s="229"/>
      <c r="B184" s="236"/>
      <c r="C184" s="25" t="s">
        <v>1722</v>
      </c>
      <c r="D184" s="25" t="s">
        <v>1723</v>
      </c>
      <c r="E184" s="28" t="s">
        <v>1745</v>
      </c>
      <c r="F184" s="28" t="s">
        <v>1745</v>
      </c>
      <c r="G184" s="28" t="s">
        <v>508</v>
      </c>
      <c r="H184" s="97">
        <v>5</v>
      </c>
      <c r="I184" s="97">
        <v>5</v>
      </c>
      <c r="J184" s="28">
        <v>12</v>
      </c>
      <c r="K184" s="101">
        <v>14</v>
      </c>
      <c r="L184" s="130">
        <v>6</v>
      </c>
      <c r="M184" s="130">
        <v>5</v>
      </c>
      <c r="N184" s="130">
        <v>19</v>
      </c>
      <c r="O184" s="130">
        <v>21</v>
      </c>
      <c r="P184" s="218">
        <f t="shared" si="6"/>
        <v>87</v>
      </c>
    </row>
    <row r="185" spans="1:16" x14ac:dyDescent="0.35">
      <c r="A185" s="229"/>
      <c r="B185" s="236"/>
      <c r="C185" s="25" t="s">
        <v>1722</v>
      </c>
      <c r="D185" s="25" t="s">
        <v>1723</v>
      </c>
      <c r="E185" s="28" t="s">
        <v>1745</v>
      </c>
      <c r="F185" s="28" t="s">
        <v>485</v>
      </c>
      <c r="G185" s="28" t="s">
        <v>509</v>
      </c>
      <c r="H185" s="97">
        <v>14</v>
      </c>
      <c r="I185" s="97">
        <v>14</v>
      </c>
      <c r="J185" s="28">
        <v>19</v>
      </c>
      <c r="K185" s="101">
        <v>21</v>
      </c>
      <c r="L185" s="130">
        <v>11</v>
      </c>
      <c r="M185" s="130">
        <v>12</v>
      </c>
      <c r="N185" s="130">
        <v>58</v>
      </c>
      <c r="O185" s="130">
        <v>40</v>
      </c>
      <c r="P185" s="218">
        <f t="shared" si="6"/>
        <v>189</v>
      </c>
    </row>
    <row r="186" spans="1:16" x14ac:dyDescent="0.35">
      <c r="A186" s="229"/>
      <c r="B186" s="236"/>
      <c r="C186" s="25" t="s">
        <v>1722</v>
      </c>
      <c r="D186" s="25" t="s">
        <v>1723</v>
      </c>
      <c r="E186" s="28" t="s">
        <v>1745</v>
      </c>
      <c r="F186" s="28" t="s">
        <v>485</v>
      </c>
      <c r="G186" s="28" t="s">
        <v>510</v>
      </c>
      <c r="H186" s="97">
        <v>5</v>
      </c>
      <c r="I186" s="97">
        <v>6</v>
      </c>
      <c r="J186" s="28">
        <v>17</v>
      </c>
      <c r="K186" s="101">
        <v>18</v>
      </c>
      <c r="L186" s="130">
        <v>16</v>
      </c>
      <c r="M186" s="130">
        <v>14</v>
      </c>
      <c r="N186" s="130">
        <v>37</v>
      </c>
      <c r="O186" s="130">
        <v>35</v>
      </c>
      <c r="P186" s="218">
        <f t="shared" si="6"/>
        <v>148</v>
      </c>
    </row>
    <row r="187" spans="1:16" x14ac:dyDescent="0.35">
      <c r="A187" s="229"/>
      <c r="B187" s="236"/>
      <c r="C187" s="25" t="s">
        <v>1722</v>
      </c>
      <c r="D187" s="25" t="s">
        <v>1723</v>
      </c>
      <c r="E187" s="28" t="s">
        <v>1745</v>
      </c>
      <c r="F187" s="28" t="s">
        <v>485</v>
      </c>
      <c r="G187" s="28" t="s">
        <v>511</v>
      </c>
      <c r="H187" s="97">
        <v>8</v>
      </c>
      <c r="I187" s="97">
        <v>8</v>
      </c>
      <c r="J187" s="28">
        <v>17</v>
      </c>
      <c r="K187" s="101">
        <v>21</v>
      </c>
      <c r="L187" s="130">
        <v>26</v>
      </c>
      <c r="M187" s="130">
        <v>24</v>
      </c>
      <c r="N187" s="130">
        <v>51</v>
      </c>
      <c r="O187" s="130">
        <v>49</v>
      </c>
      <c r="P187" s="218">
        <f t="shared" si="6"/>
        <v>204</v>
      </c>
    </row>
    <row r="188" spans="1:16" x14ac:dyDescent="0.35">
      <c r="A188" s="229"/>
      <c r="B188" s="236"/>
      <c r="C188" s="25" t="s">
        <v>1722</v>
      </c>
      <c r="D188" s="25" t="s">
        <v>1723</v>
      </c>
      <c r="E188" s="28" t="s">
        <v>1745</v>
      </c>
      <c r="F188" s="28" t="s">
        <v>1745</v>
      </c>
      <c r="G188" s="28" t="s">
        <v>512</v>
      </c>
      <c r="H188" s="97">
        <v>3</v>
      </c>
      <c r="I188" s="97">
        <v>3</v>
      </c>
      <c r="J188" s="28">
        <v>6</v>
      </c>
      <c r="K188" s="101">
        <v>11</v>
      </c>
      <c r="L188" s="130">
        <v>3</v>
      </c>
      <c r="M188" s="130">
        <v>5</v>
      </c>
      <c r="N188" s="130">
        <v>10</v>
      </c>
      <c r="O188" s="130">
        <v>15</v>
      </c>
      <c r="P188" s="218">
        <f t="shared" si="6"/>
        <v>56</v>
      </c>
    </row>
    <row r="189" spans="1:16" x14ac:dyDescent="0.35">
      <c r="A189" s="229"/>
      <c r="B189" s="236"/>
      <c r="C189" s="25" t="s">
        <v>1722</v>
      </c>
      <c r="D189" s="25" t="s">
        <v>1723</v>
      </c>
      <c r="E189" s="28" t="s">
        <v>1745</v>
      </c>
      <c r="F189" s="28" t="s">
        <v>1745</v>
      </c>
      <c r="G189" s="28" t="s">
        <v>513</v>
      </c>
      <c r="H189" s="97">
        <v>5</v>
      </c>
      <c r="I189" s="97">
        <v>5</v>
      </c>
      <c r="J189" s="28">
        <v>18</v>
      </c>
      <c r="K189" s="101">
        <v>22</v>
      </c>
      <c r="L189" s="130">
        <v>16</v>
      </c>
      <c r="M189" s="130">
        <v>14</v>
      </c>
      <c r="N189" s="130">
        <v>23</v>
      </c>
      <c r="O189" s="130">
        <v>27</v>
      </c>
      <c r="P189" s="218">
        <f t="shared" si="6"/>
        <v>130</v>
      </c>
    </row>
    <row r="190" spans="1:16" x14ac:dyDescent="0.35">
      <c r="A190" s="229"/>
      <c r="B190" s="236"/>
      <c r="C190" s="25" t="s">
        <v>1722</v>
      </c>
      <c r="D190" s="25" t="s">
        <v>1723</v>
      </c>
      <c r="E190" s="28" t="s">
        <v>1745</v>
      </c>
      <c r="F190" s="28" t="s">
        <v>485</v>
      </c>
      <c r="G190" s="28" t="s">
        <v>514</v>
      </c>
      <c r="H190" s="97">
        <v>10</v>
      </c>
      <c r="I190" s="97">
        <v>10</v>
      </c>
      <c r="J190" s="28">
        <v>15</v>
      </c>
      <c r="K190" s="101">
        <v>19</v>
      </c>
      <c r="L190" s="130">
        <v>39</v>
      </c>
      <c r="M190" s="130">
        <v>40</v>
      </c>
      <c r="N190" s="130">
        <v>29</v>
      </c>
      <c r="O190" s="130">
        <v>21</v>
      </c>
      <c r="P190" s="218">
        <f t="shared" si="6"/>
        <v>183</v>
      </c>
    </row>
    <row r="191" spans="1:16" x14ac:dyDescent="0.35">
      <c r="A191" s="229"/>
      <c r="B191" s="236"/>
      <c r="C191" s="25" t="s">
        <v>1722</v>
      </c>
      <c r="D191" s="25" t="s">
        <v>1723</v>
      </c>
      <c r="E191" s="28" t="s">
        <v>1745</v>
      </c>
      <c r="F191" s="28" t="s">
        <v>485</v>
      </c>
      <c r="G191" s="28" t="s">
        <v>515</v>
      </c>
      <c r="H191" s="97">
        <v>6</v>
      </c>
      <c r="I191" s="97">
        <v>6</v>
      </c>
      <c r="J191" s="28">
        <v>17</v>
      </c>
      <c r="K191" s="101">
        <v>18</v>
      </c>
      <c r="L191" s="130">
        <v>9</v>
      </c>
      <c r="M191" s="130">
        <v>6</v>
      </c>
      <c r="N191" s="130">
        <v>26</v>
      </c>
      <c r="O191" s="130">
        <v>24</v>
      </c>
      <c r="P191" s="218">
        <f t="shared" si="6"/>
        <v>112</v>
      </c>
    </row>
    <row r="192" spans="1:16" x14ac:dyDescent="0.35">
      <c r="A192" s="229"/>
      <c r="B192" s="236"/>
      <c r="C192" s="25" t="s">
        <v>1722</v>
      </c>
      <c r="D192" s="25" t="s">
        <v>1723</v>
      </c>
      <c r="E192" s="28" t="s">
        <v>1745</v>
      </c>
      <c r="F192" s="28" t="s">
        <v>485</v>
      </c>
      <c r="G192" s="28" t="s">
        <v>516</v>
      </c>
      <c r="H192" s="97">
        <v>1</v>
      </c>
      <c r="I192" s="97">
        <v>1</v>
      </c>
      <c r="J192" s="28">
        <v>6</v>
      </c>
      <c r="K192" s="101">
        <v>9</v>
      </c>
      <c r="L192" s="130">
        <v>5</v>
      </c>
      <c r="M192" s="130">
        <v>4</v>
      </c>
      <c r="N192" s="130">
        <v>10</v>
      </c>
      <c r="O192" s="130">
        <v>15</v>
      </c>
      <c r="P192" s="218">
        <f t="shared" si="6"/>
        <v>51</v>
      </c>
    </row>
    <row r="193" spans="1:16" x14ac:dyDescent="0.35">
      <c r="A193" s="229"/>
      <c r="B193" s="236"/>
      <c r="C193" s="25" t="s">
        <v>1722</v>
      </c>
      <c r="D193" s="25" t="s">
        <v>1723</v>
      </c>
      <c r="E193" s="28" t="s">
        <v>1745</v>
      </c>
      <c r="F193" s="28" t="s">
        <v>1746</v>
      </c>
      <c r="G193" s="28" t="s">
        <v>11</v>
      </c>
      <c r="H193" s="97">
        <v>3</v>
      </c>
      <c r="I193" s="97">
        <v>3</v>
      </c>
      <c r="J193" s="28">
        <v>7</v>
      </c>
      <c r="K193" s="101">
        <v>9</v>
      </c>
      <c r="L193" s="130">
        <v>2</v>
      </c>
      <c r="M193" s="130">
        <v>4</v>
      </c>
      <c r="N193" s="130">
        <v>9</v>
      </c>
      <c r="O193" s="130">
        <v>16</v>
      </c>
      <c r="P193" s="218">
        <f t="shared" si="6"/>
        <v>53</v>
      </c>
    </row>
    <row r="194" spans="1:16" x14ac:dyDescent="0.35">
      <c r="A194" s="229"/>
      <c r="B194" s="236"/>
      <c r="C194" s="25" t="s">
        <v>1722</v>
      </c>
      <c r="D194" s="25" t="s">
        <v>1723</v>
      </c>
      <c r="E194" s="28" t="s">
        <v>1745</v>
      </c>
      <c r="F194" s="28" t="s">
        <v>485</v>
      </c>
      <c r="G194" s="28" t="s">
        <v>517</v>
      </c>
      <c r="H194" s="97">
        <v>5</v>
      </c>
      <c r="I194" s="97">
        <v>5</v>
      </c>
      <c r="J194" s="28">
        <v>32</v>
      </c>
      <c r="K194" s="101">
        <v>38</v>
      </c>
      <c r="L194" s="130">
        <v>6</v>
      </c>
      <c r="M194" s="130">
        <v>4</v>
      </c>
      <c r="N194" s="130">
        <v>46</v>
      </c>
      <c r="O194" s="130">
        <v>54</v>
      </c>
      <c r="P194" s="218">
        <f t="shared" si="6"/>
        <v>190</v>
      </c>
    </row>
    <row r="195" spans="1:16" x14ac:dyDescent="0.35">
      <c r="A195" s="229"/>
      <c r="B195" s="236"/>
      <c r="C195" s="25" t="s">
        <v>1722</v>
      </c>
      <c r="D195" s="25" t="s">
        <v>1723</v>
      </c>
      <c r="E195" s="28" t="s">
        <v>1745</v>
      </c>
      <c r="F195" s="28" t="s">
        <v>1745</v>
      </c>
      <c r="G195" s="28" t="s">
        <v>518</v>
      </c>
      <c r="H195" s="97">
        <v>5</v>
      </c>
      <c r="I195" s="97">
        <v>5</v>
      </c>
      <c r="J195" s="28">
        <v>6</v>
      </c>
      <c r="K195" s="101">
        <v>9</v>
      </c>
      <c r="L195" s="130">
        <v>9</v>
      </c>
      <c r="M195" s="130">
        <v>13</v>
      </c>
      <c r="N195" s="130">
        <v>20</v>
      </c>
      <c r="O195" s="130">
        <v>17</v>
      </c>
      <c r="P195" s="218">
        <f t="shared" si="6"/>
        <v>84</v>
      </c>
    </row>
    <row r="196" spans="1:16" x14ac:dyDescent="0.35">
      <c r="A196" s="229"/>
      <c r="B196" s="236"/>
      <c r="C196" s="25" t="s">
        <v>1722</v>
      </c>
      <c r="D196" s="25" t="s">
        <v>1723</v>
      </c>
      <c r="E196" s="28" t="s">
        <v>1745</v>
      </c>
      <c r="F196" s="28" t="s">
        <v>1745</v>
      </c>
      <c r="G196" s="28" t="s">
        <v>519</v>
      </c>
      <c r="H196" s="97">
        <v>6</v>
      </c>
      <c r="I196" s="97">
        <v>6</v>
      </c>
      <c r="J196" s="28">
        <v>13</v>
      </c>
      <c r="K196" s="101">
        <v>17</v>
      </c>
      <c r="L196" s="130">
        <v>17</v>
      </c>
      <c r="M196" s="130">
        <v>15</v>
      </c>
      <c r="N196" s="130">
        <v>28</v>
      </c>
      <c r="O196" s="130">
        <v>32</v>
      </c>
      <c r="P196" s="218">
        <f t="shared" si="6"/>
        <v>134</v>
      </c>
    </row>
    <row r="197" spans="1:16" x14ac:dyDescent="0.35">
      <c r="A197" s="229"/>
      <c r="B197" s="236"/>
      <c r="C197" s="25" t="s">
        <v>1722</v>
      </c>
      <c r="D197" s="25" t="s">
        <v>1723</v>
      </c>
      <c r="E197" s="28" t="s">
        <v>1745</v>
      </c>
      <c r="F197" s="28" t="s">
        <v>485</v>
      </c>
      <c r="G197" s="28" t="s">
        <v>520</v>
      </c>
      <c r="H197" s="97">
        <v>10</v>
      </c>
      <c r="I197" s="97">
        <v>10</v>
      </c>
      <c r="J197" s="28">
        <v>28</v>
      </c>
      <c r="K197" s="101">
        <v>32</v>
      </c>
      <c r="L197" s="130">
        <v>10</v>
      </c>
      <c r="M197" s="130">
        <v>14</v>
      </c>
      <c r="N197" s="130">
        <v>23</v>
      </c>
      <c r="O197" s="130">
        <v>27</v>
      </c>
      <c r="P197" s="218">
        <f t="shared" si="6"/>
        <v>154</v>
      </c>
    </row>
    <row r="198" spans="1:16" x14ac:dyDescent="0.35">
      <c r="A198" s="229"/>
      <c r="B198" s="236"/>
      <c r="C198" s="25" t="s">
        <v>1722</v>
      </c>
      <c r="D198" s="25" t="s">
        <v>1723</v>
      </c>
      <c r="E198" s="28" t="s">
        <v>1745</v>
      </c>
      <c r="F198" s="28" t="s">
        <v>485</v>
      </c>
      <c r="G198" s="28" t="s">
        <v>521</v>
      </c>
      <c r="H198" s="97">
        <v>6</v>
      </c>
      <c r="I198" s="97">
        <v>7</v>
      </c>
      <c r="J198" s="28">
        <v>18</v>
      </c>
      <c r="K198" s="101">
        <v>22</v>
      </c>
      <c r="L198" s="130">
        <v>10</v>
      </c>
      <c r="M198" s="130">
        <v>6</v>
      </c>
      <c r="N198" s="130">
        <v>35</v>
      </c>
      <c r="O198" s="130">
        <v>40</v>
      </c>
      <c r="P198" s="218">
        <f t="shared" ref="P198:P261" si="8">H198+I198+J198+K198+L198+M198+N198+O198</f>
        <v>144</v>
      </c>
    </row>
    <row r="199" spans="1:16" x14ac:dyDescent="0.35">
      <c r="A199" s="229"/>
      <c r="B199" s="236"/>
      <c r="C199" s="25" t="s">
        <v>1722</v>
      </c>
      <c r="D199" s="25" t="s">
        <v>1723</v>
      </c>
      <c r="E199" s="28" t="s">
        <v>1745</v>
      </c>
      <c r="F199" s="28" t="s">
        <v>1745</v>
      </c>
      <c r="G199" s="28" t="s">
        <v>522</v>
      </c>
      <c r="H199" s="97">
        <v>6</v>
      </c>
      <c r="I199" s="97">
        <v>7</v>
      </c>
      <c r="J199" s="28">
        <v>18</v>
      </c>
      <c r="K199" s="101">
        <v>19</v>
      </c>
      <c r="L199" s="130">
        <v>37</v>
      </c>
      <c r="M199" s="130">
        <v>33</v>
      </c>
      <c r="N199" s="130">
        <v>37</v>
      </c>
      <c r="O199" s="130">
        <v>43</v>
      </c>
      <c r="P199" s="218">
        <f t="shared" si="8"/>
        <v>200</v>
      </c>
    </row>
    <row r="200" spans="1:16" x14ac:dyDescent="0.35">
      <c r="A200" s="229"/>
      <c r="B200" s="236"/>
      <c r="C200" s="25" t="s">
        <v>1722</v>
      </c>
      <c r="D200" s="25" t="s">
        <v>1723</v>
      </c>
      <c r="E200" s="28" t="s">
        <v>1745</v>
      </c>
      <c r="F200" s="28" t="s">
        <v>1745</v>
      </c>
      <c r="G200" s="28" t="s">
        <v>349</v>
      </c>
      <c r="H200" s="97">
        <v>10</v>
      </c>
      <c r="I200" s="97">
        <v>10</v>
      </c>
      <c r="J200" s="28">
        <v>42</v>
      </c>
      <c r="K200" s="101">
        <v>58</v>
      </c>
      <c r="L200" s="130">
        <v>24</v>
      </c>
      <c r="M200" s="130">
        <v>22</v>
      </c>
      <c r="N200" s="130">
        <v>27</v>
      </c>
      <c r="O200" s="130">
        <v>23</v>
      </c>
      <c r="P200" s="218">
        <f t="shared" si="8"/>
        <v>216</v>
      </c>
    </row>
    <row r="201" spans="1:16" x14ac:dyDescent="0.35">
      <c r="A201" s="54"/>
      <c r="B201" s="61"/>
      <c r="C201" s="61"/>
      <c r="D201" s="61"/>
      <c r="E201" s="61"/>
      <c r="F201" s="61"/>
      <c r="G201" s="67" t="s">
        <v>2</v>
      </c>
      <c r="H201" s="172">
        <f t="shared" ref="H201:O201" si="9">SUM(H162:H200)</f>
        <v>222</v>
      </c>
      <c r="I201" s="172">
        <f t="shared" si="9"/>
        <v>238</v>
      </c>
      <c r="J201" s="171">
        <f t="shared" si="9"/>
        <v>655</v>
      </c>
      <c r="K201" s="171">
        <f t="shared" si="9"/>
        <v>789</v>
      </c>
      <c r="L201" s="129">
        <f t="shared" si="9"/>
        <v>506</v>
      </c>
      <c r="M201" s="129">
        <f t="shared" si="9"/>
        <v>500</v>
      </c>
      <c r="N201" s="126">
        <f t="shared" si="9"/>
        <v>1241</v>
      </c>
      <c r="O201" s="126">
        <f t="shared" si="9"/>
        <v>1358</v>
      </c>
      <c r="P201" s="217">
        <f t="shared" si="8"/>
        <v>5509</v>
      </c>
    </row>
    <row r="202" spans="1:16" x14ac:dyDescent="0.35">
      <c r="A202" s="229">
        <v>7</v>
      </c>
      <c r="B202" s="234" t="s">
        <v>1747</v>
      </c>
      <c r="C202" s="25" t="s">
        <v>1722</v>
      </c>
      <c r="D202" s="25" t="s">
        <v>1723</v>
      </c>
      <c r="E202" s="41" t="s">
        <v>1747</v>
      </c>
      <c r="F202" s="41" t="s">
        <v>550</v>
      </c>
      <c r="G202" s="6" t="s">
        <v>523</v>
      </c>
      <c r="H202" s="97">
        <v>5</v>
      </c>
      <c r="I202" s="97">
        <v>6</v>
      </c>
      <c r="J202" s="6">
        <v>22</v>
      </c>
      <c r="K202" s="101">
        <v>28</v>
      </c>
      <c r="L202" s="130">
        <v>6</v>
      </c>
      <c r="M202" s="130">
        <v>4</v>
      </c>
      <c r="N202" s="130">
        <v>44</v>
      </c>
      <c r="O202" s="130">
        <v>56</v>
      </c>
      <c r="P202" s="218">
        <f t="shared" si="8"/>
        <v>171</v>
      </c>
    </row>
    <row r="203" spans="1:16" x14ac:dyDescent="0.35">
      <c r="A203" s="229"/>
      <c r="B203" s="234"/>
      <c r="C203" s="25" t="s">
        <v>1722</v>
      </c>
      <c r="D203" s="25" t="s">
        <v>1723</v>
      </c>
      <c r="E203" s="25" t="s">
        <v>1749</v>
      </c>
      <c r="F203" s="25" t="s">
        <v>1923</v>
      </c>
      <c r="G203" s="6" t="s">
        <v>357</v>
      </c>
      <c r="H203" s="97">
        <v>7</v>
      </c>
      <c r="I203" s="97">
        <v>8</v>
      </c>
      <c r="J203" s="6">
        <v>23</v>
      </c>
      <c r="K203" s="101">
        <v>25</v>
      </c>
      <c r="L203" s="130">
        <v>12</v>
      </c>
      <c r="M203" s="130">
        <v>20</v>
      </c>
      <c r="N203" s="130">
        <v>37</v>
      </c>
      <c r="O203" s="130">
        <v>43</v>
      </c>
      <c r="P203" s="218">
        <f t="shared" si="8"/>
        <v>175</v>
      </c>
    </row>
    <row r="204" spans="1:16" x14ac:dyDescent="0.35">
      <c r="A204" s="229"/>
      <c r="B204" s="234"/>
      <c r="C204" s="25" t="s">
        <v>1722</v>
      </c>
      <c r="D204" s="25" t="s">
        <v>1723</v>
      </c>
      <c r="E204" s="25" t="s">
        <v>1747</v>
      </c>
      <c r="F204" s="25" t="s">
        <v>552</v>
      </c>
      <c r="G204" s="6" t="s">
        <v>524</v>
      </c>
      <c r="H204" s="97">
        <v>8</v>
      </c>
      <c r="I204" s="97">
        <v>8</v>
      </c>
      <c r="J204" s="6">
        <v>24</v>
      </c>
      <c r="K204" s="101">
        <v>27</v>
      </c>
      <c r="L204" s="130">
        <v>10</v>
      </c>
      <c r="M204" s="130">
        <v>29</v>
      </c>
      <c r="N204" s="130">
        <v>24</v>
      </c>
      <c r="O204" s="130">
        <v>22</v>
      </c>
      <c r="P204" s="218">
        <f t="shared" si="8"/>
        <v>152</v>
      </c>
    </row>
    <row r="205" spans="1:16" x14ac:dyDescent="0.35">
      <c r="A205" s="229"/>
      <c r="B205" s="234"/>
      <c r="C205" s="25" t="s">
        <v>1722</v>
      </c>
      <c r="D205" s="25" t="s">
        <v>1723</v>
      </c>
      <c r="E205" s="25" t="s">
        <v>1747</v>
      </c>
      <c r="F205" s="25" t="s">
        <v>68</v>
      </c>
      <c r="G205" s="6" t="s">
        <v>525</v>
      </c>
      <c r="H205" s="97">
        <v>3</v>
      </c>
      <c r="I205" s="97">
        <v>3</v>
      </c>
      <c r="J205" s="6">
        <v>10</v>
      </c>
      <c r="K205" s="101">
        <v>11</v>
      </c>
      <c r="L205" s="130">
        <v>6</v>
      </c>
      <c r="M205" s="130">
        <v>7</v>
      </c>
      <c r="N205" s="130">
        <v>8</v>
      </c>
      <c r="O205" s="130">
        <v>12</v>
      </c>
      <c r="P205" s="218">
        <f t="shared" si="8"/>
        <v>60</v>
      </c>
    </row>
    <row r="206" spans="1:16" x14ac:dyDescent="0.35">
      <c r="A206" s="229"/>
      <c r="B206" s="234"/>
      <c r="C206" s="25" t="s">
        <v>1722</v>
      </c>
      <c r="D206" s="25" t="s">
        <v>1723</v>
      </c>
      <c r="E206" s="25" t="s">
        <v>1747</v>
      </c>
      <c r="F206" s="25" t="s">
        <v>550</v>
      </c>
      <c r="G206" s="6" t="s">
        <v>526</v>
      </c>
      <c r="H206" s="97">
        <v>5</v>
      </c>
      <c r="I206" s="97">
        <v>5</v>
      </c>
      <c r="J206" s="6">
        <v>12</v>
      </c>
      <c r="K206" s="101">
        <v>18</v>
      </c>
      <c r="L206" s="130">
        <v>10</v>
      </c>
      <c r="M206" s="130">
        <v>8</v>
      </c>
      <c r="N206" s="130">
        <v>9</v>
      </c>
      <c r="O206" s="130">
        <v>11</v>
      </c>
      <c r="P206" s="218">
        <f t="shared" si="8"/>
        <v>78</v>
      </c>
    </row>
    <row r="207" spans="1:16" x14ac:dyDescent="0.35">
      <c r="A207" s="229"/>
      <c r="B207" s="234"/>
      <c r="C207" s="25" t="s">
        <v>1722</v>
      </c>
      <c r="D207" s="25" t="s">
        <v>1723</v>
      </c>
      <c r="E207" s="25" t="s">
        <v>1749</v>
      </c>
      <c r="F207" s="25" t="s">
        <v>1748</v>
      </c>
      <c r="G207" s="6" t="s">
        <v>1750</v>
      </c>
      <c r="H207" s="97">
        <v>4</v>
      </c>
      <c r="I207" s="97">
        <v>4</v>
      </c>
      <c r="J207" s="6">
        <v>21</v>
      </c>
      <c r="K207" s="101">
        <v>14</v>
      </c>
      <c r="L207" s="130">
        <v>20</v>
      </c>
      <c r="M207" s="130">
        <v>15</v>
      </c>
      <c r="N207" s="130">
        <v>26</v>
      </c>
      <c r="O207" s="130">
        <v>25</v>
      </c>
      <c r="P207" s="218">
        <f t="shared" si="8"/>
        <v>129</v>
      </c>
    </row>
    <row r="208" spans="1:16" x14ac:dyDescent="0.35">
      <c r="A208" s="229"/>
      <c r="B208" s="234"/>
      <c r="C208" s="25" t="s">
        <v>1722</v>
      </c>
      <c r="D208" s="25" t="s">
        <v>1723</v>
      </c>
      <c r="E208" s="41" t="s">
        <v>1747</v>
      </c>
      <c r="F208" s="26" t="s">
        <v>550</v>
      </c>
      <c r="G208" s="6" t="s">
        <v>527</v>
      </c>
      <c r="H208" s="97">
        <v>12</v>
      </c>
      <c r="I208" s="97">
        <v>13</v>
      </c>
      <c r="J208" s="6">
        <v>40</v>
      </c>
      <c r="K208" s="101">
        <v>42</v>
      </c>
      <c r="L208" s="130">
        <v>38</v>
      </c>
      <c r="M208" s="130">
        <v>40</v>
      </c>
      <c r="N208" s="130">
        <v>8</v>
      </c>
      <c r="O208" s="130">
        <v>8</v>
      </c>
      <c r="P208" s="218">
        <f t="shared" si="8"/>
        <v>201</v>
      </c>
    </row>
    <row r="209" spans="1:16" x14ac:dyDescent="0.35">
      <c r="A209" s="229"/>
      <c r="B209" s="234"/>
      <c r="C209" s="25" t="s">
        <v>1722</v>
      </c>
      <c r="D209" s="25" t="s">
        <v>1723</v>
      </c>
      <c r="E209" s="41" t="s">
        <v>1747</v>
      </c>
      <c r="F209" s="26" t="s">
        <v>550</v>
      </c>
      <c r="G209" s="6" t="s">
        <v>528</v>
      </c>
      <c r="H209" s="97">
        <v>3</v>
      </c>
      <c r="I209" s="97">
        <v>4</v>
      </c>
      <c r="J209" s="6">
        <v>4</v>
      </c>
      <c r="K209" s="101">
        <v>7</v>
      </c>
      <c r="L209" s="130">
        <v>4</v>
      </c>
      <c r="M209" s="130">
        <v>5</v>
      </c>
      <c r="N209" s="130">
        <v>11</v>
      </c>
      <c r="O209" s="130">
        <v>13</v>
      </c>
      <c r="P209" s="218">
        <f t="shared" si="8"/>
        <v>51</v>
      </c>
    </row>
    <row r="210" spans="1:16" x14ac:dyDescent="0.35">
      <c r="A210" s="229"/>
      <c r="B210" s="234"/>
      <c r="C210" s="25" t="s">
        <v>1722</v>
      </c>
      <c r="D210" s="25" t="s">
        <v>1723</v>
      </c>
      <c r="E210" s="41" t="s">
        <v>1747</v>
      </c>
      <c r="F210" s="25" t="s">
        <v>550</v>
      </c>
      <c r="G210" s="6" t="s">
        <v>529</v>
      </c>
      <c r="H210" s="97">
        <v>7</v>
      </c>
      <c r="I210" s="97">
        <v>8</v>
      </c>
      <c r="J210" s="6">
        <v>38</v>
      </c>
      <c r="K210" s="101">
        <v>42</v>
      </c>
      <c r="L210" s="130">
        <v>16</v>
      </c>
      <c r="M210" s="130">
        <v>20</v>
      </c>
      <c r="N210" s="130">
        <v>19</v>
      </c>
      <c r="O210" s="130">
        <v>21</v>
      </c>
      <c r="P210" s="218">
        <f t="shared" si="8"/>
        <v>171</v>
      </c>
    </row>
    <row r="211" spans="1:16" x14ac:dyDescent="0.35">
      <c r="A211" s="229"/>
      <c r="B211" s="234"/>
      <c r="C211" s="25" t="s">
        <v>1722</v>
      </c>
      <c r="D211" s="25" t="s">
        <v>1723</v>
      </c>
      <c r="E211" s="41" t="s">
        <v>1747</v>
      </c>
      <c r="F211" s="26" t="s">
        <v>552</v>
      </c>
      <c r="G211" s="6" t="s">
        <v>530</v>
      </c>
      <c r="H211" s="97">
        <v>14</v>
      </c>
      <c r="I211" s="97">
        <v>14</v>
      </c>
      <c r="J211" s="6">
        <v>15</v>
      </c>
      <c r="K211" s="101">
        <v>17</v>
      </c>
      <c r="L211" s="130">
        <v>28</v>
      </c>
      <c r="M211" s="130">
        <v>27</v>
      </c>
      <c r="N211" s="130">
        <v>16</v>
      </c>
      <c r="O211" s="130">
        <v>24</v>
      </c>
      <c r="P211" s="218">
        <f t="shared" si="8"/>
        <v>155</v>
      </c>
    </row>
    <row r="212" spans="1:16" x14ac:dyDescent="0.35">
      <c r="A212" s="229"/>
      <c r="B212" s="234"/>
      <c r="C212" s="25" t="s">
        <v>1722</v>
      </c>
      <c r="D212" s="25" t="s">
        <v>1723</v>
      </c>
      <c r="E212" s="41" t="s">
        <v>1747</v>
      </c>
      <c r="F212" s="26" t="s">
        <v>68</v>
      </c>
      <c r="G212" s="6" t="s">
        <v>531</v>
      </c>
      <c r="H212" s="97">
        <v>14</v>
      </c>
      <c r="I212" s="97">
        <v>14</v>
      </c>
      <c r="J212" s="6">
        <v>65</v>
      </c>
      <c r="K212" s="101">
        <v>81</v>
      </c>
      <c r="L212" s="130">
        <v>23</v>
      </c>
      <c r="M212" s="130">
        <v>20</v>
      </c>
      <c r="N212" s="130">
        <v>44</v>
      </c>
      <c r="O212" s="130">
        <v>56</v>
      </c>
      <c r="P212" s="218">
        <f t="shared" si="8"/>
        <v>317</v>
      </c>
    </row>
    <row r="213" spans="1:16" x14ac:dyDescent="0.35">
      <c r="A213" s="229"/>
      <c r="B213" s="234"/>
      <c r="C213" s="25" t="s">
        <v>1722</v>
      </c>
      <c r="D213" s="25" t="s">
        <v>1723</v>
      </c>
      <c r="E213" s="41" t="s">
        <v>1747</v>
      </c>
      <c r="F213" s="26" t="s">
        <v>550</v>
      </c>
      <c r="G213" s="6" t="s">
        <v>532</v>
      </c>
      <c r="H213" s="97">
        <v>11</v>
      </c>
      <c r="I213" s="97">
        <v>11</v>
      </c>
      <c r="J213" s="6">
        <v>64</v>
      </c>
      <c r="K213" s="101">
        <v>62</v>
      </c>
      <c r="L213" s="130">
        <v>28</v>
      </c>
      <c r="M213" s="130">
        <v>26</v>
      </c>
      <c r="N213" s="130">
        <v>35</v>
      </c>
      <c r="O213" s="130">
        <v>35</v>
      </c>
      <c r="P213" s="218">
        <f t="shared" si="8"/>
        <v>272</v>
      </c>
    </row>
    <row r="214" spans="1:16" x14ac:dyDescent="0.35">
      <c r="A214" s="229"/>
      <c r="B214" s="234"/>
      <c r="C214" s="25" t="s">
        <v>1722</v>
      </c>
      <c r="D214" s="25" t="s">
        <v>1723</v>
      </c>
      <c r="E214" s="41" t="s">
        <v>1747</v>
      </c>
      <c r="F214" s="26" t="s">
        <v>68</v>
      </c>
      <c r="G214" s="6" t="s">
        <v>533</v>
      </c>
      <c r="H214" s="97">
        <v>11</v>
      </c>
      <c r="I214" s="97">
        <v>11</v>
      </c>
      <c r="J214" s="6">
        <v>30</v>
      </c>
      <c r="K214" s="101">
        <v>35</v>
      </c>
      <c r="L214" s="130">
        <v>13</v>
      </c>
      <c r="M214" s="130">
        <v>12</v>
      </c>
      <c r="N214" s="130">
        <v>24</v>
      </c>
      <c r="O214" s="130">
        <v>26</v>
      </c>
      <c r="P214" s="218">
        <f t="shared" si="8"/>
        <v>162</v>
      </c>
    </row>
    <row r="215" spans="1:16" x14ac:dyDescent="0.35">
      <c r="A215" s="229"/>
      <c r="B215" s="234"/>
      <c r="C215" s="25" t="s">
        <v>1722</v>
      </c>
      <c r="D215" s="25" t="s">
        <v>1723</v>
      </c>
      <c r="E215" s="41" t="s">
        <v>1747</v>
      </c>
      <c r="F215" s="26" t="s">
        <v>68</v>
      </c>
      <c r="G215" s="6" t="s">
        <v>534</v>
      </c>
      <c r="H215" s="97">
        <v>5</v>
      </c>
      <c r="I215" s="97">
        <v>6</v>
      </c>
      <c r="J215" s="6">
        <v>35</v>
      </c>
      <c r="K215" s="101">
        <v>32</v>
      </c>
      <c r="L215" s="130">
        <v>11</v>
      </c>
      <c r="M215" s="130">
        <v>9</v>
      </c>
      <c r="N215" s="130">
        <v>40</v>
      </c>
      <c r="O215" s="130">
        <v>35</v>
      </c>
      <c r="P215" s="218">
        <f t="shared" si="8"/>
        <v>173</v>
      </c>
    </row>
    <row r="216" spans="1:16" x14ac:dyDescent="0.35">
      <c r="A216" s="229"/>
      <c r="B216" s="234"/>
      <c r="C216" s="25" t="s">
        <v>1722</v>
      </c>
      <c r="D216" s="25" t="s">
        <v>1723</v>
      </c>
      <c r="E216" s="41" t="s">
        <v>1747</v>
      </c>
      <c r="F216" s="26" t="s">
        <v>550</v>
      </c>
      <c r="G216" s="6" t="s">
        <v>535</v>
      </c>
      <c r="H216" s="97">
        <v>8</v>
      </c>
      <c r="I216" s="97">
        <v>9</v>
      </c>
      <c r="J216" s="6">
        <v>31</v>
      </c>
      <c r="K216" s="101">
        <v>39</v>
      </c>
      <c r="L216" s="130">
        <v>18</v>
      </c>
      <c r="M216" s="130">
        <v>20</v>
      </c>
      <c r="N216" s="130">
        <v>20</v>
      </c>
      <c r="O216" s="130">
        <v>15</v>
      </c>
      <c r="P216" s="218">
        <f t="shared" si="8"/>
        <v>160</v>
      </c>
    </row>
    <row r="217" spans="1:16" x14ac:dyDescent="0.35">
      <c r="A217" s="229"/>
      <c r="B217" s="234"/>
      <c r="C217" s="25" t="s">
        <v>1722</v>
      </c>
      <c r="D217" s="25" t="s">
        <v>1723</v>
      </c>
      <c r="E217" s="41" t="s">
        <v>1747</v>
      </c>
      <c r="F217" s="26" t="s">
        <v>68</v>
      </c>
      <c r="G217" s="6" t="s">
        <v>536</v>
      </c>
      <c r="H217" s="97">
        <v>10</v>
      </c>
      <c r="I217" s="97">
        <v>10</v>
      </c>
      <c r="J217" s="6">
        <v>32</v>
      </c>
      <c r="K217" s="101">
        <v>36</v>
      </c>
      <c r="L217" s="130">
        <v>17</v>
      </c>
      <c r="M217" s="130">
        <v>15</v>
      </c>
      <c r="N217" s="130">
        <v>17</v>
      </c>
      <c r="O217" s="130">
        <v>23</v>
      </c>
      <c r="P217" s="218">
        <f t="shared" si="8"/>
        <v>160</v>
      </c>
    </row>
    <row r="218" spans="1:16" x14ac:dyDescent="0.35">
      <c r="A218" s="229"/>
      <c r="B218" s="234"/>
      <c r="C218" s="25" t="s">
        <v>1722</v>
      </c>
      <c r="D218" s="25" t="s">
        <v>1723</v>
      </c>
      <c r="E218" s="41" t="s">
        <v>1747</v>
      </c>
      <c r="F218" s="26" t="s">
        <v>550</v>
      </c>
      <c r="G218" s="6" t="s">
        <v>537</v>
      </c>
      <c r="H218" s="97">
        <v>15</v>
      </c>
      <c r="I218" s="97">
        <v>15</v>
      </c>
      <c r="J218" s="6">
        <v>33</v>
      </c>
      <c r="K218" s="101">
        <v>31</v>
      </c>
      <c r="L218" s="130">
        <v>50</v>
      </c>
      <c r="M218" s="130">
        <v>55</v>
      </c>
      <c r="N218" s="130">
        <v>48</v>
      </c>
      <c r="O218" s="130">
        <v>58</v>
      </c>
      <c r="P218" s="218">
        <f t="shared" si="8"/>
        <v>305</v>
      </c>
    </row>
    <row r="219" spans="1:16" x14ac:dyDescent="0.35">
      <c r="A219" s="229"/>
      <c r="B219" s="234"/>
      <c r="C219" s="25" t="s">
        <v>1722</v>
      </c>
      <c r="D219" s="25" t="s">
        <v>1723</v>
      </c>
      <c r="E219" s="41" t="s">
        <v>1747</v>
      </c>
      <c r="F219" s="26" t="s">
        <v>552</v>
      </c>
      <c r="G219" s="6" t="s">
        <v>524</v>
      </c>
      <c r="H219" s="97">
        <v>11</v>
      </c>
      <c r="I219" s="97">
        <v>11</v>
      </c>
      <c r="J219" s="6">
        <v>38</v>
      </c>
      <c r="K219" s="101">
        <v>41</v>
      </c>
      <c r="L219" s="130">
        <v>14</v>
      </c>
      <c r="M219" s="130">
        <v>11</v>
      </c>
      <c r="N219" s="130">
        <v>22</v>
      </c>
      <c r="O219" s="130">
        <v>25</v>
      </c>
      <c r="P219" s="218">
        <f t="shared" si="8"/>
        <v>173</v>
      </c>
    </row>
    <row r="220" spans="1:16" x14ac:dyDescent="0.35">
      <c r="A220" s="229"/>
      <c r="B220" s="234"/>
      <c r="C220" s="25" t="s">
        <v>1722</v>
      </c>
      <c r="D220" s="25" t="s">
        <v>1723</v>
      </c>
      <c r="E220" s="41" t="s">
        <v>1747</v>
      </c>
      <c r="F220" s="26" t="s">
        <v>550</v>
      </c>
      <c r="G220" s="6" t="s">
        <v>538</v>
      </c>
      <c r="H220" s="97">
        <v>15</v>
      </c>
      <c r="I220" s="97">
        <v>15</v>
      </c>
      <c r="J220" s="6">
        <v>24</v>
      </c>
      <c r="K220" s="101">
        <v>26</v>
      </c>
      <c r="L220" s="130">
        <v>27</v>
      </c>
      <c r="M220" s="130">
        <v>23</v>
      </c>
      <c r="N220" s="130">
        <v>26</v>
      </c>
      <c r="O220" s="130">
        <v>24</v>
      </c>
      <c r="P220" s="218">
        <f t="shared" si="8"/>
        <v>180</v>
      </c>
    </row>
    <row r="221" spans="1:16" x14ac:dyDescent="0.35">
      <c r="A221" s="229"/>
      <c r="B221" s="234"/>
      <c r="C221" s="25" t="s">
        <v>1722</v>
      </c>
      <c r="D221" s="25" t="s">
        <v>1723</v>
      </c>
      <c r="E221" s="41" t="s">
        <v>1747</v>
      </c>
      <c r="F221" s="26" t="s">
        <v>550</v>
      </c>
      <c r="G221" s="6" t="s">
        <v>539</v>
      </c>
      <c r="H221" s="97">
        <v>20</v>
      </c>
      <c r="I221" s="97">
        <v>20</v>
      </c>
      <c r="J221" s="6">
        <v>73</v>
      </c>
      <c r="K221" s="101">
        <v>75</v>
      </c>
      <c r="L221" s="130">
        <v>24</v>
      </c>
      <c r="M221" s="130">
        <v>26</v>
      </c>
      <c r="N221" s="130">
        <v>47</v>
      </c>
      <c r="O221" s="130">
        <v>41</v>
      </c>
      <c r="P221" s="218">
        <f t="shared" si="8"/>
        <v>326</v>
      </c>
    </row>
    <row r="222" spans="1:16" x14ac:dyDescent="0.35">
      <c r="A222" s="229"/>
      <c r="B222" s="234"/>
      <c r="C222" s="25" t="s">
        <v>1722</v>
      </c>
      <c r="D222" s="25" t="s">
        <v>1723</v>
      </c>
      <c r="E222" s="41" t="s">
        <v>1747</v>
      </c>
      <c r="F222" s="26" t="s">
        <v>552</v>
      </c>
      <c r="G222" s="6" t="s">
        <v>334</v>
      </c>
      <c r="H222" s="97">
        <v>8</v>
      </c>
      <c r="I222" s="97">
        <v>8</v>
      </c>
      <c r="J222" s="6">
        <v>58</v>
      </c>
      <c r="K222" s="101">
        <v>67</v>
      </c>
      <c r="L222" s="130">
        <v>21</v>
      </c>
      <c r="M222" s="130">
        <v>12</v>
      </c>
      <c r="N222" s="130">
        <v>35</v>
      </c>
      <c r="O222" s="130">
        <v>40</v>
      </c>
      <c r="P222" s="218">
        <f t="shared" si="8"/>
        <v>249</v>
      </c>
    </row>
    <row r="223" spans="1:16" x14ac:dyDescent="0.35">
      <c r="A223" s="229"/>
      <c r="B223" s="234"/>
      <c r="C223" s="25" t="s">
        <v>1722</v>
      </c>
      <c r="D223" s="25" t="s">
        <v>1723</v>
      </c>
      <c r="E223" s="41" t="s">
        <v>1749</v>
      </c>
      <c r="F223" s="26" t="s">
        <v>1751</v>
      </c>
      <c r="G223" s="6" t="s">
        <v>5</v>
      </c>
      <c r="H223" s="97">
        <v>8</v>
      </c>
      <c r="I223" s="97">
        <v>8</v>
      </c>
      <c r="J223" s="6">
        <v>17</v>
      </c>
      <c r="K223" s="101">
        <v>22</v>
      </c>
      <c r="L223" s="130">
        <v>2</v>
      </c>
      <c r="M223" s="130">
        <v>7</v>
      </c>
      <c r="N223" s="130">
        <v>14</v>
      </c>
      <c r="O223" s="130">
        <v>15</v>
      </c>
      <c r="P223" s="218">
        <f t="shared" si="8"/>
        <v>93</v>
      </c>
    </row>
    <row r="224" spans="1:16" x14ac:dyDescent="0.35">
      <c r="A224" s="229"/>
      <c r="B224" s="234"/>
      <c r="C224" s="25" t="s">
        <v>1722</v>
      </c>
      <c r="D224" s="25" t="s">
        <v>1723</v>
      </c>
      <c r="E224" s="41" t="s">
        <v>1747</v>
      </c>
      <c r="F224" s="26" t="s">
        <v>552</v>
      </c>
      <c r="G224" s="6" t="s">
        <v>540</v>
      </c>
      <c r="H224" s="97">
        <v>6</v>
      </c>
      <c r="I224" s="97">
        <v>6</v>
      </c>
      <c r="J224" s="6">
        <v>18</v>
      </c>
      <c r="K224" s="101">
        <v>22</v>
      </c>
      <c r="L224" s="130">
        <v>7</v>
      </c>
      <c r="M224" s="130">
        <v>5</v>
      </c>
      <c r="N224" s="130">
        <v>19</v>
      </c>
      <c r="O224" s="130">
        <v>21</v>
      </c>
      <c r="P224" s="218">
        <f t="shared" si="8"/>
        <v>104</v>
      </c>
    </row>
    <row r="225" spans="1:16" x14ac:dyDescent="0.35">
      <c r="A225" s="229"/>
      <c r="B225" s="234"/>
      <c r="C225" s="25" t="s">
        <v>1722</v>
      </c>
      <c r="D225" s="25" t="s">
        <v>1723</v>
      </c>
      <c r="E225" s="41" t="s">
        <v>1749</v>
      </c>
      <c r="F225" s="26" t="s">
        <v>1752</v>
      </c>
      <c r="G225" s="6" t="s">
        <v>541</v>
      </c>
      <c r="H225" s="97">
        <v>5</v>
      </c>
      <c r="I225" s="97">
        <v>5</v>
      </c>
      <c r="J225" s="6">
        <v>50</v>
      </c>
      <c r="K225" s="101">
        <v>62</v>
      </c>
      <c r="L225" s="130">
        <v>11</v>
      </c>
      <c r="M225" s="130">
        <v>9</v>
      </c>
      <c r="N225" s="130">
        <v>12</v>
      </c>
      <c r="O225" s="130">
        <v>16</v>
      </c>
      <c r="P225" s="218">
        <f t="shared" si="8"/>
        <v>170</v>
      </c>
    </row>
    <row r="226" spans="1:16" x14ac:dyDescent="0.35">
      <c r="A226" s="229"/>
      <c r="B226" s="234"/>
      <c r="C226" s="25" t="s">
        <v>1722</v>
      </c>
      <c r="D226" s="25" t="s">
        <v>1723</v>
      </c>
      <c r="E226" s="41" t="s">
        <v>1749</v>
      </c>
      <c r="F226" s="26" t="s">
        <v>1748</v>
      </c>
      <c r="G226" s="6" t="s">
        <v>453</v>
      </c>
      <c r="H226" s="97">
        <v>4</v>
      </c>
      <c r="I226" s="97">
        <v>5</v>
      </c>
      <c r="J226" s="6">
        <v>37</v>
      </c>
      <c r="K226" s="101">
        <v>41</v>
      </c>
      <c r="L226" s="130">
        <v>21</v>
      </c>
      <c r="M226" s="130">
        <v>15</v>
      </c>
      <c r="N226" s="130">
        <v>10</v>
      </c>
      <c r="O226" s="130">
        <v>11</v>
      </c>
      <c r="P226" s="218">
        <f t="shared" si="8"/>
        <v>144</v>
      </c>
    </row>
    <row r="227" spans="1:16" x14ac:dyDescent="0.35">
      <c r="A227" s="229"/>
      <c r="B227" s="234"/>
      <c r="C227" s="25" t="s">
        <v>1722</v>
      </c>
      <c r="D227" s="25" t="s">
        <v>1723</v>
      </c>
      <c r="E227" s="41" t="s">
        <v>1749</v>
      </c>
      <c r="F227" s="26" t="s">
        <v>1752</v>
      </c>
      <c r="G227" s="6" t="s">
        <v>542</v>
      </c>
      <c r="H227" s="97">
        <v>8</v>
      </c>
      <c r="I227" s="97">
        <v>9</v>
      </c>
      <c r="J227" s="6">
        <v>41</v>
      </c>
      <c r="K227" s="101">
        <v>59</v>
      </c>
      <c r="L227" s="130">
        <v>18</v>
      </c>
      <c r="M227" s="130">
        <v>17</v>
      </c>
      <c r="N227" s="130">
        <v>27</v>
      </c>
      <c r="O227" s="130">
        <v>25</v>
      </c>
      <c r="P227" s="218">
        <f t="shared" si="8"/>
        <v>204</v>
      </c>
    </row>
    <row r="228" spans="1:16" x14ac:dyDescent="0.35">
      <c r="A228" s="229"/>
      <c r="B228" s="234"/>
      <c r="C228" s="25" t="s">
        <v>1722</v>
      </c>
      <c r="D228" s="25" t="s">
        <v>1723</v>
      </c>
      <c r="E228" s="41" t="s">
        <v>1747</v>
      </c>
      <c r="F228" s="26" t="s">
        <v>552</v>
      </c>
      <c r="G228" s="6" t="s">
        <v>543</v>
      </c>
      <c r="H228" s="97">
        <v>5</v>
      </c>
      <c r="I228" s="97">
        <v>6</v>
      </c>
      <c r="J228" s="6">
        <v>31</v>
      </c>
      <c r="K228" s="101">
        <v>41</v>
      </c>
      <c r="L228" s="130">
        <v>39</v>
      </c>
      <c r="M228" s="130">
        <v>38</v>
      </c>
      <c r="N228" s="130">
        <v>30</v>
      </c>
      <c r="O228" s="130">
        <v>32</v>
      </c>
      <c r="P228" s="218">
        <f t="shared" si="8"/>
        <v>222</v>
      </c>
    </row>
    <row r="229" spans="1:16" x14ac:dyDescent="0.35">
      <c r="A229" s="229"/>
      <c r="B229" s="234"/>
      <c r="C229" s="25" t="s">
        <v>1722</v>
      </c>
      <c r="D229" s="25" t="s">
        <v>1723</v>
      </c>
      <c r="E229" s="41" t="s">
        <v>1747</v>
      </c>
      <c r="F229" s="26" t="s">
        <v>550</v>
      </c>
      <c r="G229" s="6" t="s">
        <v>544</v>
      </c>
      <c r="H229" s="97">
        <v>3</v>
      </c>
      <c r="I229" s="97">
        <v>4</v>
      </c>
      <c r="J229" s="6">
        <v>9</v>
      </c>
      <c r="K229" s="101">
        <v>11</v>
      </c>
      <c r="L229" s="130">
        <v>18</v>
      </c>
      <c r="M229" s="130">
        <v>16</v>
      </c>
      <c r="N229" s="130">
        <v>20</v>
      </c>
      <c r="O229" s="130">
        <v>27</v>
      </c>
      <c r="P229" s="218">
        <f t="shared" si="8"/>
        <v>108</v>
      </c>
    </row>
    <row r="230" spans="1:16" x14ac:dyDescent="0.35">
      <c r="A230" s="229"/>
      <c r="B230" s="234"/>
      <c r="C230" s="25" t="s">
        <v>1722</v>
      </c>
      <c r="D230" s="25" t="s">
        <v>1723</v>
      </c>
      <c r="E230" s="41" t="s">
        <v>1747</v>
      </c>
      <c r="F230" s="26" t="s">
        <v>550</v>
      </c>
      <c r="G230" s="6" t="s">
        <v>545</v>
      </c>
      <c r="H230" s="97">
        <v>6</v>
      </c>
      <c r="I230" s="97">
        <v>6</v>
      </c>
      <c r="J230" s="6">
        <v>35</v>
      </c>
      <c r="K230" s="101">
        <v>32</v>
      </c>
      <c r="L230" s="130">
        <v>13</v>
      </c>
      <c r="M230" s="130">
        <v>12</v>
      </c>
      <c r="N230" s="130">
        <v>40</v>
      </c>
      <c r="O230" s="130">
        <v>42</v>
      </c>
      <c r="P230" s="218">
        <f t="shared" si="8"/>
        <v>186</v>
      </c>
    </row>
    <row r="231" spans="1:16" x14ac:dyDescent="0.35">
      <c r="A231" s="229"/>
      <c r="B231" s="234"/>
      <c r="C231" s="25" t="s">
        <v>1722</v>
      </c>
      <c r="D231" s="25" t="s">
        <v>1723</v>
      </c>
      <c r="E231" s="41" t="s">
        <v>1747</v>
      </c>
      <c r="F231" s="26" t="s">
        <v>550</v>
      </c>
      <c r="G231" s="6" t="s">
        <v>546</v>
      </c>
      <c r="H231" s="97">
        <v>9</v>
      </c>
      <c r="I231" s="97">
        <v>9</v>
      </c>
      <c r="J231" s="6">
        <v>21</v>
      </c>
      <c r="K231" s="101">
        <v>29</v>
      </c>
      <c r="L231" s="130">
        <v>24</v>
      </c>
      <c r="M231" s="130">
        <v>26</v>
      </c>
      <c r="N231" s="130">
        <v>45</v>
      </c>
      <c r="O231" s="130">
        <v>50</v>
      </c>
      <c r="P231" s="218">
        <f t="shared" si="8"/>
        <v>213</v>
      </c>
    </row>
    <row r="232" spans="1:16" x14ac:dyDescent="0.35">
      <c r="A232" s="229"/>
      <c r="B232" s="234"/>
      <c r="C232" s="25" t="s">
        <v>1722</v>
      </c>
      <c r="D232" s="25" t="s">
        <v>1723</v>
      </c>
      <c r="E232" s="41" t="s">
        <v>1747</v>
      </c>
      <c r="F232" s="26" t="s">
        <v>68</v>
      </c>
      <c r="G232" s="6" t="s">
        <v>547</v>
      </c>
      <c r="H232" s="97">
        <v>12</v>
      </c>
      <c r="I232" s="97">
        <v>12</v>
      </c>
      <c r="J232" s="6">
        <v>43</v>
      </c>
      <c r="K232" s="101">
        <v>51</v>
      </c>
      <c r="L232" s="130">
        <v>12</v>
      </c>
      <c r="M232" s="130">
        <v>12</v>
      </c>
      <c r="N232" s="130">
        <v>49</v>
      </c>
      <c r="O232" s="130">
        <v>43</v>
      </c>
      <c r="P232" s="218">
        <f t="shared" si="8"/>
        <v>234</v>
      </c>
    </row>
    <row r="233" spans="1:16" x14ac:dyDescent="0.35">
      <c r="A233" s="229"/>
      <c r="B233" s="234"/>
      <c r="C233" s="25" t="s">
        <v>1722</v>
      </c>
      <c r="D233" s="25" t="s">
        <v>1723</v>
      </c>
      <c r="E233" s="41" t="s">
        <v>1747</v>
      </c>
      <c r="F233" s="26" t="s">
        <v>552</v>
      </c>
      <c r="G233" s="6" t="s">
        <v>548</v>
      </c>
      <c r="H233" s="97">
        <v>21</v>
      </c>
      <c r="I233" s="97">
        <v>22</v>
      </c>
      <c r="J233" s="6">
        <v>5</v>
      </c>
      <c r="K233" s="101">
        <v>7</v>
      </c>
      <c r="L233" s="130">
        <v>19</v>
      </c>
      <c r="M233" s="130">
        <v>13</v>
      </c>
      <c r="N233" s="130">
        <v>18</v>
      </c>
      <c r="O233" s="130">
        <v>20</v>
      </c>
      <c r="P233" s="218">
        <f t="shared" si="8"/>
        <v>125</v>
      </c>
    </row>
    <row r="234" spans="1:16" x14ac:dyDescent="0.35">
      <c r="A234" s="229"/>
      <c r="B234" s="234"/>
      <c r="C234" s="25" t="s">
        <v>1722</v>
      </c>
      <c r="D234" s="25" t="s">
        <v>1723</v>
      </c>
      <c r="E234" s="41" t="s">
        <v>1747</v>
      </c>
      <c r="F234" s="26" t="s">
        <v>550</v>
      </c>
      <c r="G234" s="6" t="s">
        <v>549</v>
      </c>
      <c r="H234" s="97">
        <v>10</v>
      </c>
      <c r="I234" s="97">
        <v>11</v>
      </c>
      <c r="J234" s="6">
        <v>31</v>
      </c>
      <c r="K234" s="101">
        <v>38</v>
      </c>
      <c r="L234" s="130">
        <v>11</v>
      </c>
      <c r="M234" s="130">
        <v>16</v>
      </c>
      <c r="N234" s="130">
        <v>40</v>
      </c>
      <c r="O234" s="130">
        <v>41</v>
      </c>
      <c r="P234" s="218">
        <f t="shared" si="8"/>
        <v>198</v>
      </c>
    </row>
    <row r="235" spans="1:16" x14ac:dyDescent="0.35">
      <c r="A235" s="229"/>
      <c r="B235" s="234"/>
      <c r="C235" s="25" t="s">
        <v>1722</v>
      </c>
      <c r="D235" s="25" t="s">
        <v>1723</v>
      </c>
      <c r="E235" s="41" t="s">
        <v>1747</v>
      </c>
      <c r="F235" s="26" t="s">
        <v>550</v>
      </c>
      <c r="G235" s="6" t="s">
        <v>550</v>
      </c>
      <c r="H235" s="97">
        <v>12</v>
      </c>
      <c r="I235" s="97">
        <v>13</v>
      </c>
      <c r="J235" s="6">
        <v>59</v>
      </c>
      <c r="K235" s="101">
        <v>67</v>
      </c>
      <c r="L235" s="130">
        <v>37</v>
      </c>
      <c r="M235" s="130">
        <v>33</v>
      </c>
      <c r="N235" s="130">
        <v>32</v>
      </c>
      <c r="O235" s="130">
        <v>34</v>
      </c>
      <c r="P235" s="218">
        <f t="shared" si="8"/>
        <v>287</v>
      </c>
    </row>
    <row r="236" spans="1:16" x14ac:dyDescent="0.35">
      <c r="A236" s="229"/>
      <c r="B236" s="234"/>
      <c r="C236" s="25" t="s">
        <v>1722</v>
      </c>
      <c r="D236" s="25" t="s">
        <v>1723</v>
      </c>
      <c r="E236" s="41" t="s">
        <v>1747</v>
      </c>
      <c r="F236" s="26" t="s">
        <v>68</v>
      </c>
      <c r="G236" s="6" t="s">
        <v>551</v>
      </c>
      <c r="H236" s="97">
        <v>7</v>
      </c>
      <c r="I236" s="97">
        <v>8</v>
      </c>
      <c r="J236" s="6">
        <v>25</v>
      </c>
      <c r="K236" s="101">
        <v>24</v>
      </c>
      <c r="L236" s="130">
        <v>23</v>
      </c>
      <c r="M236" s="130">
        <v>23</v>
      </c>
      <c r="N236" s="130">
        <v>24</v>
      </c>
      <c r="O236" s="130">
        <v>26</v>
      </c>
      <c r="P236" s="218">
        <f t="shared" si="8"/>
        <v>160</v>
      </c>
    </row>
    <row r="237" spans="1:16" x14ac:dyDescent="0.35">
      <c r="A237" s="229"/>
      <c r="B237" s="234"/>
      <c r="C237" s="25" t="s">
        <v>1722</v>
      </c>
      <c r="D237" s="25" t="s">
        <v>1723</v>
      </c>
      <c r="E237" s="41" t="s">
        <v>1747</v>
      </c>
      <c r="F237" s="26" t="s">
        <v>552</v>
      </c>
      <c r="G237" s="6" t="s">
        <v>552</v>
      </c>
      <c r="H237" s="97">
        <v>7</v>
      </c>
      <c r="I237" s="97">
        <v>8</v>
      </c>
      <c r="J237" s="6">
        <v>44</v>
      </c>
      <c r="K237" s="101">
        <v>56</v>
      </c>
      <c r="L237" s="130">
        <v>12</v>
      </c>
      <c r="M237" s="130">
        <v>14</v>
      </c>
      <c r="N237" s="130">
        <v>30</v>
      </c>
      <c r="O237" s="130">
        <v>25</v>
      </c>
      <c r="P237" s="218">
        <f t="shared" si="8"/>
        <v>196</v>
      </c>
    </row>
    <row r="238" spans="1:16" x14ac:dyDescent="0.35">
      <c r="A238" s="229"/>
      <c r="B238" s="234"/>
      <c r="C238" s="25" t="s">
        <v>1722</v>
      </c>
      <c r="D238" s="25" t="s">
        <v>1723</v>
      </c>
      <c r="E238" s="41" t="s">
        <v>1747</v>
      </c>
      <c r="F238" s="26" t="s">
        <v>550</v>
      </c>
      <c r="G238" s="6" t="s">
        <v>413</v>
      </c>
      <c r="H238" s="97">
        <v>10</v>
      </c>
      <c r="I238" s="97">
        <v>11</v>
      </c>
      <c r="J238" s="6">
        <v>45</v>
      </c>
      <c r="K238" s="101">
        <v>57</v>
      </c>
      <c r="L238" s="130">
        <v>49</v>
      </c>
      <c r="M238" s="130">
        <v>50</v>
      </c>
      <c r="N238" s="130">
        <v>28</v>
      </c>
      <c r="O238" s="130">
        <v>22</v>
      </c>
      <c r="P238" s="218">
        <f t="shared" si="8"/>
        <v>272</v>
      </c>
    </row>
    <row r="239" spans="1:16" x14ac:dyDescent="0.35">
      <c r="A239" s="229"/>
      <c r="B239" s="234"/>
      <c r="C239" s="25" t="s">
        <v>1722</v>
      </c>
      <c r="D239" s="25" t="s">
        <v>1723</v>
      </c>
      <c r="E239" s="41" t="s">
        <v>1747</v>
      </c>
      <c r="F239" s="26" t="s">
        <v>550</v>
      </c>
      <c r="G239" s="6" t="s">
        <v>553</v>
      </c>
      <c r="H239" s="97">
        <v>10</v>
      </c>
      <c r="I239" s="97">
        <v>10</v>
      </c>
      <c r="J239" s="6">
        <v>30</v>
      </c>
      <c r="K239" s="101">
        <v>34</v>
      </c>
      <c r="L239" s="130">
        <v>32</v>
      </c>
      <c r="M239" s="130">
        <v>35</v>
      </c>
      <c r="N239" s="130">
        <v>29</v>
      </c>
      <c r="O239" s="130">
        <v>21</v>
      </c>
      <c r="P239" s="218">
        <f t="shared" si="8"/>
        <v>201</v>
      </c>
    </row>
    <row r="240" spans="1:16" x14ac:dyDescent="0.35">
      <c r="A240" s="229"/>
      <c r="B240" s="234"/>
      <c r="C240" s="25" t="s">
        <v>1722</v>
      </c>
      <c r="D240" s="25" t="s">
        <v>1723</v>
      </c>
      <c r="E240" s="41" t="s">
        <v>1747</v>
      </c>
      <c r="F240" s="26" t="s">
        <v>550</v>
      </c>
      <c r="G240" s="6" t="s">
        <v>554</v>
      </c>
      <c r="H240" s="97">
        <v>12</v>
      </c>
      <c r="I240" s="97">
        <v>13</v>
      </c>
      <c r="J240" s="6">
        <v>24</v>
      </c>
      <c r="K240" s="101">
        <v>25</v>
      </c>
      <c r="L240" s="130">
        <v>12</v>
      </c>
      <c r="M240" s="130">
        <v>14</v>
      </c>
      <c r="N240" s="130">
        <v>27</v>
      </c>
      <c r="O240" s="130">
        <v>21</v>
      </c>
      <c r="P240" s="218">
        <f t="shared" si="8"/>
        <v>148</v>
      </c>
    </row>
    <row r="241" spans="1:16" x14ac:dyDescent="0.35">
      <c r="A241" s="229"/>
      <c r="B241" s="234"/>
      <c r="C241" s="25" t="s">
        <v>1722</v>
      </c>
      <c r="D241" s="25" t="s">
        <v>1723</v>
      </c>
      <c r="E241" s="41" t="s">
        <v>1749</v>
      </c>
      <c r="F241" s="26" t="s">
        <v>1748</v>
      </c>
      <c r="G241" s="6" t="s">
        <v>36</v>
      </c>
      <c r="H241" s="97">
        <v>22</v>
      </c>
      <c r="I241" s="97">
        <v>22</v>
      </c>
      <c r="J241" s="6">
        <v>19</v>
      </c>
      <c r="K241" s="101">
        <v>19</v>
      </c>
      <c r="L241" s="130">
        <v>19</v>
      </c>
      <c r="M241" s="130">
        <v>21</v>
      </c>
      <c r="N241" s="130">
        <v>40</v>
      </c>
      <c r="O241" s="130">
        <v>35</v>
      </c>
      <c r="P241" s="218">
        <f t="shared" si="8"/>
        <v>197</v>
      </c>
    </row>
    <row r="242" spans="1:16" x14ac:dyDescent="0.35">
      <c r="A242" s="229"/>
      <c r="B242" s="234"/>
      <c r="C242" s="25" t="s">
        <v>1722</v>
      </c>
      <c r="D242" s="25" t="s">
        <v>1723</v>
      </c>
      <c r="E242" s="41" t="s">
        <v>1747</v>
      </c>
      <c r="F242" s="26" t="s">
        <v>68</v>
      </c>
      <c r="G242" s="6" t="s">
        <v>68</v>
      </c>
      <c r="H242" s="97">
        <v>15</v>
      </c>
      <c r="I242" s="97">
        <v>16</v>
      </c>
      <c r="J242" s="6">
        <v>64</v>
      </c>
      <c r="K242" s="101">
        <v>65</v>
      </c>
      <c r="L242" s="130">
        <v>23</v>
      </c>
      <c r="M242" s="130">
        <v>25</v>
      </c>
      <c r="N242" s="130">
        <v>43</v>
      </c>
      <c r="O242" s="130">
        <v>40</v>
      </c>
      <c r="P242" s="218">
        <f t="shared" si="8"/>
        <v>291</v>
      </c>
    </row>
    <row r="243" spans="1:16" x14ac:dyDescent="0.35">
      <c r="A243" s="229"/>
      <c r="B243" s="234"/>
      <c r="C243" s="25" t="s">
        <v>1722</v>
      </c>
      <c r="D243" s="25" t="s">
        <v>1723</v>
      </c>
      <c r="E243" s="41" t="s">
        <v>1747</v>
      </c>
      <c r="F243" s="26" t="s">
        <v>68</v>
      </c>
      <c r="G243" s="6" t="s">
        <v>555</v>
      </c>
      <c r="H243" s="97">
        <v>6</v>
      </c>
      <c r="I243" s="97">
        <v>6</v>
      </c>
      <c r="J243" s="6">
        <v>40</v>
      </c>
      <c r="K243" s="101">
        <v>32</v>
      </c>
      <c r="L243" s="130">
        <v>16</v>
      </c>
      <c r="M243" s="130">
        <v>15</v>
      </c>
      <c r="N243" s="130">
        <v>40</v>
      </c>
      <c r="O243" s="130">
        <v>43</v>
      </c>
      <c r="P243" s="218">
        <f t="shared" si="8"/>
        <v>198</v>
      </c>
    </row>
    <row r="244" spans="1:16" x14ac:dyDescent="0.35">
      <c r="A244" s="229"/>
      <c r="B244" s="234"/>
      <c r="C244" s="25" t="s">
        <v>1722</v>
      </c>
      <c r="D244" s="25" t="s">
        <v>1723</v>
      </c>
      <c r="E244" s="41" t="s">
        <v>1749</v>
      </c>
      <c r="F244" s="26" t="s">
        <v>1751</v>
      </c>
      <c r="G244" s="6" t="s">
        <v>556</v>
      </c>
      <c r="H244" s="97">
        <v>11</v>
      </c>
      <c r="I244" s="97">
        <v>12</v>
      </c>
      <c r="J244" s="6">
        <v>41</v>
      </c>
      <c r="K244" s="101">
        <v>49</v>
      </c>
      <c r="L244" s="130">
        <v>50</v>
      </c>
      <c r="M244" s="130">
        <v>60</v>
      </c>
      <c r="N244" s="130">
        <v>58</v>
      </c>
      <c r="O244" s="130">
        <v>67</v>
      </c>
      <c r="P244" s="218">
        <f t="shared" si="8"/>
        <v>348</v>
      </c>
    </row>
    <row r="245" spans="1:16" x14ac:dyDescent="0.35">
      <c r="A245" s="229"/>
      <c r="B245" s="234"/>
      <c r="C245" s="25" t="s">
        <v>1722</v>
      </c>
      <c r="D245" s="25" t="s">
        <v>1723</v>
      </c>
      <c r="E245" s="41" t="s">
        <v>1747</v>
      </c>
      <c r="F245" s="26" t="s">
        <v>68</v>
      </c>
      <c r="G245" s="6" t="s">
        <v>557</v>
      </c>
      <c r="H245" s="97">
        <v>12</v>
      </c>
      <c r="I245" s="97">
        <v>13</v>
      </c>
      <c r="J245" s="6">
        <v>9</v>
      </c>
      <c r="K245" s="101">
        <v>12</v>
      </c>
      <c r="L245" s="130">
        <v>11</v>
      </c>
      <c r="M245" s="130">
        <v>14</v>
      </c>
      <c r="N245" s="130">
        <v>20</v>
      </c>
      <c r="O245" s="130">
        <v>25</v>
      </c>
      <c r="P245" s="218">
        <f t="shared" si="8"/>
        <v>116</v>
      </c>
    </row>
    <row r="246" spans="1:16" x14ac:dyDescent="0.35">
      <c r="A246" s="229"/>
      <c r="B246" s="234"/>
      <c r="C246" s="25" t="s">
        <v>1722</v>
      </c>
      <c r="D246" s="25" t="s">
        <v>1723</v>
      </c>
      <c r="E246" s="41" t="s">
        <v>1747</v>
      </c>
      <c r="F246" s="26" t="s">
        <v>550</v>
      </c>
      <c r="G246" s="6" t="s">
        <v>558</v>
      </c>
      <c r="H246" s="97">
        <v>10</v>
      </c>
      <c r="I246" s="97">
        <v>11</v>
      </c>
      <c r="J246" s="6">
        <v>88</v>
      </c>
      <c r="K246" s="101">
        <v>85</v>
      </c>
      <c r="L246" s="130">
        <v>17</v>
      </c>
      <c r="M246" s="130">
        <v>15</v>
      </c>
      <c r="N246" s="130">
        <v>45</v>
      </c>
      <c r="O246" s="130">
        <v>30</v>
      </c>
      <c r="P246" s="218">
        <f t="shared" si="8"/>
        <v>301</v>
      </c>
    </row>
    <row r="247" spans="1:16" x14ac:dyDescent="0.35">
      <c r="A247" s="229"/>
      <c r="B247" s="234"/>
      <c r="C247" s="25" t="s">
        <v>1722</v>
      </c>
      <c r="D247" s="25" t="s">
        <v>1723</v>
      </c>
      <c r="E247" s="41" t="s">
        <v>1747</v>
      </c>
      <c r="F247" s="26" t="s">
        <v>68</v>
      </c>
      <c r="G247" s="6" t="s">
        <v>559</v>
      </c>
      <c r="H247" s="97">
        <v>10</v>
      </c>
      <c r="I247" s="97">
        <v>10</v>
      </c>
      <c r="J247" s="6">
        <v>86</v>
      </c>
      <c r="K247" s="101">
        <v>89</v>
      </c>
      <c r="L247" s="130">
        <v>13</v>
      </c>
      <c r="M247" s="130">
        <v>12</v>
      </c>
      <c r="N247" s="130">
        <v>30</v>
      </c>
      <c r="O247" s="130">
        <v>45</v>
      </c>
      <c r="P247" s="218">
        <f t="shared" si="8"/>
        <v>295</v>
      </c>
    </row>
    <row r="248" spans="1:16" x14ac:dyDescent="0.35">
      <c r="A248" s="229"/>
      <c r="B248" s="234"/>
      <c r="C248" s="25" t="s">
        <v>1722</v>
      </c>
      <c r="D248" s="25" t="s">
        <v>1723</v>
      </c>
      <c r="E248" s="41" t="s">
        <v>1749</v>
      </c>
      <c r="F248" s="26" t="s">
        <v>1752</v>
      </c>
      <c r="G248" s="6" t="s">
        <v>560</v>
      </c>
      <c r="H248" s="97">
        <v>3</v>
      </c>
      <c r="I248" s="97">
        <v>4</v>
      </c>
      <c r="J248" s="6">
        <v>28</v>
      </c>
      <c r="K248" s="101">
        <v>31</v>
      </c>
      <c r="L248" s="130">
        <v>10</v>
      </c>
      <c r="M248" s="130">
        <v>13</v>
      </c>
      <c r="N248" s="130">
        <v>26</v>
      </c>
      <c r="O248" s="130">
        <v>45</v>
      </c>
      <c r="P248" s="218">
        <f t="shared" si="8"/>
        <v>160</v>
      </c>
    </row>
    <row r="249" spans="1:16" x14ac:dyDescent="0.35">
      <c r="A249" s="229"/>
      <c r="B249" s="234"/>
      <c r="C249" s="25" t="s">
        <v>1722</v>
      </c>
      <c r="D249" s="25" t="s">
        <v>1723</v>
      </c>
      <c r="E249" s="41" t="s">
        <v>1749</v>
      </c>
      <c r="F249" s="26" t="s">
        <v>1753</v>
      </c>
      <c r="G249" s="6" t="s">
        <v>508</v>
      </c>
      <c r="H249" s="97">
        <v>5</v>
      </c>
      <c r="I249" s="97">
        <v>6</v>
      </c>
      <c r="J249" s="6">
        <v>56</v>
      </c>
      <c r="K249" s="101">
        <v>57</v>
      </c>
      <c r="L249" s="130">
        <v>7</v>
      </c>
      <c r="M249" s="130">
        <v>7</v>
      </c>
      <c r="N249" s="130">
        <v>29</v>
      </c>
      <c r="O249" s="130">
        <v>46</v>
      </c>
      <c r="P249" s="218">
        <f t="shared" si="8"/>
        <v>213</v>
      </c>
    </row>
    <row r="250" spans="1:16" x14ac:dyDescent="0.35">
      <c r="A250" s="229"/>
      <c r="B250" s="234"/>
      <c r="C250" s="25" t="s">
        <v>1722</v>
      </c>
      <c r="D250" s="25" t="s">
        <v>1723</v>
      </c>
      <c r="E250" s="25" t="s">
        <v>1730</v>
      </c>
      <c r="F250" s="25" t="s">
        <v>1730</v>
      </c>
      <c r="G250" s="25" t="s">
        <v>1924</v>
      </c>
      <c r="H250" s="97">
        <v>10</v>
      </c>
      <c r="I250" s="97">
        <v>10</v>
      </c>
      <c r="J250" s="25">
        <v>27</v>
      </c>
      <c r="K250" s="101">
        <v>21</v>
      </c>
      <c r="L250" s="131">
        <v>12</v>
      </c>
      <c r="M250" s="131">
        <v>13</v>
      </c>
      <c r="N250" s="131">
        <v>42</v>
      </c>
      <c r="O250" s="131">
        <v>40</v>
      </c>
      <c r="P250" s="218">
        <f t="shared" si="8"/>
        <v>175</v>
      </c>
    </row>
    <row r="251" spans="1:16" x14ac:dyDescent="0.35">
      <c r="A251" s="229"/>
      <c r="B251" s="234"/>
      <c r="C251" s="25" t="s">
        <v>1722</v>
      </c>
      <c r="D251" s="25" t="s">
        <v>1723</v>
      </c>
      <c r="E251" s="25" t="s">
        <v>1730</v>
      </c>
      <c r="F251" s="25" t="s">
        <v>1730</v>
      </c>
      <c r="G251" s="25" t="s">
        <v>1925</v>
      </c>
      <c r="H251" s="97">
        <v>3</v>
      </c>
      <c r="I251" s="97">
        <v>3</v>
      </c>
      <c r="J251" s="25">
        <v>38</v>
      </c>
      <c r="K251" s="101">
        <v>42</v>
      </c>
      <c r="L251" s="131">
        <v>26</v>
      </c>
      <c r="M251" s="131">
        <v>24</v>
      </c>
      <c r="N251" s="131">
        <v>50</v>
      </c>
      <c r="O251" s="131">
        <v>45</v>
      </c>
      <c r="P251" s="218">
        <f t="shared" si="8"/>
        <v>231</v>
      </c>
    </row>
    <row r="252" spans="1:16" x14ac:dyDescent="0.35">
      <c r="A252" s="229"/>
      <c r="B252" s="234"/>
      <c r="C252" s="25" t="s">
        <v>1722</v>
      </c>
      <c r="D252" s="25" t="s">
        <v>1723</v>
      </c>
      <c r="E252" s="25" t="s">
        <v>1730</v>
      </c>
      <c r="F252" s="25" t="s">
        <v>1730</v>
      </c>
      <c r="G252" s="25" t="s">
        <v>1926</v>
      </c>
      <c r="H252" s="97">
        <v>10</v>
      </c>
      <c r="I252" s="97">
        <v>10</v>
      </c>
      <c r="J252" s="25">
        <v>25</v>
      </c>
      <c r="K252" s="101">
        <v>30</v>
      </c>
      <c r="L252" s="131">
        <v>12</v>
      </c>
      <c r="M252" s="131">
        <v>12</v>
      </c>
      <c r="N252" s="131">
        <v>43</v>
      </c>
      <c r="O252" s="131">
        <v>49</v>
      </c>
      <c r="P252" s="218">
        <f t="shared" si="8"/>
        <v>191</v>
      </c>
    </row>
    <row r="253" spans="1:16" x14ac:dyDescent="0.35">
      <c r="A253" s="229"/>
      <c r="B253" s="234"/>
      <c r="C253" s="25" t="s">
        <v>1722</v>
      </c>
      <c r="D253" s="25" t="s">
        <v>1723</v>
      </c>
      <c r="E253" s="25" t="s">
        <v>1730</v>
      </c>
      <c r="F253" s="25" t="s">
        <v>1730</v>
      </c>
      <c r="G253" s="25" t="s">
        <v>1927</v>
      </c>
      <c r="H253" s="97">
        <v>15</v>
      </c>
      <c r="I253" s="97">
        <v>15</v>
      </c>
      <c r="J253" s="25">
        <v>9</v>
      </c>
      <c r="K253" s="101">
        <v>11</v>
      </c>
      <c r="L253" s="131">
        <v>13</v>
      </c>
      <c r="M253" s="131">
        <v>19</v>
      </c>
      <c r="N253" s="131">
        <v>20</v>
      </c>
      <c r="O253" s="131">
        <v>18</v>
      </c>
      <c r="P253" s="218">
        <f t="shared" si="8"/>
        <v>120</v>
      </c>
    </row>
    <row r="254" spans="1:16" x14ac:dyDescent="0.35">
      <c r="A254" s="229"/>
      <c r="B254" s="234"/>
      <c r="C254" s="25" t="s">
        <v>1722</v>
      </c>
      <c r="D254" s="25" t="s">
        <v>1723</v>
      </c>
      <c r="E254" s="25" t="s">
        <v>1730</v>
      </c>
      <c r="F254" s="25" t="s">
        <v>1730</v>
      </c>
      <c r="G254" s="25" t="s">
        <v>1928</v>
      </c>
      <c r="H254" s="97">
        <v>7</v>
      </c>
      <c r="I254" s="97">
        <v>8</v>
      </c>
      <c r="J254" s="25">
        <v>22</v>
      </c>
      <c r="K254" s="101">
        <v>28</v>
      </c>
      <c r="L254" s="131">
        <v>16</v>
      </c>
      <c r="M254" s="131">
        <v>11</v>
      </c>
      <c r="N254" s="131">
        <v>41</v>
      </c>
      <c r="O254" s="131">
        <v>40</v>
      </c>
      <c r="P254" s="218">
        <f t="shared" si="8"/>
        <v>173</v>
      </c>
    </row>
    <row r="255" spans="1:16" x14ac:dyDescent="0.35">
      <c r="A255" s="229"/>
      <c r="B255" s="234"/>
      <c r="C255" s="25" t="s">
        <v>1722</v>
      </c>
      <c r="D255" s="25" t="s">
        <v>1723</v>
      </c>
      <c r="E255" s="25" t="s">
        <v>1730</v>
      </c>
      <c r="F255" s="25" t="s">
        <v>1730</v>
      </c>
      <c r="G255" s="25" t="s">
        <v>40</v>
      </c>
      <c r="H255" s="97">
        <v>17</v>
      </c>
      <c r="I255" s="97">
        <v>18</v>
      </c>
      <c r="J255" s="25">
        <v>34</v>
      </c>
      <c r="K255" s="101">
        <v>37</v>
      </c>
      <c r="L255" s="131">
        <v>33</v>
      </c>
      <c r="M255" s="131">
        <v>37</v>
      </c>
      <c r="N255" s="131">
        <v>34</v>
      </c>
      <c r="O255" s="131">
        <v>32</v>
      </c>
      <c r="P255" s="218">
        <f t="shared" si="8"/>
        <v>242</v>
      </c>
    </row>
    <row r="256" spans="1:16" x14ac:dyDescent="0.35">
      <c r="A256" s="229"/>
      <c r="B256" s="234"/>
      <c r="C256" s="25" t="s">
        <v>1722</v>
      </c>
      <c r="D256" s="25" t="s">
        <v>1723</v>
      </c>
      <c r="E256" s="25" t="s">
        <v>1730</v>
      </c>
      <c r="F256" s="25" t="s">
        <v>1730</v>
      </c>
      <c r="G256" s="25" t="s">
        <v>1730</v>
      </c>
      <c r="H256" s="97">
        <v>25</v>
      </c>
      <c r="I256" s="97">
        <v>26</v>
      </c>
      <c r="J256" s="25">
        <v>43</v>
      </c>
      <c r="K256" s="101">
        <v>57</v>
      </c>
      <c r="L256" s="131">
        <v>23</v>
      </c>
      <c r="M256" s="131">
        <v>23</v>
      </c>
      <c r="N256" s="131">
        <v>26</v>
      </c>
      <c r="O256" s="131">
        <v>24</v>
      </c>
      <c r="P256" s="218">
        <f t="shared" si="8"/>
        <v>247</v>
      </c>
    </row>
    <row r="257" spans="1:16" x14ac:dyDescent="0.35">
      <c r="A257" s="229"/>
      <c r="B257" s="234"/>
      <c r="C257" s="25" t="s">
        <v>1722</v>
      </c>
      <c r="D257" s="25" t="s">
        <v>1723</v>
      </c>
      <c r="E257" s="25" t="s">
        <v>1730</v>
      </c>
      <c r="F257" s="25" t="s">
        <v>1730</v>
      </c>
      <c r="G257" s="25" t="s">
        <v>1929</v>
      </c>
      <c r="H257" s="97">
        <v>3</v>
      </c>
      <c r="I257" s="97">
        <v>3</v>
      </c>
      <c r="J257" s="25">
        <v>9</v>
      </c>
      <c r="K257" s="101">
        <v>10</v>
      </c>
      <c r="L257" s="131">
        <v>14</v>
      </c>
      <c r="M257" s="131">
        <v>12</v>
      </c>
      <c r="N257" s="131">
        <v>25</v>
      </c>
      <c r="O257" s="131">
        <v>30</v>
      </c>
      <c r="P257" s="218">
        <f t="shared" si="8"/>
        <v>106</v>
      </c>
    </row>
    <row r="258" spans="1:16" x14ac:dyDescent="0.35">
      <c r="A258" s="229"/>
      <c r="B258" s="234"/>
      <c r="C258" s="25" t="s">
        <v>1722</v>
      </c>
      <c r="D258" s="25" t="s">
        <v>1723</v>
      </c>
      <c r="E258" s="25" t="s">
        <v>1730</v>
      </c>
      <c r="F258" s="25" t="s">
        <v>1730</v>
      </c>
      <c r="G258" s="25" t="s">
        <v>1930</v>
      </c>
      <c r="H258" s="97">
        <v>5</v>
      </c>
      <c r="I258" s="97">
        <v>5</v>
      </c>
      <c r="J258" s="25">
        <v>40</v>
      </c>
      <c r="K258" s="101">
        <v>32</v>
      </c>
      <c r="L258" s="131">
        <v>50</v>
      </c>
      <c r="M258" s="131">
        <v>49</v>
      </c>
      <c r="N258" s="131">
        <v>22</v>
      </c>
      <c r="O258" s="131">
        <v>28</v>
      </c>
      <c r="P258" s="218">
        <f t="shared" si="8"/>
        <v>231</v>
      </c>
    </row>
    <row r="259" spans="1:16" x14ac:dyDescent="0.35">
      <c r="A259" s="229"/>
      <c r="B259" s="234"/>
      <c r="C259" s="25" t="s">
        <v>1722</v>
      </c>
      <c r="D259" s="25" t="s">
        <v>1723</v>
      </c>
      <c r="E259" s="25" t="s">
        <v>1730</v>
      </c>
      <c r="F259" s="25" t="s">
        <v>1730</v>
      </c>
      <c r="G259" s="25" t="s">
        <v>1931</v>
      </c>
      <c r="H259" s="97">
        <v>12</v>
      </c>
      <c r="I259" s="97">
        <v>13</v>
      </c>
      <c r="J259" s="25">
        <v>41</v>
      </c>
      <c r="K259" s="101">
        <v>61</v>
      </c>
      <c r="L259" s="131">
        <v>35</v>
      </c>
      <c r="M259" s="131">
        <v>32</v>
      </c>
      <c r="N259" s="131">
        <v>21</v>
      </c>
      <c r="O259" s="131">
        <v>29</v>
      </c>
      <c r="P259" s="218">
        <f t="shared" si="8"/>
        <v>244</v>
      </c>
    </row>
    <row r="260" spans="1:16" x14ac:dyDescent="0.35">
      <c r="A260" s="229"/>
      <c r="B260" s="234"/>
      <c r="C260" s="25" t="s">
        <v>1722</v>
      </c>
      <c r="D260" s="25" t="s">
        <v>1723</v>
      </c>
      <c r="E260" s="25" t="s">
        <v>1730</v>
      </c>
      <c r="F260" s="25" t="s">
        <v>1730</v>
      </c>
      <c r="G260" s="25" t="s">
        <v>1932</v>
      </c>
      <c r="H260" s="97">
        <v>15</v>
      </c>
      <c r="I260" s="97">
        <v>15</v>
      </c>
      <c r="J260" s="25">
        <v>26</v>
      </c>
      <c r="K260" s="101">
        <v>24</v>
      </c>
      <c r="L260" s="131">
        <v>14</v>
      </c>
      <c r="M260" s="131">
        <v>12</v>
      </c>
      <c r="N260" s="131">
        <v>21</v>
      </c>
      <c r="O260" s="131">
        <v>27</v>
      </c>
      <c r="P260" s="218">
        <f t="shared" si="8"/>
        <v>154</v>
      </c>
    </row>
    <row r="261" spans="1:16" x14ac:dyDescent="0.35">
      <c r="A261" s="54"/>
      <c r="B261" s="54"/>
      <c r="C261" s="54"/>
      <c r="D261" s="54"/>
      <c r="E261" s="54"/>
      <c r="F261" s="54"/>
      <c r="G261" s="58" t="s">
        <v>2</v>
      </c>
      <c r="H261" s="172">
        <f t="shared" ref="H261:O261" si="10">SUM(H202:H260)</f>
        <v>567</v>
      </c>
      <c r="I261" s="172">
        <f t="shared" si="10"/>
        <v>595</v>
      </c>
      <c r="J261" s="171">
        <f t="shared" si="10"/>
        <v>2002</v>
      </c>
      <c r="K261" s="171">
        <f t="shared" si="10"/>
        <v>2226</v>
      </c>
      <c r="L261" s="129">
        <f t="shared" si="10"/>
        <v>1170</v>
      </c>
      <c r="M261" s="129">
        <f t="shared" si="10"/>
        <v>1185</v>
      </c>
      <c r="N261" s="126">
        <f t="shared" si="10"/>
        <v>1730</v>
      </c>
      <c r="O261" s="126">
        <f t="shared" si="10"/>
        <v>1843</v>
      </c>
      <c r="P261" s="217">
        <f t="shared" si="8"/>
        <v>11318</v>
      </c>
    </row>
    <row r="262" spans="1:16" x14ac:dyDescent="0.35">
      <c r="A262" s="229">
        <v>8</v>
      </c>
      <c r="B262" s="231" t="s">
        <v>1734</v>
      </c>
      <c r="C262" s="25" t="s">
        <v>1722</v>
      </c>
      <c r="D262" s="25" t="s">
        <v>1723</v>
      </c>
      <c r="E262" s="1" t="s">
        <v>1734</v>
      </c>
      <c r="F262" s="1" t="s">
        <v>330</v>
      </c>
      <c r="G262" s="6" t="s">
        <v>561</v>
      </c>
      <c r="H262" s="97">
        <v>6</v>
      </c>
      <c r="I262" s="97">
        <v>6</v>
      </c>
      <c r="J262" s="6">
        <v>42</v>
      </c>
      <c r="K262" s="101">
        <v>41</v>
      </c>
      <c r="L262" s="130">
        <v>5</v>
      </c>
      <c r="M262" s="130">
        <v>7</v>
      </c>
      <c r="N262" s="130">
        <v>9</v>
      </c>
      <c r="O262" s="130">
        <v>8</v>
      </c>
      <c r="P262" s="218">
        <f t="shared" ref="P262:P325" si="11">H262+I262+J262+K262+L262+M262+N262+O262</f>
        <v>124</v>
      </c>
    </row>
    <row r="263" spans="1:16" x14ac:dyDescent="0.35">
      <c r="A263" s="229"/>
      <c r="B263" s="231"/>
      <c r="C263" s="25" t="s">
        <v>1722</v>
      </c>
      <c r="D263" s="25" t="s">
        <v>1723</v>
      </c>
      <c r="E263" s="1" t="s">
        <v>1734</v>
      </c>
      <c r="F263" s="1" t="s">
        <v>1755</v>
      </c>
      <c r="G263" s="6" t="s">
        <v>562</v>
      </c>
      <c r="H263" s="97">
        <v>5</v>
      </c>
      <c r="I263" s="97">
        <v>5</v>
      </c>
      <c r="J263" s="6">
        <v>51</v>
      </c>
      <c r="K263" s="101">
        <v>61</v>
      </c>
      <c r="L263" s="130">
        <v>9</v>
      </c>
      <c r="M263" s="130">
        <v>11</v>
      </c>
      <c r="N263" s="130">
        <v>48</v>
      </c>
      <c r="O263" s="130">
        <v>45</v>
      </c>
      <c r="P263" s="218">
        <f t="shared" si="11"/>
        <v>235</v>
      </c>
    </row>
    <row r="264" spans="1:16" x14ac:dyDescent="0.35">
      <c r="A264" s="229"/>
      <c r="B264" s="231"/>
      <c r="C264" s="25" t="s">
        <v>1722</v>
      </c>
      <c r="D264" s="25" t="s">
        <v>1723</v>
      </c>
      <c r="E264" s="1" t="s">
        <v>1734</v>
      </c>
      <c r="F264" s="1" t="s">
        <v>1755</v>
      </c>
      <c r="G264" s="6" t="s">
        <v>563</v>
      </c>
      <c r="H264" s="97">
        <v>7</v>
      </c>
      <c r="I264" s="97">
        <v>8</v>
      </c>
      <c r="J264" s="6">
        <v>12</v>
      </c>
      <c r="K264" s="101">
        <v>15</v>
      </c>
      <c r="L264" s="130">
        <v>11</v>
      </c>
      <c r="M264" s="130">
        <v>12</v>
      </c>
      <c r="N264" s="130">
        <v>16</v>
      </c>
      <c r="O264" s="130">
        <v>15</v>
      </c>
      <c r="P264" s="218">
        <f t="shared" si="11"/>
        <v>96</v>
      </c>
    </row>
    <row r="265" spans="1:16" x14ac:dyDescent="0.35">
      <c r="A265" s="229"/>
      <c r="B265" s="231"/>
      <c r="C265" s="25" t="s">
        <v>1722</v>
      </c>
      <c r="D265" s="25" t="s">
        <v>1723</v>
      </c>
      <c r="E265" s="1" t="s">
        <v>1734</v>
      </c>
      <c r="F265" s="1" t="s">
        <v>1755</v>
      </c>
      <c r="G265" s="6" t="s">
        <v>529</v>
      </c>
      <c r="H265" s="97">
        <v>10</v>
      </c>
      <c r="I265" s="97">
        <v>10</v>
      </c>
      <c r="J265" s="6">
        <v>52</v>
      </c>
      <c r="K265" s="101">
        <v>55</v>
      </c>
      <c r="L265" s="130">
        <v>38</v>
      </c>
      <c r="M265" s="130">
        <v>35</v>
      </c>
      <c r="N265" s="130">
        <v>52</v>
      </c>
      <c r="O265" s="130">
        <v>50</v>
      </c>
      <c r="P265" s="218">
        <f t="shared" si="11"/>
        <v>302</v>
      </c>
    </row>
    <row r="266" spans="1:16" x14ac:dyDescent="0.35">
      <c r="A266" s="229"/>
      <c r="B266" s="231"/>
      <c r="C266" s="25" t="s">
        <v>1722</v>
      </c>
      <c r="D266" s="25" t="s">
        <v>1723</v>
      </c>
      <c r="E266" s="1" t="s">
        <v>1734</v>
      </c>
      <c r="F266" s="1" t="s">
        <v>1754</v>
      </c>
      <c r="G266" s="6" t="s">
        <v>564</v>
      </c>
      <c r="H266" s="97">
        <v>8</v>
      </c>
      <c r="I266" s="97">
        <v>9</v>
      </c>
      <c r="J266" s="6">
        <v>18</v>
      </c>
      <c r="K266" s="101">
        <v>18</v>
      </c>
      <c r="L266" s="130">
        <v>9</v>
      </c>
      <c r="M266" s="130">
        <v>11</v>
      </c>
      <c r="N266" s="130">
        <v>6</v>
      </c>
      <c r="O266" s="130">
        <v>7</v>
      </c>
      <c r="P266" s="218">
        <f t="shared" si="11"/>
        <v>86</v>
      </c>
    </row>
    <row r="267" spans="1:16" x14ac:dyDescent="0.35">
      <c r="A267" s="229"/>
      <c r="B267" s="231"/>
      <c r="C267" s="25" t="s">
        <v>1722</v>
      </c>
      <c r="D267" s="25" t="s">
        <v>1723</v>
      </c>
      <c r="E267" s="1" t="s">
        <v>1734</v>
      </c>
      <c r="F267" s="1" t="s">
        <v>330</v>
      </c>
      <c r="G267" s="6" t="s">
        <v>565</v>
      </c>
      <c r="H267" s="97">
        <v>3</v>
      </c>
      <c r="I267" s="97">
        <v>4</v>
      </c>
      <c r="J267" s="6">
        <v>6</v>
      </c>
      <c r="K267" s="101">
        <v>8</v>
      </c>
      <c r="L267" s="130">
        <v>3</v>
      </c>
      <c r="M267" s="130">
        <v>5</v>
      </c>
      <c r="N267" s="130">
        <v>12</v>
      </c>
      <c r="O267" s="130">
        <v>15</v>
      </c>
      <c r="P267" s="218">
        <f t="shared" si="11"/>
        <v>56</v>
      </c>
    </row>
    <row r="268" spans="1:16" x14ac:dyDescent="0.35">
      <c r="A268" s="229"/>
      <c r="B268" s="231"/>
      <c r="C268" s="25" t="s">
        <v>1722</v>
      </c>
      <c r="D268" s="25" t="s">
        <v>1723</v>
      </c>
      <c r="E268" s="1" t="s">
        <v>1734</v>
      </c>
      <c r="F268" s="1" t="s">
        <v>330</v>
      </c>
      <c r="G268" s="6" t="s">
        <v>46</v>
      </c>
      <c r="H268" s="97">
        <v>5</v>
      </c>
      <c r="I268" s="97">
        <v>5</v>
      </c>
      <c r="J268" s="6">
        <v>6</v>
      </c>
      <c r="K268" s="101">
        <v>7</v>
      </c>
      <c r="L268" s="130">
        <v>10</v>
      </c>
      <c r="M268" s="130">
        <v>12</v>
      </c>
      <c r="N268" s="130">
        <v>42</v>
      </c>
      <c r="O268" s="130">
        <v>60</v>
      </c>
      <c r="P268" s="218">
        <f t="shared" si="11"/>
        <v>147</v>
      </c>
    </row>
    <row r="269" spans="1:16" x14ac:dyDescent="0.35">
      <c r="A269" s="229"/>
      <c r="B269" s="231"/>
      <c r="C269" s="25" t="s">
        <v>1722</v>
      </c>
      <c r="D269" s="25" t="s">
        <v>1723</v>
      </c>
      <c r="E269" s="1" t="s">
        <v>1734</v>
      </c>
      <c r="F269" s="1" t="s">
        <v>330</v>
      </c>
      <c r="G269" s="6" t="s">
        <v>27</v>
      </c>
      <c r="H269" s="97">
        <v>13</v>
      </c>
      <c r="I269" s="97">
        <v>13</v>
      </c>
      <c r="J269" s="6">
        <v>4</v>
      </c>
      <c r="K269" s="101">
        <v>5</v>
      </c>
      <c r="L269" s="130">
        <v>10</v>
      </c>
      <c r="M269" s="130">
        <v>8</v>
      </c>
      <c r="N269" s="130">
        <v>9</v>
      </c>
      <c r="O269" s="130">
        <v>11</v>
      </c>
      <c r="P269" s="218">
        <f t="shared" si="11"/>
        <v>73</v>
      </c>
    </row>
    <row r="270" spans="1:16" x14ac:dyDescent="0.35">
      <c r="A270" s="229"/>
      <c r="B270" s="231"/>
      <c r="C270" s="25" t="s">
        <v>1722</v>
      </c>
      <c r="D270" s="25" t="s">
        <v>1723</v>
      </c>
      <c r="E270" s="1" t="s">
        <v>1734</v>
      </c>
      <c r="F270" s="1" t="s">
        <v>330</v>
      </c>
      <c r="G270" s="6" t="s">
        <v>565</v>
      </c>
      <c r="H270" s="97">
        <v>6</v>
      </c>
      <c r="I270" s="97">
        <v>6</v>
      </c>
      <c r="J270" s="6">
        <v>14</v>
      </c>
      <c r="K270" s="101">
        <v>18</v>
      </c>
      <c r="L270" s="130">
        <v>9</v>
      </c>
      <c r="M270" s="130">
        <v>9</v>
      </c>
      <c r="N270" s="130">
        <v>11</v>
      </c>
      <c r="O270" s="130">
        <v>7</v>
      </c>
      <c r="P270" s="218">
        <f t="shared" si="11"/>
        <v>80</v>
      </c>
    </row>
    <row r="271" spans="1:16" x14ac:dyDescent="0.35">
      <c r="A271" s="229"/>
      <c r="B271" s="231"/>
      <c r="C271" s="25" t="s">
        <v>1722</v>
      </c>
      <c r="D271" s="25" t="s">
        <v>1723</v>
      </c>
      <c r="E271" s="1" t="s">
        <v>1734</v>
      </c>
      <c r="F271" s="1" t="s">
        <v>330</v>
      </c>
      <c r="G271" s="6" t="s">
        <v>566</v>
      </c>
      <c r="H271" s="97">
        <v>5</v>
      </c>
      <c r="I271" s="97">
        <v>5</v>
      </c>
      <c r="J271" s="6">
        <v>48</v>
      </c>
      <c r="K271" s="101">
        <v>54</v>
      </c>
      <c r="L271" s="130">
        <v>13</v>
      </c>
      <c r="M271" s="130">
        <v>13</v>
      </c>
      <c r="N271" s="130">
        <v>42</v>
      </c>
      <c r="O271" s="130">
        <v>30</v>
      </c>
      <c r="P271" s="218">
        <f t="shared" si="11"/>
        <v>210</v>
      </c>
    </row>
    <row r="272" spans="1:16" x14ac:dyDescent="0.35">
      <c r="A272" s="229"/>
      <c r="B272" s="231"/>
      <c r="C272" s="25" t="s">
        <v>1722</v>
      </c>
      <c r="D272" s="25" t="s">
        <v>1723</v>
      </c>
      <c r="E272" s="1" t="s">
        <v>1734</v>
      </c>
      <c r="F272" s="1" t="s">
        <v>330</v>
      </c>
      <c r="G272" s="6" t="s">
        <v>567</v>
      </c>
      <c r="H272" s="97">
        <v>8</v>
      </c>
      <c r="I272" s="97">
        <v>9</v>
      </c>
      <c r="J272" s="6">
        <v>18</v>
      </c>
      <c r="K272" s="101">
        <v>18</v>
      </c>
      <c r="L272" s="130">
        <v>32</v>
      </c>
      <c r="M272" s="130">
        <v>25</v>
      </c>
      <c r="N272" s="130">
        <v>18</v>
      </c>
      <c r="O272" s="130">
        <v>15</v>
      </c>
      <c r="P272" s="218">
        <f t="shared" si="11"/>
        <v>143</v>
      </c>
    </row>
    <row r="273" spans="1:16" x14ac:dyDescent="0.35">
      <c r="A273" s="229"/>
      <c r="B273" s="231"/>
      <c r="C273" s="25" t="s">
        <v>1722</v>
      </c>
      <c r="D273" s="25" t="s">
        <v>1723</v>
      </c>
      <c r="E273" s="1" t="s">
        <v>1734</v>
      </c>
      <c r="F273" s="1" t="s">
        <v>330</v>
      </c>
      <c r="G273" s="6" t="s">
        <v>568</v>
      </c>
      <c r="H273" s="97">
        <v>5</v>
      </c>
      <c r="I273" s="97">
        <v>5</v>
      </c>
      <c r="J273" s="6">
        <v>11</v>
      </c>
      <c r="K273" s="101">
        <v>14</v>
      </c>
      <c r="L273" s="130">
        <v>13</v>
      </c>
      <c r="M273" s="130">
        <v>15</v>
      </c>
      <c r="N273" s="130">
        <v>23</v>
      </c>
      <c r="O273" s="130">
        <v>25</v>
      </c>
      <c r="P273" s="218">
        <f t="shared" si="11"/>
        <v>111</v>
      </c>
    </row>
    <row r="274" spans="1:16" x14ac:dyDescent="0.35">
      <c r="A274" s="229"/>
      <c r="B274" s="231"/>
      <c r="C274" s="25" t="s">
        <v>1722</v>
      </c>
      <c r="D274" s="25" t="s">
        <v>1723</v>
      </c>
      <c r="E274" s="1" t="s">
        <v>1734</v>
      </c>
      <c r="F274" s="1" t="s">
        <v>1755</v>
      </c>
      <c r="G274" s="6" t="s">
        <v>569</v>
      </c>
      <c r="H274" s="97">
        <v>4</v>
      </c>
      <c r="I274" s="97">
        <v>5</v>
      </c>
      <c r="J274" s="6">
        <v>17</v>
      </c>
      <c r="K274" s="101">
        <v>21</v>
      </c>
      <c r="L274" s="130">
        <v>2</v>
      </c>
      <c r="M274" s="130">
        <v>4</v>
      </c>
      <c r="N274" s="130">
        <v>10</v>
      </c>
      <c r="O274" s="130">
        <v>9</v>
      </c>
      <c r="P274" s="218">
        <f t="shared" si="11"/>
        <v>72</v>
      </c>
    </row>
    <row r="275" spans="1:16" x14ac:dyDescent="0.35">
      <c r="A275" s="229"/>
      <c r="B275" s="231"/>
      <c r="C275" s="25" t="s">
        <v>1722</v>
      </c>
      <c r="D275" s="25" t="s">
        <v>1723</v>
      </c>
      <c r="E275" s="1" t="s">
        <v>1734</v>
      </c>
      <c r="F275" s="1" t="s">
        <v>1755</v>
      </c>
      <c r="G275" s="6" t="s">
        <v>570</v>
      </c>
      <c r="H275" s="97">
        <v>6</v>
      </c>
      <c r="I275" s="97">
        <v>6</v>
      </c>
      <c r="J275" s="6">
        <v>4</v>
      </c>
      <c r="K275" s="101">
        <v>5</v>
      </c>
      <c r="L275" s="130">
        <v>19</v>
      </c>
      <c r="M275" s="130">
        <v>20</v>
      </c>
      <c r="N275" s="130">
        <v>7</v>
      </c>
      <c r="O275" s="130">
        <v>9</v>
      </c>
      <c r="P275" s="218">
        <f t="shared" si="11"/>
        <v>76</v>
      </c>
    </row>
    <row r="276" spans="1:16" x14ac:dyDescent="0.35">
      <c r="A276" s="229"/>
      <c r="B276" s="231"/>
      <c r="C276" s="25" t="s">
        <v>1722</v>
      </c>
      <c r="D276" s="25" t="s">
        <v>1723</v>
      </c>
      <c r="E276" s="1" t="s">
        <v>1734</v>
      </c>
      <c r="F276" s="1" t="s">
        <v>1755</v>
      </c>
      <c r="G276" s="6" t="s">
        <v>571</v>
      </c>
      <c r="H276" s="97">
        <v>6</v>
      </c>
      <c r="I276" s="97">
        <v>6</v>
      </c>
      <c r="J276" s="6">
        <v>16</v>
      </c>
      <c r="K276" s="101">
        <v>23</v>
      </c>
      <c r="L276" s="130">
        <v>11</v>
      </c>
      <c r="M276" s="130">
        <v>9</v>
      </c>
      <c r="N276" s="130">
        <v>8</v>
      </c>
      <c r="O276" s="130">
        <v>6</v>
      </c>
      <c r="P276" s="218">
        <f t="shared" si="11"/>
        <v>85</v>
      </c>
    </row>
    <row r="277" spans="1:16" x14ac:dyDescent="0.35">
      <c r="A277" s="229"/>
      <c r="B277" s="231"/>
      <c r="C277" s="25" t="s">
        <v>1722</v>
      </c>
      <c r="D277" s="25" t="s">
        <v>1723</v>
      </c>
      <c r="E277" s="1" t="s">
        <v>1734</v>
      </c>
      <c r="F277" s="1" t="s">
        <v>1754</v>
      </c>
      <c r="G277" s="6" t="s">
        <v>62</v>
      </c>
      <c r="H277" s="97">
        <v>7</v>
      </c>
      <c r="I277" s="97">
        <v>8</v>
      </c>
      <c r="J277" s="6">
        <v>20</v>
      </c>
      <c r="K277" s="101">
        <v>19</v>
      </c>
      <c r="L277" s="130">
        <v>8</v>
      </c>
      <c r="M277" s="130">
        <v>7</v>
      </c>
      <c r="N277" s="130">
        <v>11</v>
      </c>
      <c r="O277" s="130">
        <v>13</v>
      </c>
      <c r="P277" s="218">
        <f t="shared" si="11"/>
        <v>93</v>
      </c>
    </row>
    <row r="278" spans="1:16" x14ac:dyDescent="0.35">
      <c r="A278" s="54"/>
      <c r="B278" s="54"/>
      <c r="C278" s="54"/>
      <c r="D278" s="54"/>
      <c r="E278" s="54"/>
      <c r="F278" s="54"/>
      <c r="G278" s="58" t="s">
        <v>2</v>
      </c>
      <c r="H278" s="172">
        <f t="shared" ref="H278:O278" si="12">SUM(H262:H277)</f>
        <v>104</v>
      </c>
      <c r="I278" s="172">
        <f t="shared" si="12"/>
        <v>110</v>
      </c>
      <c r="J278" s="171">
        <f t="shared" si="12"/>
        <v>339</v>
      </c>
      <c r="K278" s="171">
        <f t="shared" si="12"/>
        <v>382</v>
      </c>
      <c r="L278" s="129">
        <f t="shared" si="12"/>
        <v>202</v>
      </c>
      <c r="M278" s="129">
        <f t="shared" si="12"/>
        <v>203</v>
      </c>
      <c r="N278" s="126">
        <f t="shared" si="12"/>
        <v>324</v>
      </c>
      <c r="O278" s="126">
        <f t="shared" si="12"/>
        <v>325</v>
      </c>
      <c r="P278" s="217">
        <f t="shared" si="11"/>
        <v>1989</v>
      </c>
    </row>
    <row r="279" spans="1:16" x14ac:dyDescent="0.35">
      <c r="A279" s="229">
        <v>9</v>
      </c>
      <c r="B279" s="235" t="s">
        <v>1890</v>
      </c>
      <c r="C279" s="25" t="s">
        <v>1722</v>
      </c>
      <c r="D279" s="25" t="s">
        <v>1723</v>
      </c>
      <c r="E279" s="68" t="s">
        <v>1762</v>
      </c>
      <c r="F279" s="68" t="s">
        <v>1756</v>
      </c>
      <c r="G279" s="28" t="s">
        <v>572</v>
      </c>
      <c r="H279" s="97">
        <v>7</v>
      </c>
      <c r="I279" s="97">
        <v>8</v>
      </c>
      <c r="J279" s="64">
        <v>48</v>
      </c>
      <c r="K279" s="101">
        <v>41</v>
      </c>
      <c r="L279" s="130">
        <v>20</v>
      </c>
      <c r="M279" s="130">
        <v>17</v>
      </c>
      <c r="N279" s="130">
        <v>30</v>
      </c>
      <c r="O279" s="130">
        <v>25</v>
      </c>
      <c r="P279" s="218">
        <f t="shared" si="11"/>
        <v>196</v>
      </c>
    </row>
    <row r="280" spans="1:16" x14ac:dyDescent="0.35">
      <c r="A280" s="229"/>
      <c r="B280" s="235"/>
      <c r="C280" s="25" t="s">
        <v>1722</v>
      </c>
      <c r="D280" s="25" t="s">
        <v>1723</v>
      </c>
      <c r="E280" s="68" t="s">
        <v>1762</v>
      </c>
      <c r="F280" s="68" t="s">
        <v>1757</v>
      </c>
      <c r="G280" s="28" t="s">
        <v>573</v>
      </c>
      <c r="H280" s="97">
        <v>7</v>
      </c>
      <c r="I280" s="97">
        <v>8</v>
      </c>
      <c r="J280" s="64">
        <v>23</v>
      </c>
      <c r="K280" s="101">
        <v>24</v>
      </c>
      <c r="L280" s="130">
        <v>16</v>
      </c>
      <c r="M280" s="130">
        <v>15</v>
      </c>
      <c r="N280" s="130">
        <v>33</v>
      </c>
      <c r="O280" s="130">
        <v>25</v>
      </c>
      <c r="P280" s="218">
        <f t="shared" si="11"/>
        <v>151</v>
      </c>
    </row>
    <row r="281" spans="1:16" x14ac:dyDescent="0.35">
      <c r="A281" s="229"/>
      <c r="B281" s="235"/>
      <c r="C281" s="25" t="s">
        <v>1722</v>
      </c>
      <c r="D281" s="25" t="s">
        <v>1723</v>
      </c>
      <c r="E281" s="68" t="s">
        <v>1762</v>
      </c>
      <c r="F281" s="68" t="s">
        <v>1757</v>
      </c>
      <c r="G281" s="28" t="s">
        <v>574</v>
      </c>
      <c r="H281" s="97">
        <v>4</v>
      </c>
      <c r="I281" s="97">
        <v>4</v>
      </c>
      <c r="J281" s="64">
        <v>24</v>
      </c>
      <c r="K281" s="101">
        <v>25</v>
      </c>
      <c r="L281" s="130">
        <v>20</v>
      </c>
      <c r="M281" s="130">
        <v>21</v>
      </c>
      <c r="N281" s="130">
        <v>44</v>
      </c>
      <c r="O281" s="130">
        <v>40</v>
      </c>
      <c r="P281" s="218">
        <f t="shared" si="11"/>
        <v>182</v>
      </c>
    </row>
    <row r="282" spans="1:16" x14ac:dyDescent="0.35">
      <c r="A282" s="229"/>
      <c r="B282" s="235"/>
      <c r="C282" s="25" t="s">
        <v>1722</v>
      </c>
      <c r="D282" s="25" t="s">
        <v>1723</v>
      </c>
      <c r="E282" s="68" t="s">
        <v>1762</v>
      </c>
      <c r="F282" s="68" t="s">
        <v>1756</v>
      </c>
      <c r="G282" s="28" t="s">
        <v>575</v>
      </c>
      <c r="H282" s="97">
        <v>9</v>
      </c>
      <c r="I282" s="97">
        <v>9</v>
      </c>
      <c r="J282" s="64">
        <v>44</v>
      </c>
      <c r="K282" s="101">
        <v>45</v>
      </c>
      <c r="L282" s="130">
        <v>21</v>
      </c>
      <c r="M282" s="130">
        <v>22</v>
      </c>
      <c r="N282" s="130">
        <v>30</v>
      </c>
      <c r="O282" s="130">
        <v>35</v>
      </c>
      <c r="P282" s="218">
        <f t="shared" si="11"/>
        <v>215</v>
      </c>
    </row>
    <row r="283" spans="1:16" x14ac:dyDescent="0.35">
      <c r="A283" s="229"/>
      <c r="B283" s="235"/>
      <c r="C283" s="25" t="s">
        <v>1722</v>
      </c>
      <c r="D283" s="25" t="s">
        <v>1723</v>
      </c>
      <c r="E283" s="68" t="s">
        <v>1762</v>
      </c>
      <c r="F283" s="68" t="s">
        <v>1758</v>
      </c>
      <c r="G283" s="28" t="s">
        <v>576</v>
      </c>
      <c r="H283" s="97">
        <v>12</v>
      </c>
      <c r="I283" s="97">
        <v>13</v>
      </c>
      <c r="J283" s="64">
        <v>17</v>
      </c>
      <c r="K283" s="101">
        <v>18</v>
      </c>
      <c r="L283" s="130">
        <v>8</v>
      </c>
      <c r="M283" s="130">
        <v>8</v>
      </c>
      <c r="N283" s="130">
        <v>8</v>
      </c>
      <c r="O283" s="130">
        <v>7</v>
      </c>
      <c r="P283" s="218">
        <f t="shared" si="11"/>
        <v>91</v>
      </c>
    </row>
    <row r="284" spans="1:16" x14ac:dyDescent="0.35">
      <c r="A284" s="229"/>
      <c r="B284" s="235"/>
      <c r="C284" s="25" t="s">
        <v>1722</v>
      </c>
      <c r="D284" s="25" t="s">
        <v>1723</v>
      </c>
      <c r="E284" s="68" t="s">
        <v>1762</v>
      </c>
      <c r="F284" s="68" t="s">
        <v>1759</v>
      </c>
      <c r="G284" s="28" t="s">
        <v>577</v>
      </c>
      <c r="H284" s="97">
        <v>4</v>
      </c>
      <c r="I284" s="97">
        <v>5</v>
      </c>
      <c r="J284" s="64">
        <v>46</v>
      </c>
      <c r="K284" s="101">
        <v>50</v>
      </c>
      <c r="L284" s="130">
        <v>7</v>
      </c>
      <c r="M284" s="130">
        <v>9</v>
      </c>
      <c r="N284" s="130">
        <v>29</v>
      </c>
      <c r="O284" s="130">
        <v>30</v>
      </c>
      <c r="P284" s="218">
        <f t="shared" si="11"/>
        <v>180</v>
      </c>
    </row>
    <row r="285" spans="1:16" x14ac:dyDescent="0.35">
      <c r="A285" s="229"/>
      <c r="B285" s="235"/>
      <c r="C285" s="25" t="s">
        <v>1722</v>
      </c>
      <c r="D285" s="25" t="s">
        <v>1723</v>
      </c>
      <c r="E285" s="68" t="s">
        <v>1762</v>
      </c>
      <c r="F285" s="68" t="s">
        <v>1759</v>
      </c>
      <c r="G285" s="28" t="s">
        <v>578</v>
      </c>
      <c r="H285" s="97">
        <v>7</v>
      </c>
      <c r="I285" s="97">
        <v>8</v>
      </c>
      <c r="J285" s="64">
        <v>26</v>
      </c>
      <c r="K285" s="101">
        <v>28</v>
      </c>
      <c r="L285" s="130">
        <v>7</v>
      </c>
      <c r="M285" s="130">
        <v>5</v>
      </c>
      <c r="N285" s="130">
        <v>12</v>
      </c>
      <c r="O285" s="130">
        <v>22</v>
      </c>
      <c r="P285" s="218">
        <f t="shared" si="11"/>
        <v>115</v>
      </c>
    </row>
    <row r="286" spans="1:16" x14ac:dyDescent="0.35">
      <c r="A286" s="229"/>
      <c r="B286" s="235"/>
      <c r="C286" s="25" t="s">
        <v>1722</v>
      </c>
      <c r="D286" s="25" t="s">
        <v>1723</v>
      </c>
      <c r="E286" s="68" t="s">
        <v>1761</v>
      </c>
      <c r="F286" s="68" t="s">
        <v>543</v>
      </c>
      <c r="G286" s="28" t="s">
        <v>579</v>
      </c>
      <c r="H286" s="97">
        <v>1</v>
      </c>
      <c r="I286" s="97">
        <v>2</v>
      </c>
      <c r="J286" s="64">
        <v>25</v>
      </c>
      <c r="K286" s="101">
        <v>26</v>
      </c>
      <c r="L286" s="130">
        <v>9</v>
      </c>
      <c r="M286" s="130">
        <v>7</v>
      </c>
      <c r="N286" s="130">
        <v>19</v>
      </c>
      <c r="O286" s="130">
        <v>11</v>
      </c>
      <c r="P286" s="218">
        <f t="shared" si="11"/>
        <v>100</v>
      </c>
    </row>
    <row r="287" spans="1:16" x14ac:dyDescent="0.35">
      <c r="A287" s="229"/>
      <c r="B287" s="235"/>
      <c r="C287" s="25" t="s">
        <v>1722</v>
      </c>
      <c r="D287" s="25" t="s">
        <v>1723</v>
      </c>
      <c r="E287" s="68" t="s">
        <v>1762</v>
      </c>
      <c r="F287" s="68" t="s">
        <v>1757</v>
      </c>
      <c r="G287" s="28" t="s">
        <v>580</v>
      </c>
      <c r="H287" s="97">
        <v>6</v>
      </c>
      <c r="I287" s="97">
        <v>7</v>
      </c>
      <c r="J287" s="64">
        <v>32</v>
      </c>
      <c r="K287" s="101">
        <v>38</v>
      </c>
      <c r="L287" s="130">
        <v>18</v>
      </c>
      <c r="M287" s="130">
        <v>22</v>
      </c>
      <c r="N287" s="130">
        <v>44</v>
      </c>
      <c r="O287" s="130">
        <v>35</v>
      </c>
      <c r="P287" s="218">
        <f t="shared" si="11"/>
        <v>202</v>
      </c>
    </row>
    <row r="288" spans="1:16" x14ac:dyDescent="0.35">
      <c r="A288" s="229"/>
      <c r="B288" s="235"/>
      <c r="C288" s="25" t="s">
        <v>1722</v>
      </c>
      <c r="D288" s="25" t="s">
        <v>1723</v>
      </c>
      <c r="E288" s="68" t="s">
        <v>1761</v>
      </c>
      <c r="F288" s="68" t="s">
        <v>543</v>
      </c>
      <c r="G288" s="28" t="s">
        <v>581</v>
      </c>
      <c r="H288" s="97">
        <v>3</v>
      </c>
      <c r="I288" s="97">
        <v>4</v>
      </c>
      <c r="J288" s="64">
        <v>2</v>
      </c>
      <c r="K288" s="101">
        <v>3</v>
      </c>
      <c r="L288" s="130">
        <v>4</v>
      </c>
      <c r="M288" s="130">
        <v>2</v>
      </c>
      <c r="N288" s="130">
        <v>3</v>
      </c>
      <c r="O288" s="130">
        <v>1</v>
      </c>
      <c r="P288" s="218">
        <f t="shared" si="11"/>
        <v>22</v>
      </c>
    </row>
    <row r="289" spans="1:16" x14ac:dyDescent="0.35">
      <c r="A289" s="229"/>
      <c r="B289" s="235"/>
      <c r="C289" s="25" t="s">
        <v>1722</v>
      </c>
      <c r="D289" s="25" t="s">
        <v>1723</v>
      </c>
      <c r="E289" s="68" t="s">
        <v>1761</v>
      </c>
      <c r="F289" s="68" t="s">
        <v>1760</v>
      </c>
      <c r="G289" s="28" t="s">
        <v>582</v>
      </c>
      <c r="H289" s="97">
        <v>1</v>
      </c>
      <c r="I289" s="97">
        <v>2</v>
      </c>
      <c r="J289" s="64">
        <v>3</v>
      </c>
      <c r="K289" s="101">
        <v>5</v>
      </c>
      <c r="L289" s="130">
        <v>2</v>
      </c>
      <c r="M289" s="130">
        <v>0</v>
      </c>
      <c r="N289" s="130">
        <v>5</v>
      </c>
      <c r="O289" s="130">
        <v>3</v>
      </c>
      <c r="P289" s="218">
        <f t="shared" si="11"/>
        <v>21</v>
      </c>
    </row>
    <row r="290" spans="1:16" x14ac:dyDescent="0.35">
      <c r="A290" s="229"/>
      <c r="B290" s="235"/>
      <c r="C290" s="25" t="s">
        <v>1722</v>
      </c>
      <c r="D290" s="25" t="s">
        <v>1723</v>
      </c>
      <c r="E290" s="68" t="s">
        <v>1761</v>
      </c>
      <c r="F290" s="68" t="s">
        <v>1760</v>
      </c>
      <c r="G290" s="28" t="s">
        <v>583</v>
      </c>
      <c r="H290" s="97">
        <v>5</v>
      </c>
      <c r="I290" s="97">
        <v>5</v>
      </c>
      <c r="J290" s="64">
        <v>17</v>
      </c>
      <c r="K290" s="101">
        <v>18</v>
      </c>
      <c r="L290" s="130">
        <v>10</v>
      </c>
      <c r="M290" s="130">
        <v>8</v>
      </c>
      <c r="N290" s="130">
        <v>11</v>
      </c>
      <c r="O290" s="130">
        <v>15</v>
      </c>
      <c r="P290" s="218">
        <f t="shared" si="11"/>
        <v>89</v>
      </c>
    </row>
    <row r="291" spans="1:16" x14ac:dyDescent="0.35">
      <c r="A291" s="229"/>
      <c r="B291" s="235"/>
      <c r="C291" s="25" t="s">
        <v>1722</v>
      </c>
      <c r="D291" s="25" t="s">
        <v>1723</v>
      </c>
      <c r="E291" s="68" t="s">
        <v>1761</v>
      </c>
      <c r="F291" s="68" t="s">
        <v>543</v>
      </c>
      <c r="G291" s="28" t="s">
        <v>584</v>
      </c>
      <c r="H291" s="97">
        <v>0</v>
      </c>
      <c r="I291" s="97">
        <v>1</v>
      </c>
      <c r="J291" s="64">
        <v>3</v>
      </c>
      <c r="K291" s="101">
        <v>7</v>
      </c>
      <c r="L291" s="130">
        <v>6</v>
      </c>
      <c r="M291" s="130">
        <v>6</v>
      </c>
      <c r="N291" s="130">
        <v>3</v>
      </c>
      <c r="O291" s="130">
        <v>4</v>
      </c>
      <c r="P291" s="218">
        <f t="shared" si="11"/>
        <v>30</v>
      </c>
    </row>
    <row r="292" spans="1:16" x14ac:dyDescent="0.35">
      <c r="A292" s="229"/>
      <c r="B292" s="235"/>
      <c r="C292" s="25" t="s">
        <v>1722</v>
      </c>
      <c r="D292" s="25" t="s">
        <v>1723</v>
      </c>
      <c r="E292" s="68" t="s">
        <v>1761</v>
      </c>
      <c r="F292" s="68" t="s">
        <v>1759</v>
      </c>
      <c r="G292" s="28" t="s">
        <v>585</v>
      </c>
      <c r="H292" s="97">
        <v>3</v>
      </c>
      <c r="I292" s="97">
        <v>3</v>
      </c>
      <c r="J292" s="64">
        <v>16</v>
      </c>
      <c r="K292" s="101">
        <v>15</v>
      </c>
      <c r="L292" s="130">
        <v>5</v>
      </c>
      <c r="M292" s="130">
        <v>7</v>
      </c>
      <c r="N292" s="130">
        <v>16</v>
      </c>
      <c r="O292" s="130">
        <v>15</v>
      </c>
      <c r="P292" s="218">
        <f t="shared" si="11"/>
        <v>80</v>
      </c>
    </row>
    <row r="293" spans="1:16" x14ac:dyDescent="0.35">
      <c r="A293" s="229"/>
      <c r="B293" s="235"/>
      <c r="C293" s="25" t="s">
        <v>1722</v>
      </c>
      <c r="D293" s="25" t="s">
        <v>1723</v>
      </c>
      <c r="E293" s="68" t="s">
        <v>1761</v>
      </c>
      <c r="F293" s="68" t="s">
        <v>1760</v>
      </c>
      <c r="G293" s="28" t="s">
        <v>586</v>
      </c>
      <c r="H293" s="97">
        <v>2</v>
      </c>
      <c r="I293" s="97">
        <v>3</v>
      </c>
      <c r="J293" s="64">
        <v>14</v>
      </c>
      <c r="K293" s="101">
        <v>16</v>
      </c>
      <c r="L293" s="130">
        <v>11</v>
      </c>
      <c r="M293" s="130">
        <v>11</v>
      </c>
      <c r="N293" s="130">
        <v>14</v>
      </c>
      <c r="O293" s="130">
        <v>16</v>
      </c>
      <c r="P293" s="218">
        <f t="shared" si="11"/>
        <v>87</v>
      </c>
    </row>
    <row r="294" spans="1:16" x14ac:dyDescent="0.35">
      <c r="A294" s="229"/>
      <c r="B294" s="235"/>
      <c r="C294" s="25" t="s">
        <v>1722</v>
      </c>
      <c r="D294" s="25" t="s">
        <v>1723</v>
      </c>
      <c r="E294" s="68" t="s">
        <v>1761</v>
      </c>
      <c r="F294" s="68" t="s">
        <v>1760</v>
      </c>
      <c r="G294" s="28" t="s">
        <v>587</v>
      </c>
      <c r="H294" s="97">
        <v>6</v>
      </c>
      <c r="I294" s="97">
        <v>6</v>
      </c>
      <c r="J294" s="64">
        <v>11</v>
      </c>
      <c r="K294" s="101">
        <v>14</v>
      </c>
      <c r="L294" s="130">
        <v>13</v>
      </c>
      <c r="M294" s="130">
        <v>12</v>
      </c>
      <c r="N294" s="130">
        <v>12</v>
      </c>
      <c r="O294" s="130">
        <v>14</v>
      </c>
      <c r="P294" s="218">
        <f t="shared" si="11"/>
        <v>88</v>
      </c>
    </row>
    <row r="295" spans="1:16" x14ac:dyDescent="0.35">
      <c r="A295" s="229"/>
      <c r="B295" s="235"/>
      <c r="C295" s="25" t="s">
        <v>1722</v>
      </c>
      <c r="D295" s="25" t="s">
        <v>1723</v>
      </c>
      <c r="E295" s="68" t="s">
        <v>1761</v>
      </c>
      <c r="F295" s="68" t="s">
        <v>1760</v>
      </c>
      <c r="G295" s="28" t="s">
        <v>588</v>
      </c>
      <c r="H295" s="97">
        <v>6</v>
      </c>
      <c r="I295" s="97">
        <v>6</v>
      </c>
      <c r="J295" s="64">
        <v>0</v>
      </c>
      <c r="K295" s="101">
        <v>1</v>
      </c>
      <c r="L295" s="130">
        <v>13</v>
      </c>
      <c r="M295" s="130">
        <v>11</v>
      </c>
      <c r="N295" s="130">
        <v>11</v>
      </c>
      <c r="O295" s="130">
        <v>10</v>
      </c>
      <c r="P295" s="218">
        <f t="shared" si="11"/>
        <v>58</v>
      </c>
    </row>
    <row r="296" spans="1:16" x14ac:dyDescent="0.35">
      <c r="A296" s="229"/>
      <c r="B296" s="235"/>
      <c r="C296" s="25" t="s">
        <v>1722</v>
      </c>
      <c r="D296" s="25" t="s">
        <v>1723</v>
      </c>
      <c r="E296" s="68" t="s">
        <v>1761</v>
      </c>
      <c r="F296" s="68" t="s">
        <v>1760</v>
      </c>
      <c r="G296" s="28" t="s">
        <v>589</v>
      </c>
      <c r="H296" s="97">
        <v>6</v>
      </c>
      <c r="I296" s="97">
        <v>7</v>
      </c>
      <c r="J296" s="64">
        <v>0</v>
      </c>
      <c r="K296" s="101">
        <v>1</v>
      </c>
      <c r="L296" s="130">
        <v>12</v>
      </c>
      <c r="M296" s="130">
        <v>14</v>
      </c>
      <c r="N296" s="130">
        <v>14</v>
      </c>
      <c r="O296" s="130">
        <v>11</v>
      </c>
      <c r="P296" s="218">
        <f t="shared" si="11"/>
        <v>65</v>
      </c>
    </row>
    <row r="297" spans="1:16" x14ac:dyDescent="0.35">
      <c r="A297" s="229"/>
      <c r="B297" s="235"/>
      <c r="C297" s="25" t="s">
        <v>1722</v>
      </c>
      <c r="D297" s="25" t="s">
        <v>1723</v>
      </c>
      <c r="E297" s="68" t="s">
        <v>1761</v>
      </c>
      <c r="F297" s="68" t="s">
        <v>1760</v>
      </c>
      <c r="G297" s="28" t="s">
        <v>590</v>
      </c>
      <c r="H297" s="97">
        <v>2</v>
      </c>
      <c r="I297" s="97">
        <v>2</v>
      </c>
      <c r="J297" s="64">
        <v>16</v>
      </c>
      <c r="K297" s="101">
        <v>14</v>
      </c>
      <c r="L297" s="130">
        <v>21</v>
      </c>
      <c r="M297" s="130">
        <v>15</v>
      </c>
      <c r="N297" s="130">
        <v>10</v>
      </c>
      <c r="O297" s="130">
        <v>12</v>
      </c>
      <c r="P297" s="218">
        <f t="shared" si="11"/>
        <v>92</v>
      </c>
    </row>
    <row r="298" spans="1:16" x14ac:dyDescent="0.35">
      <c r="A298" s="229"/>
      <c r="B298" s="235"/>
      <c r="C298" s="25" t="s">
        <v>1722</v>
      </c>
      <c r="D298" s="25" t="s">
        <v>1723</v>
      </c>
      <c r="E298" s="68" t="s">
        <v>1761</v>
      </c>
      <c r="F298" s="68" t="s">
        <v>543</v>
      </c>
      <c r="G298" s="28" t="s">
        <v>591</v>
      </c>
      <c r="H298" s="97">
        <v>2</v>
      </c>
      <c r="I298" s="97">
        <v>2</v>
      </c>
      <c r="J298" s="64">
        <v>17</v>
      </c>
      <c r="K298" s="101">
        <v>13</v>
      </c>
      <c r="L298" s="130">
        <v>9</v>
      </c>
      <c r="M298" s="130">
        <v>11</v>
      </c>
      <c r="N298" s="130">
        <v>8</v>
      </c>
      <c r="O298" s="130">
        <v>13</v>
      </c>
      <c r="P298" s="218">
        <f t="shared" si="11"/>
        <v>75</v>
      </c>
    </row>
    <row r="299" spans="1:16" x14ac:dyDescent="0.35">
      <c r="A299" s="229"/>
      <c r="B299" s="235"/>
      <c r="C299" s="25" t="s">
        <v>1722</v>
      </c>
      <c r="D299" s="25" t="s">
        <v>1723</v>
      </c>
      <c r="E299" s="68" t="s">
        <v>1761</v>
      </c>
      <c r="F299" s="68" t="s">
        <v>1763</v>
      </c>
      <c r="G299" s="28" t="s">
        <v>592</v>
      </c>
      <c r="H299" s="97">
        <v>2</v>
      </c>
      <c r="I299" s="97">
        <v>3</v>
      </c>
      <c r="J299" s="64">
        <v>5</v>
      </c>
      <c r="K299" s="101">
        <v>3</v>
      </c>
      <c r="L299" s="130">
        <v>2</v>
      </c>
      <c r="M299" s="130">
        <v>2</v>
      </c>
      <c r="N299" s="130">
        <v>5</v>
      </c>
      <c r="O299" s="130">
        <v>4</v>
      </c>
      <c r="P299" s="218">
        <f t="shared" si="11"/>
        <v>26</v>
      </c>
    </row>
    <row r="300" spans="1:16" x14ac:dyDescent="0.35">
      <c r="A300" s="229"/>
      <c r="B300" s="235"/>
      <c r="C300" s="25" t="s">
        <v>1722</v>
      </c>
      <c r="D300" s="25" t="s">
        <v>1723</v>
      </c>
      <c r="E300" s="68" t="s">
        <v>1761</v>
      </c>
      <c r="F300" s="68" t="s">
        <v>1764</v>
      </c>
      <c r="G300" s="28" t="s">
        <v>593</v>
      </c>
      <c r="H300" s="97">
        <v>5</v>
      </c>
      <c r="I300" s="97">
        <v>5</v>
      </c>
      <c r="J300" s="64">
        <v>8</v>
      </c>
      <c r="K300" s="101">
        <v>7</v>
      </c>
      <c r="L300" s="130">
        <v>13</v>
      </c>
      <c r="M300" s="130">
        <v>11</v>
      </c>
      <c r="N300" s="130">
        <v>7</v>
      </c>
      <c r="O300" s="130">
        <v>3</v>
      </c>
      <c r="P300" s="218">
        <f t="shared" si="11"/>
        <v>59</v>
      </c>
    </row>
    <row r="301" spans="1:16" x14ac:dyDescent="0.35">
      <c r="A301" s="229"/>
      <c r="B301" s="235"/>
      <c r="C301" s="25" t="s">
        <v>1722</v>
      </c>
      <c r="D301" s="25" t="s">
        <v>1723</v>
      </c>
      <c r="E301" s="68" t="s">
        <v>1761</v>
      </c>
      <c r="F301" s="68" t="s">
        <v>543</v>
      </c>
      <c r="G301" s="28" t="s">
        <v>594</v>
      </c>
      <c r="H301" s="97">
        <v>1</v>
      </c>
      <c r="I301" s="97">
        <v>2</v>
      </c>
      <c r="J301" s="64">
        <v>7</v>
      </c>
      <c r="K301" s="101">
        <v>6</v>
      </c>
      <c r="L301" s="130">
        <v>5</v>
      </c>
      <c r="M301" s="130">
        <v>7</v>
      </c>
      <c r="N301" s="130">
        <v>4</v>
      </c>
      <c r="O301" s="130">
        <v>7</v>
      </c>
      <c r="P301" s="218">
        <f t="shared" si="11"/>
        <v>39</v>
      </c>
    </row>
    <row r="302" spans="1:16" x14ac:dyDescent="0.35">
      <c r="A302" s="229"/>
      <c r="B302" s="235"/>
      <c r="C302" s="25" t="s">
        <v>1722</v>
      </c>
      <c r="D302" s="25" t="s">
        <v>1723</v>
      </c>
      <c r="E302" s="68" t="s">
        <v>1762</v>
      </c>
      <c r="F302" s="68" t="s">
        <v>1758</v>
      </c>
      <c r="G302" s="28" t="s">
        <v>595</v>
      </c>
      <c r="H302" s="97">
        <v>6</v>
      </c>
      <c r="I302" s="97">
        <v>7</v>
      </c>
      <c r="J302" s="64">
        <v>27</v>
      </c>
      <c r="K302" s="101">
        <v>27</v>
      </c>
      <c r="L302" s="130">
        <v>11</v>
      </c>
      <c r="M302" s="130">
        <v>15</v>
      </c>
      <c r="N302" s="130">
        <v>30</v>
      </c>
      <c r="O302" s="130">
        <v>34</v>
      </c>
      <c r="P302" s="218">
        <f t="shared" si="11"/>
        <v>157</v>
      </c>
    </row>
    <row r="303" spans="1:16" x14ac:dyDescent="0.35">
      <c r="A303" s="229"/>
      <c r="B303" s="235"/>
      <c r="C303" s="25" t="s">
        <v>1722</v>
      </c>
      <c r="D303" s="25" t="s">
        <v>1723</v>
      </c>
      <c r="E303" s="68" t="s">
        <v>1761</v>
      </c>
      <c r="F303" s="68" t="s">
        <v>1764</v>
      </c>
      <c r="G303" s="28" t="s">
        <v>596</v>
      </c>
      <c r="H303" s="97">
        <v>6</v>
      </c>
      <c r="I303" s="97">
        <v>6</v>
      </c>
      <c r="J303" s="64">
        <v>5</v>
      </c>
      <c r="K303" s="101">
        <v>3</v>
      </c>
      <c r="L303" s="130">
        <v>2</v>
      </c>
      <c r="M303" s="130">
        <v>4</v>
      </c>
      <c r="N303" s="130">
        <v>9</v>
      </c>
      <c r="O303" s="130">
        <v>11</v>
      </c>
      <c r="P303" s="218">
        <f t="shared" si="11"/>
        <v>46</v>
      </c>
    </row>
    <row r="304" spans="1:16" x14ac:dyDescent="0.35">
      <c r="A304" s="229"/>
      <c r="B304" s="235"/>
      <c r="C304" s="25" t="s">
        <v>1722</v>
      </c>
      <c r="D304" s="25" t="s">
        <v>1723</v>
      </c>
      <c r="E304" s="68" t="s">
        <v>1762</v>
      </c>
      <c r="F304" s="68" t="s">
        <v>1759</v>
      </c>
      <c r="G304" s="28" t="s">
        <v>597</v>
      </c>
      <c r="H304" s="97">
        <v>2</v>
      </c>
      <c r="I304" s="97">
        <v>3</v>
      </c>
      <c r="J304" s="64">
        <v>13</v>
      </c>
      <c r="K304" s="101">
        <v>10</v>
      </c>
      <c r="L304" s="130">
        <v>9</v>
      </c>
      <c r="M304" s="130">
        <v>9</v>
      </c>
      <c r="N304" s="130">
        <v>8</v>
      </c>
      <c r="O304" s="130">
        <v>7</v>
      </c>
      <c r="P304" s="218">
        <f t="shared" si="11"/>
        <v>61</v>
      </c>
    </row>
    <row r="305" spans="1:16" x14ac:dyDescent="0.35">
      <c r="A305" s="229"/>
      <c r="B305" s="235"/>
      <c r="C305" s="25" t="s">
        <v>1722</v>
      </c>
      <c r="D305" s="25" t="s">
        <v>1723</v>
      </c>
      <c r="E305" s="68" t="s">
        <v>1762</v>
      </c>
      <c r="F305" s="68" t="s">
        <v>1757</v>
      </c>
      <c r="G305" s="28" t="s">
        <v>598</v>
      </c>
      <c r="H305" s="97">
        <v>23</v>
      </c>
      <c r="I305" s="97">
        <v>23</v>
      </c>
      <c r="J305" s="64">
        <v>26</v>
      </c>
      <c r="K305" s="101">
        <v>25</v>
      </c>
      <c r="L305" s="130">
        <v>10</v>
      </c>
      <c r="M305" s="130">
        <v>18</v>
      </c>
      <c r="N305" s="130">
        <v>2</v>
      </c>
      <c r="O305" s="130">
        <v>2</v>
      </c>
      <c r="P305" s="218">
        <f t="shared" si="11"/>
        <v>129</v>
      </c>
    </row>
    <row r="306" spans="1:16" x14ac:dyDescent="0.35">
      <c r="A306" s="229"/>
      <c r="B306" s="235"/>
      <c r="C306" s="25" t="s">
        <v>1722</v>
      </c>
      <c r="D306" s="25" t="s">
        <v>1723</v>
      </c>
      <c r="E306" s="68" t="s">
        <v>1761</v>
      </c>
      <c r="F306" s="68" t="s">
        <v>1760</v>
      </c>
      <c r="G306" s="28" t="s">
        <v>599</v>
      </c>
      <c r="H306" s="97">
        <v>1</v>
      </c>
      <c r="I306" s="97">
        <v>2</v>
      </c>
      <c r="J306" s="64">
        <v>9</v>
      </c>
      <c r="K306" s="101">
        <v>7</v>
      </c>
      <c r="L306" s="130">
        <v>7</v>
      </c>
      <c r="M306" s="130">
        <v>5</v>
      </c>
      <c r="N306" s="130">
        <v>11</v>
      </c>
      <c r="O306" s="130">
        <v>11</v>
      </c>
      <c r="P306" s="218">
        <f t="shared" si="11"/>
        <v>53</v>
      </c>
    </row>
    <row r="307" spans="1:16" x14ac:dyDescent="0.35">
      <c r="A307" s="229"/>
      <c r="B307" s="235"/>
      <c r="C307" s="25" t="s">
        <v>1722</v>
      </c>
      <c r="D307" s="25" t="s">
        <v>1723</v>
      </c>
      <c r="E307" s="68" t="s">
        <v>1761</v>
      </c>
      <c r="F307" s="68" t="s">
        <v>543</v>
      </c>
      <c r="G307" s="28" t="s">
        <v>600</v>
      </c>
      <c r="H307" s="97">
        <v>0</v>
      </c>
      <c r="I307" s="97">
        <v>1</v>
      </c>
      <c r="J307" s="64">
        <v>3</v>
      </c>
      <c r="K307" s="101">
        <v>1</v>
      </c>
      <c r="L307" s="130">
        <v>1</v>
      </c>
      <c r="M307" s="130">
        <v>2</v>
      </c>
      <c r="N307" s="130">
        <v>3</v>
      </c>
      <c r="O307" s="130">
        <v>5</v>
      </c>
      <c r="P307" s="218">
        <f t="shared" si="11"/>
        <v>16</v>
      </c>
    </row>
    <row r="308" spans="1:16" x14ac:dyDescent="0.35">
      <c r="A308" s="229"/>
      <c r="B308" s="235"/>
      <c r="C308" s="25" t="s">
        <v>1722</v>
      </c>
      <c r="D308" s="25" t="s">
        <v>1723</v>
      </c>
      <c r="E308" s="68" t="s">
        <v>1761</v>
      </c>
      <c r="F308" s="68" t="s">
        <v>1764</v>
      </c>
      <c r="G308" s="28" t="s">
        <v>601</v>
      </c>
      <c r="H308" s="97">
        <v>2</v>
      </c>
      <c r="I308" s="97">
        <v>3</v>
      </c>
      <c r="J308" s="64">
        <v>2</v>
      </c>
      <c r="K308" s="101">
        <v>3</v>
      </c>
      <c r="L308" s="130">
        <v>8</v>
      </c>
      <c r="M308" s="130">
        <v>11</v>
      </c>
      <c r="N308" s="130">
        <v>8</v>
      </c>
      <c r="O308" s="130">
        <v>10</v>
      </c>
      <c r="P308" s="218">
        <f t="shared" si="11"/>
        <v>47</v>
      </c>
    </row>
    <row r="309" spans="1:16" x14ac:dyDescent="0.35">
      <c r="A309" s="229"/>
      <c r="B309" s="235"/>
      <c r="C309" s="25" t="s">
        <v>1722</v>
      </c>
      <c r="D309" s="25" t="s">
        <v>1723</v>
      </c>
      <c r="E309" s="68" t="s">
        <v>1761</v>
      </c>
      <c r="F309" s="68" t="s">
        <v>543</v>
      </c>
      <c r="G309" s="28" t="s">
        <v>602</v>
      </c>
      <c r="H309" s="97">
        <v>1</v>
      </c>
      <c r="I309" s="97">
        <v>1</v>
      </c>
      <c r="J309" s="64">
        <v>2</v>
      </c>
      <c r="K309" s="101">
        <v>1</v>
      </c>
      <c r="L309" s="130">
        <v>2</v>
      </c>
      <c r="M309" s="130">
        <v>1</v>
      </c>
      <c r="N309" s="130">
        <v>2</v>
      </c>
      <c r="O309" s="130">
        <v>1</v>
      </c>
      <c r="P309" s="218">
        <f t="shared" si="11"/>
        <v>11</v>
      </c>
    </row>
    <row r="310" spans="1:16" x14ac:dyDescent="0.35">
      <c r="A310" s="229"/>
      <c r="B310" s="235"/>
      <c r="C310" s="25" t="s">
        <v>1722</v>
      </c>
      <c r="D310" s="25" t="s">
        <v>1723</v>
      </c>
      <c r="E310" s="68" t="s">
        <v>1761</v>
      </c>
      <c r="F310" s="68" t="s">
        <v>1760</v>
      </c>
      <c r="G310" s="28" t="s">
        <v>603</v>
      </c>
      <c r="H310" s="97">
        <v>1</v>
      </c>
      <c r="I310" s="97">
        <v>2</v>
      </c>
      <c r="J310" s="64">
        <v>5</v>
      </c>
      <c r="K310" s="101">
        <v>4</v>
      </c>
      <c r="L310" s="130">
        <v>5</v>
      </c>
      <c r="M310" s="130">
        <v>2</v>
      </c>
      <c r="N310" s="130">
        <v>9</v>
      </c>
      <c r="O310" s="130">
        <v>8</v>
      </c>
      <c r="P310" s="218">
        <f t="shared" si="11"/>
        <v>36</v>
      </c>
    </row>
    <row r="311" spans="1:16" x14ac:dyDescent="0.35">
      <c r="A311" s="229"/>
      <c r="B311" s="235"/>
      <c r="C311" s="25" t="s">
        <v>1722</v>
      </c>
      <c r="D311" s="25" t="s">
        <v>1723</v>
      </c>
      <c r="E311" s="68" t="s">
        <v>1761</v>
      </c>
      <c r="F311" s="68" t="s">
        <v>1760</v>
      </c>
      <c r="G311" s="28" t="s">
        <v>604</v>
      </c>
      <c r="H311" s="97">
        <v>3</v>
      </c>
      <c r="I311" s="97">
        <v>4</v>
      </c>
      <c r="J311" s="64">
        <v>6</v>
      </c>
      <c r="K311" s="101">
        <v>9</v>
      </c>
      <c r="L311" s="130">
        <v>8</v>
      </c>
      <c r="M311" s="130">
        <v>7</v>
      </c>
      <c r="N311" s="130">
        <v>12</v>
      </c>
      <c r="O311" s="130">
        <v>13</v>
      </c>
      <c r="P311" s="218">
        <f t="shared" si="11"/>
        <v>62</v>
      </c>
    </row>
    <row r="312" spans="1:16" x14ac:dyDescent="0.35">
      <c r="A312" s="229"/>
      <c r="B312" s="235"/>
      <c r="C312" s="25" t="s">
        <v>1722</v>
      </c>
      <c r="D312" s="25" t="s">
        <v>1723</v>
      </c>
      <c r="E312" s="68" t="s">
        <v>1762</v>
      </c>
      <c r="F312" s="68" t="s">
        <v>1758</v>
      </c>
      <c r="G312" s="28" t="s">
        <v>605</v>
      </c>
      <c r="H312" s="97">
        <v>10</v>
      </c>
      <c r="I312" s="97">
        <v>11</v>
      </c>
      <c r="J312" s="64">
        <v>48</v>
      </c>
      <c r="K312" s="101">
        <v>53</v>
      </c>
      <c r="L312" s="130">
        <v>9</v>
      </c>
      <c r="M312" s="130">
        <v>11</v>
      </c>
      <c r="N312" s="130">
        <v>39</v>
      </c>
      <c r="O312" s="130">
        <v>35</v>
      </c>
      <c r="P312" s="218">
        <f t="shared" si="11"/>
        <v>216</v>
      </c>
    </row>
    <row r="313" spans="1:16" x14ac:dyDescent="0.35">
      <c r="A313" s="229"/>
      <c r="B313" s="235"/>
      <c r="C313" s="25" t="s">
        <v>1722</v>
      </c>
      <c r="D313" s="25" t="s">
        <v>1723</v>
      </c>
      <c r="E313" s="68" t="s">
        <v>1761</v>
      </c>
      <c r="F313" s="68" t="s">
        <v>1764</v>
      </c>
      <c r="G313" s="28" t="s">
        <v>606</v>
      </c>
      <c r="H313" s="97">
        <v>1</v>
      </c>
      <c r="I313" s="97">
        <v>1</v>
      </c>
      <c r="J313" s="64">
        <v>3</v>
      </c>
      <c r="K313" s="101">
        <v>1</v>
      </c>
      <c r="L313" s="130">
        <v>2</v>
      </c>
      <c r="M313" s="130">
        <v>3</v>
      </c>
      <c r="N313" s="130">
        <v>3</v>
      </c>
      <c r="O313" s="130">
        <v>4</v>
      </c>
      <c r="P313" s="218">
        <f t="shared" si="11"/>
        <v>18</v>
      </c>
    </row>
    <row r="314" spans="1:16" x14ac:dyDescent="0.35">
      <c r="A314" s="229"/>
      <c r="B314" s="235"/>
      <c r="C314" s="25" t="s">
        <v>1722</v>
      </c>
      <c r="D314" s="25" t="s">
        <v>1723</v>
      </c>
      <c r="E314" s="68" t="s">
        <v>1762</v>
      </c>
      <c r="F314" s="68" t="s">
        <v>1759</v>
      </c>
      <c r="G314" s="28" t="s">
        <v>607</v>
      </c>
      <c r="H314" s="97">
        <v>2</v>
      </c>
      <c r="I314" s="97">
        <v>3</v>
      </c>
      <c r="J314" s="64">
        <v>26</v>
      </c>
      <c r="K314" s="101">
        <v>23</v>
      </c>
      <c r="L314" s="130">
        <v>9</v>
      </c>
      <c r="M314" s="130">
        <v>12</v>
      </c>
      <c r="N314" s="130">
        <v>5</v>
      </c>
      <c r="O314" s="130">
        <v>5</v>
      </c>
      <c r="P314" s="218">
        <f t="shared" si="11"/>
        <v>85</v>
      </c>
    </row>
    <row r="315" spans="1:16" x14ac:dyDescent="0.35">
      <c r="A315" s="229"/>
      <c r="B315" s="235"/>
      <c r="C315" s="25" t="s">
        <v>1722</v>
      </c>
      <c r="D315" s="25" t="s">
        <v>1723</v>
      </c>
      <c r="E315" s="68" t="s">
        <v>1762</v>
      </c>
      <c r="F315" s="68" t="s">
        <v>1758</v>
      </c>
      <c r="G315" s="28" t="s">
        <v>608</v>
      </c>
      <c r="H315" s="97">
        <v>12</v>
      </c>
      <c r="I315" s="97">
        <v>13</v>
      </c>
      <c r="J315" s="64">
        <v>23</v>
      </c>
      <c r="K315" s="101">
        <v>26</v>
      </c>
      <c r="L315" s="130">
        <v>13</v>
      </c>
      <c r="M315" s="130">
        <v>15</v>
      </c>
      <c r="N315" s="130">
        <v>28</v>
      </c>
      <c r="O315" s="130">
        <v>25</v>
      </c>
      <c r="P315" s="218">
        <f t="shared" si="11"/>
        <v>155</v>
      </c>
    </row>
    <row r="316" spans="1:16" x14ac:dyDescent="0.35">
      <c r="A316" s="229"/>
      <c r="B316" s="235"/>
      <c r="C316" s="25" t="s">
        <v>1722</v>
      </c>
      <c r="D316" s="25" t="s">
        <v>1723</v>
      </c>
      <c r="E316" s="68" t="s">
        <v>1761</v>
      </c>
      <c r="F316" s="68" t="s">
        <v>1764</v>
      </c>
      <c r="G316" s="28" t="s">
        <v>609</v>
      </c>
      <c r="H316" s="97">
        <v>0</v>
      </c>
      <c r="I316" s="97">
        <v>1</v>
      </c>
      <c r="J316" s="64">
        <v>3</v>
      </c>
      <c r="K316" s="101">
        <v>1</v>
      </c>
      <c r="L316" s="130">
        <v>2</v>
      </c>
      <c r="M316" s="130">
        <v>1</v>
      </c>
      <c r="N316" s="130">
        <v>24</v>
      </c>
      <c r="O316" s="130">
        <v>32</v>
      </c>
      <c r="P316" s="218">
        <f t="shared" si="11"/>
        <v>64</v>
      </c>
    </row>
    <row r="317" spans="1:16" x14ac:dyDescent="0.35">
      <c r="A317" s="54"/>
      <c r="B317" s="69"/>
      <c r="C317" s="69"/>
      <c r="D317" s="69"/>
      <c r="E317" s="69"/>
      <c r="F317" s="69"/>
      <c r="G317" s="65" t="s">
        <v>449</v>
      </c>
      <c r="H317" s="172">
        <f t="shared" ref="H317:O317" si="13">SUM(H279:H316)</f>
        <v>171</v>
      </c>
      <c r="I317" s="172">
        <f t="shared" si="13"/>
        <v>196</v>
      </c>
      <c r="J317" s="171">
        <f t="shared" si="13"/>
        <v>605</v>
      </c>
      <c r="K317" s="171">
        <f t="shared" si="13"/>
        <v>612</v>
      </c>
      <c r="L317" s="129">
        <f t="shared" si="13"/>
        <v>350</v>
      </c>
      <c r="M317" s="129">
        <f t="shared" si="13"/>
        <v>359</v>
      </c>
      <c r="N317" s="126">
        <f t="shared" si="13"/>
        <v>565</v>
      </c>
      <c r="O317" s="126">
        <f t="shared" si="13"/>
        <v>561</v>
      </c>
      <c r="P317" s="217">
        <f t="shared" si="11"/>
        <v>3419</v>
      </c>
    </row>
    <row r="318" spans="1:16" x14ac:dyDescent="0.35">
      <c r="A318" s="229">
        <v>10</v>
      </c>
      <c r="B318" s="231" t="s">
        <v>1891</v>
      </c>
      <c r="C318" s="25" t="s">
        <v>1722</v>
      </c>
      <c r="D318" s="25" t="s">
        <v>1723</v>
      </c>
      <c r="E318" s="1" t="s">
        <v>1761</v>
      </c>
      <c r="F318" s="1" t="s">
        <v>1765</v>
      </c>
      <c r="G318" s="6" t="s">
        <v>610</v>
      </c>
      <c r="H318" s="97">
        <v>1</v>
      </c>
      <c r="I318" s="97">
        <v>1</v>
      </c>
      <c r="J318" s="6">
        <v>5</v>
      </c>
      <c r="K318" s="101">
        <v>6</v>
      </c>
      <c r="L318" s="130">
        <v>3</v>
      </c>
      <c r="M318" s="130">
        <v>3</v>
      </c>
      <c r="N318" s="130">
        <v>2</v>
      </c>
      <c r="O318" s="130">
        <v>4</v>
      </c>
      <c r="P318" s="218">
        <f t="shared" si="11"/>
        <v>25</v>
      </c>
    </row>
    <row r="319" spans="1:16" x14ac:dyDescent="0.35">
      <c r="A319" s="229"/>
      <c r="B319" s="231"/>
      <c r="C319" s="25" t="s">
        <v>1722</v>
      </c>
      <c r="D319" s="25" t="s">
        <v>1723</v>
      </c>
      <c r="E319" s="1" t="s">
        <v>1761</v>
      </c>
      <c r="F319" s="1" t="s">
        <v>543</v>
      </c>
      <c r="G319" s="6" t="s">
        <v>34</v>
      </c>
      <c r="H319" s="97">
        <v>1</v>
      </c>
      <c r="I319" s="97">
        <v>2</v>
      </c>
      <c r="J319" s="6">
        <v>7</v>
      </c>
      <c r="K319" s="101">
        <v>8</v>
      </c>
      <c r="L319" s="130">
        <v>2</v>
      </c>
      <c r="M319" s="130">
        <v>4</v>
      </c>
      <c r="N319" s="130">
        <v>6</v>
      </c>
      <c r="O319" s="130">
        <v>7</v>
      </c>
      <c r="P319" s="218">
        <f t="shared" si="11"/>
        <v>37</v>
      </c>
    </row>
    <row r="320" spans="1:16" x14ac:dyDescent="0.35">
      <c r="A320" s="229"/>
      <c r="B320" s="231"/>
      <c r="C320" s="25" t="s">
        <v>1722</v>
      </c>
      <c r="D320" s="25" t="s">
        <v>1723</v>
      </c>
      <c r="E320" s="1" t="s">
        <v>1761</v>
      </c>
      <c r="F320" s="1" t="s">
        <v>543</v>
      </c>
      <c r="G320" s="6" t="s">
        <v>611</v>
      </c>
      <c r="H320" s="97">
        <v>2</v>
      </c>
      <c r="I320" s="97">
        <v>3</v>
      </c>
      <c r="J320" s="6">
        <v>13</v>
      </c>
      <c r="K320" s="101">
        <v>15</v>
      </c>
      <c r="L320" s="130">
        <v>4</v>
      </c>
      <c r="M320" s="130">
        <v>2</v>
      </c>
      <c r="N320" s="130">
        <v>16</v>
      </c>
      <c r="O320" s="130">
        <v>14</v>
      </c>
      <c r="P320" s="218">
        <f t="shared" si="11"/>
        <v>69</v>
      </c>
    </row>
    <row r="321" spans="1:16" x14ac:dyDescent="0.35">
      <c r="A321" s="229"/>
      <c r="B321" s="231"/>
      <c r="C321" s="25" t="s">
        <v>1722</v>
      </c>
      <c r="D321" s="25" t="s">
        <v>1723</v>
      </c>
      <c r="E321" s="1" t="s">
        <v>1761</v>
      </c>
      <c r="F321" s="1" t="s">
        <v>543</v>
      </c>
      <c r="G321" s="6" t="s">
        <v>612</v>
      </c>
      <c r="H321" s="97">
        <v>2</v>
      </c>
      <c r="I321" s="97">
        <v>2</v>
      </c>
      <c r="J321" s="6">
        <v>10</v>
      </c>
      <c r="K321" s="101">
        <v>12</v>
      </c>
      <c r="L321" s="130">
        <v>2</v>
      </c>
      <c r="M321" s="132">
        <v>4</v>
      </c>
      <c r="N321" s="130">
        <v>4</v>
      </c>
      <c r="O321" s="130">
        <v>6</v>
      </c>
      <c r="P321" s="218">
        <f t="shared" si="11"/>
        <v>42</v>
      </c>
    </row>
    <row r="322" spans="1:16" x14ac:dyDescent="0.35">
      <c r="A322" s="229"/>
      <c r="B322" s="231"/>
      <c r="C322" s="25" t="s">
        <v>1722</v>
      </c>
      <c r="D322" s="25" t="s">
        <v>1723</v>
      </c>
      <c r="E322" s="1" t="s">
        <v>1761</v>
      </c>
      <c r="F322" s="1" t="s">
        <v>1765</v>
      </c>
      <c r="G322" s="6" t="s">
        <v>613</v>
      </c>
      <c r="H322" s="97">
        <v>9</v>
      </c>
      <c r="I322" s="97">
        <v>9</v>
      </c>
      <c r="J322" s="6">
        <v>48</v>
      </c>
      <c r="K322" s="101">
        <v>49</v>
      </c>
      <c r="L322" s="130">
        <v>3</v>
      </c>
      <c r="M322" s="130">
        <v>2</v>
      </c>
      <c r="N322" s="130">
        <v>18</v>
      </c>
      <c r="O322" s="130">
        <v>15</v>
      </c>
      <c r="P322" s="218">
        <f t="shared" si="11"/>
        <v>153</v>
      </c>
    </row>
    <row r="323" spans="1:16" x14ac:dyDescent="0.35">
      <c r="A323" s="229"/>
      <c r="B323" s="231"/>
      <c r="C323" s="25" t="s">
        <v>1722</v>
      </c>
      <c r="D323" s="25" t="s">
        <v>1723</v>
      </c>
      <c r="E323" s="1" t="s">
        <v>1761</v>
      </c>
      <c r="F323" s="1" t="s">
        <v>1765</v>
      </c>
      <c r="G323" s="6" t="s">
        <v>516</v>
      </c>
      <c r="H323" s="97">
        <v>1</v>
      </c>
      <c r="I323" s="97">
        <v>1</v>
      </c>
      <c r="J323" s="6">
        <v>7</v>
      </c>
      <c r="K323" s="101">
        <v>8</v>
      </c>
      <c r="L323" s="130">
        <v>2</v>
      </c>
      <c r="M323" s="130">
        <v>2</v>
      </c>
      <c r="N323" s="130">
        <v>12</v>
      </c>
      <c r="O323" s="130">
        <v>12</v>
      </c>
      <c r="P323" s="218">
        <f t="shared" si="11"/>
        <v>45</v>
      </c>
    </row>
    <row r="324" spans="1:16" x14ac:dyDescent="0.35">
      <c r="A324" s="229"/>
      <c r="B324" s="231"/>
      <c r="C324" s="25" t="s">
        <v>1722</v>
      </c>
      <c r="D324" s="25" t="s">
        <v>1723</v>
      </c>
      <c r="E324" s="1" t="s">
        <v>1761</v>
      </c>
      <c r="F324" s="1" t="s">
        <v>1765</v>
      </c>
      <c r="G324" s="6" t="s">
        <v>614</v>
      </c>
      <c r="H324" s="97">
        <v>3</v>
      </c>
      <c r="I324" s="97">
        <v>3</v>
      </c>
      <c r="J324" s="6">
        <v>14</v>
      </c>
      <c r="K324" s="101">
        <v>16</v>
      </c>
      <c r="L324" s="130">
        <v>9</v>
      </c>
      <c r="M324" s="130">
        <v>11</v>
      </c>
      <c r="N324" s="130">
        <v>7</v>
      </c>
      <c r="O324" s="130">
        <v>5</v>
      </c>
      <c r="P324" s="218">
        <f t="shared" si="11"/>
        <v>68</v>
      </c>
    </row>
    <row r="325" spans="1:16" x14ac:dyDescent="0.35">
      <c r="A325" s="229"/>
      <c r="B325" s="231"/>
      <c r="C325" s="25" t="s">
        <v>1722</v>
      </c>
      <c r="D325" s="25" t="s">
        <v>1723</v>
      </c>
      <c r="E325" s="1" t="s">
        <v>1761</v>
      </c>
      <c r="F325" s="1" t="s">
        <v>1765</v>
      </c>
      <c r="G325" s="6" t="s">
        <v>615</v>
      </c>
      <c r="H325" s="97">
        <v>2</v>
      </c>
      <c r="I325" s="97">
        <v>3</v>
      </c>
      <c r="J325" s="6">
        <v>15</v>
      </c>
      <c r="K325" s="101">
        <v>17</v>
      </c>
      <c r="L325" s="130">
        <v>8</v>
      </c>
      <c r="M325" s="130">
        <v>10</v>
      </c>
      <c r="N325" s="130">
        <v>13</v>
      </c>
      <c r="O325" s="130">
        <v>15</v>
      </c>
      <c r="P325" s="218">
        <f t="shared" si="11"/>
        <v>83</v>
      </c>
    </row>
    <row r="326" spans="1:16" x14ac:dyDescent="0.35">
      <c r="A326" s="229"/>
      <c r="B326" s="231"/>
      <c r="C326" s="25" t="s">
        <v>1722</v>
      </c>
      <c r="D326" s="25" t="s">
        <v>1723</v>
      </c>
      <c r="E326" s="1" t="s">
        <v>1761</v>
      </c>
      <c r="F326" s="1" t="s">
        <v>1765</v>
      </c>
      <c r="G326" s="6" t="s">
        <v>616</v>
      </c>
      <c r="H326" s="97">
        <v>10</v>
      </c>
      <c r="I326" s="97">
        <v>10</v>
      </c>
      <c r="J326" s="6">
        <v>24</v>
      </c>
      <c r="K326" s="101">
        <v>26</v>
      </c>
      <c r="L326" s="130">
        <v>14</v>
      </c>
      <c r="M326" s="130">
        <v>16</v>
      </c>
      <c r="N326" s="130">
        <v>19</v>
      </c>
      <c r="O326" s="130">
        <v>15</v>
      </c>
      <c r="P326" s="218">
        <f t="shared" ref="P326:P389" si="14">H326+I326+J326+K326+L326+M326+N326+O326</f>
        <v>134</v>
      </c>
    </row>
    <row r="327" spans="1:16" x14ac:dyDescent="0.35">
      <c r="A327" s="229"/>
      <c r="B327" s="231"/>
      <c r="C327" s="25" t="s">
        <v>1722</v>
      </c>
      <c r="D327" s="25" t="s">
        <v>1723</v>
      </c>
      <c r="E327" s="1" t="s">
        <v>1761</v>
      </c>
      <c r="F327" s="1" t="s">
        <v>1765</v>
      </c>
      <c r="G327" s="6" t="s">
        <v>617</v>
      </c>
      <c r="H327" s="97">
        <v>3</v>
      </c>
      <c r="I327" s="97">
        <v>3</v>
      </c>
      <c r="J327" s="6">
        <v>17</v>
      </c>
      <c r="K327" s="101">
        <v>18</v>
      </c>
      <c r="L327" s="130">
        <v>21</v>
      </c>
      <c r="M327" s="130">
        <v>23</v>
      </c>
      <c r="N327" s="130">
        <v>9</v>
      </c>
      <c r="O327" s="130">
        <v>10</v>
      </c>
      <c r="P327" s="218">
        <f t="shared" si="14"/>
        <v>104</v>
      </c>
    </row>
    <row r="328" spans="1:16" x14ac:dyDescent="0.35">
      <c r="A328" s="229"/>
      <c r="B328" s="231"/>
      <c r="C328" s="25" t="s">
        <v>1722</v>
      </c>
      <c r="D328" s="25" t="s">
        <v>1723</v>
      </c>
      <c r="E328" s="1" t="s">
        <v>1761</v>
      </c>
      <c r="F328" s="1" t="s">
        <v>543</v>
      </c>
      <c r="G328" s="6" t="s">
        <v>618</v>
      </c>
      <c r="H328" s="97">
        <v>2</v>
      </c>
      <c r="I328" s="97">
        <v>3</v>
      </c>
      <c r="J328" s="6">
        <v>3</v>
      </c>
      <c r="K328" s="101">
        <v>5</v>
      </c>
      <c r="L328" s="130">
        <v>3</v>
      </c>
      <c r="M328" s="130">
        <v>1</v>
      </c>
      <c r="N328" s="130">
        <v>3</v>
      </c>
      <c r="O328" s="130">
        <v>1</v>
      </c>
      <c r="P328" s="218">
        <f t="shared" si="14"/>
        <v>21</v>
      </c>
    </row>
    <row r="329" spans="1:16" x14ac:dyDescent="0.35">
      <c r="A329" s="229"/>
      <c r="B329" s="231"/>
      <c r="C329" s="25" t="s">
        <v>1722</v>
      </c>
      <c r="D329" s="25" t="s">
        <v>1723</v>
      </c>
      <c r="E329" s="1" t="s">
        <v>1761</v>
      </c>
      <c r="F329" s="1" t="s">
        <v>543</v>
      </c>
      <c r="G329" s="6" t="s">
        <v>326</v>
      </c>
      <c r="H329" s="97">
        <v>2</v>
      </c>
      <c r="I329" s="97">
        <v>2</v>
      </c>
      <c r="J329" s="6">
        <v>4</v>
      </c>
      <c r="K329" s="101">
        <v>5</v>
      </c>
      <c r="L329" s="130">
        <v>2</v>
      </c>
      <c r="M329" s="130">
        <v>2</v>
      </c>
      <c r="N329" s="130">
        <v>32</v>
      </c>
      <c r="O329" s="130">
        <v>30</v>
      </c>
      <c r="P329" s="218">
        <f t="shared" si="14"/>
        <v>79</v>
      </c>
    </row>
    <row r="330" spans="1:16" x14ac:dyDescent="0.35">
      <c r="A330" s="229"/>
      <c r="B330" s="231"/>
      <c r="C330" s="25" t="s">
        <v>1722</v>
      </c>
      <c r="D330" s="25" t="s">
        <v>1723</v>
      </c>
      <c r="E330" s="1" t="s">
        <v>1761</v>
      </c>
      <c r="F330" s="1" t="s">
        <v>543</v>
      </c>
      <c r="G330" s="6" t="s">
        <v>619</v>
      </c>
      <c r="H330" s="97">
        <v>1</v>
      </c>
      <c r="I330" s="97">
        <v>1</v>
      </c>
      <c r="J330" s="6">
        <v>7</v>
      </c>
      <c r="K330" s="101">
        <v>7</v>
      </c>
      <c r="L330" s="130">
        <v>5</v>
      </c>
      <c r="M330" s="130">
        <v>7</v>
      </c>
      <c r="N330" s="130">
        <v>9</v>
      </c>
      <c r="O330" s="130">
        <v>11</v>
      </c>
      <c r="P330" s="218">
        <f t="shared" si="14"/>
        <v>48</v>
      </c>
    </row>
    <row r="331" spans="1:16" x14ac:dyDescent="0.35">
      <c r="A331" s="54"/>
      <c r="B331" s="61"/>
      <c r="C331" s="61"/>
      <c r="D331" s="61"/>
      <c r="E331" s="61"/>
      <c r="F331" s="61"/>
      <c r="G331" s="58" t="s">
        <v>449</v>
      </c>
      <c r="H331" s="172">
        <f t="shared" ref="H331:O331" si="15">SUM(H318:H330)</f>
        <v>39</v>
      </c>
      <c r="I331" s="172">
        <f t="shared" si="15"/>
        <v>43</v>
      </c>
      <c r="J331" s="171">
        <f t="shared" si="15"/>
        <v>174</v>
      </c>
      <c r="K331" s="171">
        <f t="shared" si="15"/>
        <v>192</v>
      </c>
      <c r="L331" s="129">
        <f t="shared" si="15"/>
        <v>78</v>
      </c>
      <c r="M331" s="129">
        <f t="shared" si="15"/>
        <v>87</v>
      </c>
      <c r="N331" s="126">
        <f t="shared" si="15"/>
        <v>150</v>
      </c>
      <c r="O331" s="126">
        <f t="shared" si="15"/>
        <v>145</v>
      </c>
      <c r="P331" s="217">
        <f t="shared" si="14"/>
        <v>908</v>
      </c>
    </row>
    <row r="332" spans="1:16" x14ac:dyDescent="0.35">
      <c r="A332" s="229">
        <v>11</v>
      </c>
      <c r="B332" s="232" t="s">
        <v>1724</v>
      </c>
      <c r="C332" s="25" t="s">
        <v>1722</v>
      </c>
      <c r="D332" s="25" t="s">
        <v>1723</v>
      </c>
      <c r="E332" s="25" t="s">
        <v>1724</v>
      </c>
      <c r="F332" s="25" t="s">
        <v>1767</v>
      </c>
      <c r="G332" s="6" t="s">
        <v>620</v>
      </c>
      <c r="H332" s="97">
        <v>13</v>
      </c>
      <c r="I332" s="97">
        <v>9</v>
      </c>
      <c r="J332" s="6">
        <v>36</v>
      </c>
      <c r="K332" s="101">
        <v>48</v>
      </c>
      <c r="L332" s="130">
        <v>5</v>
      </c>
      <c r="M332" s="130">
        <v>6</v>
      </c>
      <c r="N332" s="130">
        <v>46</v>
      </c>
      <c r="O332" s="130">
        <v>52</v>
      </c>
      <c r="P332" s="218">
        <f t="shared" si="14"/>
        <v>215</v>
      </c>
    </row>
    <row r="333" spans="1:16" x14ac:dyDescent="0.35">
      <c r="A333" s="229"/>
      <c r="B333" s="232"/>
      <c r="C333" s="25" t="s">
        <v>1722</v>
      </c>
      <c r="D333" s="25" t="s">
        <v>1723</v>
      </c>
      <c r="E333" s="25" t="s">
        <v>1724</v>
      </c>
      <c r="F333" s="25" t="s">
        <v>1724</v>
      </c>
      <c r="G333" s="6" t="s">
        <v>621</v>
      </c>
      <c r="H333" s="97">
        <v>24</v>
      </c>
      <c r="I333" s="97">
        <v>14</v>
      </c>
      <c r="J333" s="6">
        <v>20</v>
      </c>
      <c r="K333" s="101">
        <v>23</v>
      </c>
      <c r="L333" s="130">
        <v>8</v>
      </c>
      <c r="M333" s="130">
        <v>7</v>
      </c>
      <c r="N333" s="130">
        <v>48</v>
      </c>
      <c r="O333" s="130">
        <v>56</v>
      </c>
      <c r="P333" s="218">
        <f t="shared" si="14"/>
        <v>200</v>
      </c>
    </row>
    <row r="334" spans="1:16" x14ac:dyDescent="0.35">
      <c r="A334" s="229"/>
      <c r="B334" s="232"/>
      <c r="C334" s="25" t="s">
        <v>1722</v>
      </c>
      <c r="D334" s="25" t="s">
        <v>1723</v>
      </c>
      <c r="E334" s="25" t="s">
        <v>1724</v>
      </c>
      <c r="F334" s="25" t="s">
        <v>1724</v>
      </c>
      <c r="G334" s="6" t="s">
        <v>622</v>
      </c>
      <c r="H334" s="97">
        <v>5</v>
      </c>
      <c r="I334" s="97">
        <v>6</v>
      </c>
      <c r="J334" s="6">
        <v>30</v>
      </c>
      <c r="K334" s="101">
        <v>29</v>
      </c>
      <c r="L334" s="130">
        <v>12</v>
      </c>
      <c r="M334" s="130">
        <v>15</v>
      </c>
      <c r="N334" s="130">
        <v>40</v>
      </c>
      <c r="O334" s="130">
        <v>44</v>
      </c>
      <c r="P334" s="218">
        <f t="shared" si="14"/>
        <v>181</v>
      </c>
    </row>
    <row r="335" spans="1:16" x14ac:dyDescent="0.35">
      <c r="A335" s="229"/>
      <c r="B335" s="232"/>
      <c r="C335" s="25" t="s">
        <v>1722</v>
      </c>
      <c r="D335" s="25" t="s">
        <v>1723</v>
      </c>
      <c r="E335" s="25" t="s">
        <v>1724</v>
      </c>
      <c r="F335" s="25" t="s">
        <v>1766</v>
      </c>
      <c r="G335" s="6" t="s">
        <v>623</v>
      </c>
      <c r="H335" s="97">
        <v>3</v>
      </c>
      <c r="I335" s="97">
        <v>3</v>
      </c>
      <c r="J335" s="6">
        <v>9</v>
      </c>
      <c r="K335" s="101">
        <v>9</v>
      </c>
      <c r="L335" s="130">
        <v>7</v>
      </c>
      <c r="M335" s="130">
        <v>5</v>
      </c>
      <c r="N335" s="130">
        <v>14</v>
      </c>
      <c r="O335" s="130">
        <v>16</v>
      </c>
      <c r="P335" s="218">
        <f t="shared" si="14"/>
        <v>66</v>
      </c>
    </row>
    <row r="336" spans="1:16" x14ac:dyDescent="0.35">
      <c r="A336" s="229"/>
      <c r="B336" s="232"/>
      <c r="C336" s="25" t="s">
        <v>1722</v>
      </c>
      <c r="D336" s="25" t="s">
        <v>1723</v>
      </c>
      <c r="E336" s="25" t="s">
        <v>1724</v>
      </c>
      <c r="F336" s="25" t="s">
        <v>1724</v>
      </c>
      <c r="G336" s="6" t="s">
        <v>624</v>
      </c>
      <c r="H336" s="97">
        <v>8</v>
      </c>
      <c r="I336" s="97">
        <v>16</v>
      </c>
      <c r="J336" s="6">
        <v>44</v>
      </c>
      <c r="K336" s="101">
        <v>46</v>
      </c>
      <c r="L336" s="130">
        <v>10</v>
      </c>
      <c r="M336" s="130">
        <v>7</v>
      </c>
      <c r="N336" s="130">
        <v>28</v>
      </c>
      <c r="O336" s="130">
        <v>32</v>
      </c>
      <c r="P336" s="218">
        <f t="shared" si="14"/>
        <v>191</v>
      </c>
    </row>
    <row r="337" spans="1:16" x14ac:dyDescent="0.35">
      <c r="A337" s="229"/>
      <c r="B337" s="232"/>
      <c r="C337" s="25" t="s">
        <v>1722</v>
      </c>
      <c r="D337" s="25" t="s">
        <v>1723</v>
      </c>
      <c r="E337" s="25" t="s">
        <v>1724</v>
      </c>
      <c r="F337" s="25" t="s">
        <v>1767</v>
      </c>
      <c r="G337" s="6" t="s">
        <v>625</v>
      </c>
      <c r="H337" s="97">
        <v>1</v>
      </c>
      <c r="I337" s="97">
        <v>1</v>
      </c>
      <c r="J337" s="6">
        <v>8</v>
      </c>
      <c r="K337" s="101">
        <v>7</v>
      </c>
      <c r="L337" s="130">
        <v>2</v>
      </c>
      <c r="M337" s="130">
        <v>0</v>
      </c>
      <c r="N337" s="130">
        <v>10</v>
      </c>
      <c r="O337" s="130">
        <v>22</v>
      </c>
      <c r="P337" s="218">
        <f t="shared" si="14"/>
        <v>51</v>
      </c>
    </row>
    <row r="338" spans="1:16" x14ac:dyDescent="0.35">
      <c r="A338" s="229"/>
      <c r="B338" s="232"/>
      <c r="C338" s="25" t="s">
        <v>1722</v>
      </c>
      <c r="D338" s="25" t="s">
        <v>1723</v>
      </c>
      <c r="E338" s="25" t="s">
        <v>1724</v>
      </c>
      <c r="F338" s="25" t="s">
        <v>1767</v>
      </c>
      <c r="G338" s="6" t="s">
        <v>626</v>
      </c>
      <c r="H338" s="97">
        <v>2</v>
      </c>
      <c r="I338" s="97">
        <v>3</v>
      </c>
      <c r="J338" s="6">
        <v>10</v>
      </c>
      <c r="K338" s="101">
        <v>11</v>
      </c>
      <c r="L338" s="130">
        <v>8</v>
      </c>
      <c r="M338" s="130">
        <v>6</v>
      </c>
      <c r="N338" s="130">
        <v>11</v>
      </c>
      <c r="O338" s="130">
        <v>13</v>
      </c>
      <c r="P338" s="218">
        <f t="shared" si="14"/>
        <v>64</v>
      </c>
    </row>
    <row r="339" spans="1:16" x14ac:dyDescent="0.35">
      <c r="A339" s="229"/>
      <c r="B339" s="232"/>
      <c r="C339" s="25" t="s">
        <v>1722</v>
      </c>
      <c r="D339" s="25" t="s">
        <v>1723</v>
      </c>
      <c r="E339" s="25" t="s">
        <v>1724</v>
      </c>
      <c r="F339" s="25" t="s">
        <v>1767</v>
      </c>
      <c r="G339" s="6" t="s">
        <v>627</v>
      </c>
      <c r="H339" s="97">
        <v>5</v>
      </c>
      <c r="I339" s="97">
        <v>15</v>
      </c>
      <c r="J339" s="6">
        <v>34</v>
      </c>
      <c r="K339" s="101">
        <v>36</v>
      </c>
      <c r="L339" s="130">
        <v>6</v>
      </c>
      <c r="M339" s="130">
        <v>8</v>
      </c>
      <c r="N339" s="130">
        <v>49</v>
      </c>
      <c r="O339" s="130">
        <v>41</v>
      </c>
      <c r="P339" s="218">
        <f t="shared" si="14"/>
        <v>194</v>
      </c>
    </row>
    <row r="340" spans="1:16" x14ac:dyDescent="0.35">
      <c r="A340" s="229"/>
      <c r="B340" s="232"/>
      <c r="C340" s="25" t="s">
        <v>1722</v>
      </c>
      <c r="D340" s="25" t="s">
        <v>1723</v>
      </c>
      <c r="E340" s="25" t="s">
        <v>1724</v>
      </c>
      <c r="F340" s="25" t="s">
        <v>1766</v>
      </c>
      <c r="G340" s="6" t="s">
        <v>628</v>
      </c>
      <c r="H340" s="97">
        <v>8</v>
      </c>
      <c r="I340" s="97">
        <v>4</v>
      </c>
      <c r="J340" s="6">
        <v>8</v>
      </c>
      <c r="K340" s="101">
        <v>11</v>
      </c>
      <c r="L340" s="130">
        <v>6</v>
      </c>
      <c r="M340" s="130">
        <v>7</v>
      </c>
      <c r="N340" s="130">
        <v>15</v>
      </c>
      <c r="O340" s="130">
        <v>21</v>
      </c>
      <c r="P340" s="218">
        <f t="shared" si="14"/>
        <v>80</v>
      </c>
    </row>
    <row r="341" spans="1:16" x14ac:dyDescent="0.35">
      <c r="A341" s="229"/>
      <c r="B341" s="232"/>
      <c r="C341" s="25" t="s">
        <v>1722</v>
      </c>
      <c r="D341" s="25" t="s">
        <v>1723</v>
      </c>
      <c r="E341" s="25" t="s">
        <v>1724</v>
      </c>
      <c r="F341" s="25" t="s">
        <v>1724</v>
      </c>
      <c r="G341" s="6" t="s">
        <v>629</v>
      </c>
      <c r="H341" s="97">
        <v>4</v>
      </c>
      <c r="I341" s="97">
        <v>5</v>
      </c>
      <c r="J341" s="6">
        <v>49</v>
      </c>
      <c r="K341" s="101">
        <v>43</v>
      </c>
      <c r="L341" s="130">
        <v>6</v>
      </c>
      <c r="M341" s="130">
        <v>5</v>
      </c>
      <c r="N341" s="130">
        <v>26</v>
      </c>
      <c r="O341" s="130">
        <v>34</v>
      </c>
      <c r="P341" s="218">
        <f t="shared" si="14"/>
        <v>172</v>
      </c>
    </row>
    <row r="342" spans="1:16" x14ac:dyDescent="0.35">
      <c r="A342" s="229"/>
      <c r="B342" s="232"/>
      <c r="C342" s="25" t="s">
        <v>1722</v>
      </c>
      <c r="D342" s="25" t="s">
        <v>1723</v>
      </c>
      <c r="E342" s="25" t="s">
        <v>1724</v>
      </c>
      <c r="F342" s="25" t="s">
        <v>1724</v>
      </c>
      <c r="G342" s="6" t="s">
        <v>630</v>
      </c>
      <c r="H342" s="97">
        <v>6</v>
      </c>
      <c r="I342" s="97">
        <v>6</v>
      </c>
      <c r="J342" s="6">
        <v>13</v>
      </c>
      <c r="K342" s="101">
        <v>15</v>
      </c>
      <c r="L342" s="130">
        <v>11</v>
      </c>
      <c r="M342" s="130">
        <v>6</v>
      </c>
      <c r="N342" s="130">
        <v>17</v>
      </c>
      <c r="O342" s="130">
        <v>23</v>
      </c>
      <c r="P342" s="218">
        <f t="shared" si="14"/>
        <v>97</v>
      </c>
    </row>
    <row r="343" spans="1:16" x14ac:dyDescent="0.35">
      <c r="A343" s="229"/>
      <c r="B343" s="232"/>
      <c r="C343" s="25" t="s">
        <v>1722</v>
      </c>
      <c r="D343" s="25" t="s">
        <v>1723</v>
      </c>
      <c r="E343" s="25" t="s">
        <v>1724</v>
      </c>
      <c r="F343" s="25" t="s">
        <v>1766</v>
      </c>
      <c r="G343" s="6" t="s">
        <v>631</v>
      </c>
      <c r="H343" s="97">
        <v>3</v>
      </c>
      <c r="I343" s="97">
        <v>3</v>
      </c>
      <c r="J343" s="6">
        <v>3</v>
      </c>
      <c r="K343" s="101">
        <v>5</v>
      </c>
      <c r="L343" s="130">
        <v>2</v>
      </c>
      <c r="M343" s="130">
        <v>4</v>
      </c>
      <c r="N343" s="130">
        <v>26</v>
      </c>
      <c r="O343" s="130">
        <v>22</v>
      </c>
      <c r="P343" s="218">
        <f t="shared" si="14"/>
        <v>68</v>
      </c>
    </row>
    <row r="344" spans="1:16" x14ac:dyDescent="0.35">
      <c r="A344" s="229"/>
      <c r="B344" s="232"/>
      <c r="C344" s="25" t="s">
        <v>1722</v>
      </c>
      <c r="D344" s="25" t="s">
        <v>1723</v>
      </c>
      <c r="E344" s="25" t="s">
        <v>1724</v>
      </c>
      <c r="F344" s="25" t="s">
        <v>1766</v>
      </c>
      <c r="G344" s="6" t="s">
        <v>632</v>
      </c>
      <c r="H344" s="97">
        <v>11</v>
      </c>
      <c r="I344" s="97">
        <v>9</v>
      </c>
      <c r="J344" s="6">
        <v>23</v>
      </c>
      <c r="K344" s="101">
        <v>27</v>
      </c>
      <c r="L344" s="130">
        <v>17</v>
      </c>
      <c r="M344" s="130">
        <v>13</v>
      </c>
      <c r="N344" s="130">
        <v>44</v>
      </c>
      <c r="O344" s="130">
        <v>56</v>
      </c>
      <c r="P344" s="218">
        <f t="shared" si="14"/>
        <v>200</v>
      </c>
    </row>
    <row r="345" spans="1:16" x14ac:dyDescent="0.35">
      <c r="A345" s="229"/>
      <c r="B345" s="232"/>
      <c r="C345" s="25" t="s">
        <v>1722</v>
      </c>
      <c r="D345" s="25" t="s">
        <v>1723</v>
      </c>
      <c r="E345" s="25" t="s">
        <v>1724</v>
      </c>
      <c r="F345" s="25" t="s">
        <v>1767</v>
      </c>
      <c r="G345" s="6" t="s">
        <v>633</v>
      </c>
      <c r="H345" s="97">
        <v>7</v>
      </c>
      <c r="I345" s="97">
        <v>8</v>
      </c>
      <c r="J345" s="6">
        <v>44</v>
      </c>
      <c r="K345" s="101">
        <v>56</v>
      </c>
      <c r="L345" s="130">
        <v>10</v>
      </c>
      <c r="M345" s="130">
        <v>11</v>
      </c>
      <c r="N345" s="130">
        <v>89</v>
      </c>
      <c r="O345" s="130">
        <v>111</v>
      </c>
      <c r="P345" s="218">
        <f t="shared" si="14"/>
        <v>336</v>
      </c>
    </row>
    <row r="346" spans="1:16" x14ac:dyDescent="0.35">
      <c r="A346" s="229"/>
      <c r="B346" s="232"/>
      <c r="C346" s="25" t="s">
        <v>1722</v>
      </c>
      <c r="D346" s="25" t="s">
        <v>1723</v>
      </c>
      <c r="E346" s="25" t="s">
        <v>1724</v>
      </c>
      <c r="F346" s="25" t="s">
        <v>1766</v>
      </c>
      <c r="G346" s="6" t="s">
        <v>634</v>
      </c>
      <c r="H346" s="97">
        <v>7</v>
      </c>
      <c r="I346" s="97">
        <v>3</v>
      </c>
      <c r="J346" s="6">
        <v>9</v>
      </c>
      <c r="K346" s="101">
        <v>10</v>
      </c>
      <c r="L346" s="130">
        <v>5</v>
      </c>
      <c r="M346" s="130">
        <v>6</v>
      </c>
      <c r="N346" s="130">
        <v>28</v>
      </c>
      <c r="O346" s="130">
        <v>22</v>
      </c>
      <c r="P346" s="218">
        <f t="shared" si="14"/>
        <v>90</v>
      </c>
    </row>
    <row r="347" spans="1:16" x14ac:dyDescent="0.35">
      <c r="A347" s="229"/>
      <c r="B347" s="232"/>
      <c r="C347" s="25" t="s">
        <v>1722</v>
      </c>
      <c r="D347" s="25" t="s">
        <v>1723</v>
      </c>
      <c r="E347" s="25" t="s">
        <v>1724</v>
      </c>
      <c r="F347" s="25" t="s">
        <v>1766</v>
      </c>
      <c r="G347" s="6" t="s">
        <v>635</v>
      </c>
      <c r="H347" s="97">
        <v>4</v>
      </c>
      <c r="I347" s="97">
        <v>5</v>
      </c>
      <c r="J347" s="6">
        <v>11</v>
      </c>
      <c r="K347" s="101">
        <v>14</v>
      </c>
      <c r="L347" s="130">
        <v>18</v>
      </c>
      <c r="M347" s="130">
        <v>24</v>
      </c>
      <c r="N347" s="130">
        <v>10</v>
      </c>
      <c r="O347" s="130">
        <v>18</v>
      </c>
      <c r="P347" s="218">
        <f t="shared" si="14"/>
        <v>104</v>
      </c>
    </row>
    <row r="348" spans="1:16" x14ac:dyDescent="0.35">
      <c r="A348" s="229"/>
      <c r="B348" s="232"/>
      <c r="C348" s="25" t="s">
        <v>1722</v>
      </c>
      <c r="D348" s="25" t="s">
        <v>1723</v>
      </c>
      <c r="E348" s="25" t="s">
        <v>1724</v>
      </c>
      <c r="F348" s="25" t="s">
        <v>1766</v>
      </c>
      <c r="G348" s="6" t="s">
        <v>636</v>
      </c>
      <c r="H348" s="97">
        <v>2</v>
      </c>
      <c r="I348" s="97">
        <v>3</v>
      </c>
      <c r="J348" s="6">
        <v>6</v>
      </c>
      <c r="K348" s="101">
        <v>7</v>
      </c>
      <c r="L348" s="130">
        <v>3</v>
      </c>
      <c r="M348" s="130">
        <v>5</v>
      </c>
      <c r="N348" s="130">
        <v>18</v>
      </c>
      <c r="O348" s="130">
        <v>22</v>
      </c>
      <c r="P348" s="218">
        <f t="shared" si="14"/>
        <v>66</v>
      </c>
    </row>
    <row r="349" spans="1:16" x14ac:dyDescent="0.35">
      <c r="A349" s="229"/>
      <c r="B349" s="232"/>
      <c r="C349" s="25" t="s">
        <v>1722</v>
      </c>
      <c r="D349" s="25" t="s">
        <v>1723</v>
      </c>
      <c r="E349" s="25" t="s">
        <v>1724</v>
      </c>
      <c r="F349" s="25" t="s">
        <v>1766</v>
      </c>
      <c r="G349" s="6" t="s">
        <v>637</v>
      </c>
      <c r="H349" s="97">
        <v>3</v>
      </c>
      <c r="I349" s="97">
        <v>4</v>
      </c>
      <c r="J349" s="6">
        <v>12</v>
      </c>
      <c r="K349" s="101">
        <v>11</v>
      </c>
      <c r="L349" s="130">
        <v>11</v>
      </c>
      <c r="M349" s="130">
        <v>7</v>
      </c>
      <c r="N349" s="130">
        <v>15</v>
      </c>
      <c r="O349" s="130">
        <v>13</v>
      </c>
      <c r="P349" s="218">
        <f t="shared" si="14"/>
        <v>76</v>
      </c>
    </row>
    <row r="350" spans="1:16" x14ac:dyDescent="0.35">
      <c r="A350" s="229"/>
      <c r="B350" s="232"/>
      <c r="C350" s="25" t="s">
        <v>1722</v>
      </c>
      <c r="D350" s="25" t="s">
        <v>1723</v>
      </c>
      <c r="E350" s="25" t="s">
        <v>1724</v>
      </c>
      <c r="F350" s="25" t="s">
        <v>1766</v>
      </c>
      <c r="G350" s="6" t="s">
        <v>638</v>
      </c>
      <c r="H350" s="97">
        <v>4</v>
      </c>
      <c r="I350" s="97">
        <v>4</v>
      </c>
      <c r="J350" s="6">
        <v>8</v>
      </c>
      <c r="K350" s="101">
        <v>13</v>
      </c>
      <c r="L350" s="130">
        <v>9</v>
      </c>
      <c r="M350" s="130">
        <v>8</v>
      </c>
      <c r="N350" s="130">
        <v>16</v>
      </c>
      <c r="O350" s="130">
        <v>14</v>
      </c>
      <c r="P350" s="218">
        <f t="shared" si="14"/>
        <v>76</v>
      </c>
    </row>
    <row r="351" spans="1:16" x14ac:dyDescent="0.35">
      <c r="A351" s="229"/>
      <c r="B351" s="232"/>
      <c r="C351" s="25" t="s">
        <v>1722</v>
      </c>
      <c r="D351" s="25" t="s">
        <v>1723</v>
      </c>
      <c r="E351" s="25" t="s">
        <v>1724</v>
      </c>
      <c r="F351" s="25" t="s">
        <v>1766</v>
      </c>
      <c r="G351" s="6" t="s">
        <v>639</v>
      </c>
      <c r="H351" s="97">
        <v>3</v>
      </c>
      <c r="I351" s="97">
        <v>4</v>
      </c>
      <c r="J351" s="6">
        <v>13</v>
      </c>
      <c r="K351" s="101">
        <v>13</v>
      </c>
      <c r="L351" s="130">
        <v>8</v>
      </c>
      <c r="M351" s="130">
        <v>7</v>
      </c>
      <c r="N351" s="130">
        <v>24</v>
      </c>
      <c r="O351" s="130">
        <v>20</v>
      </c>
      <c r="P351" s="218">
        <f t="shared" si="14"/>
        <v>92</v>
      </c>
    </row>
    <row r="352" spans="1:16" x14ac:dyDescent="0.35">
      <c r="A352" s="229"/>
      <c r="B352" s="232"/>
      <c r="C352" s="25" t="s">
        <v>1722</v>
      </c>
      <c r="D352" s="25" t="s">
        <v>1723</v>
      </c>
      <c r="E352" s="25" t="s">
        <v>1724</v>
      </c>
      <c r="F352" s="25" t="s">
        <v>1766</v>
      </c>
      <c r="G352" s="6" t="s">
        <v>640</v>
      </c>
      <c r="H352" s="97">
        <v>4</v>
      </c>
      <c r="I352" s="97">
        <v>4</v>
      </c>
      <c r="J352" s="6">
        <v>20</v>
      </c>
      <c r="K352" s="101">
        <v>22</v>
      </c>
      <c r="L352" s="130">
        <v>9</v>
      </c>
      <c r="M352" s="130">
        <v>11</v>
      </c>
      <c r="N352" s="130">
        <v>18</v>
      </c>
      <c r="O352" s="130">
        <v>12</v>
      </c>
      <c r="P352" s="218">
        <f t="shared" si="14"/>
        <v>100</v>
      </c>
    </row>
    <row r="353" spans="1:16" x14ac:dyDescent="0.35">
      <c r="A353" s="229"/>
      <c r="B353" s="232"/>
      <c r="C353" s="25" t="s">
        <v>1722</v>
      </c>
      <c r="D353" s="25" t="s">
        <v>1723</v>
      </c>
      <c r="E353" s="25" t="s">
        <v>1724</v>
      </c>
      <c r="F353" s="25" t="s">
        <v>1766</v>
      </c>
      <c r="G353" s="6" t="s">
        <v>641</v>
      </c>
      <c r="H353" s="97">
        <v>3</v>
      </c>
      <c r="I353" s="97">
        <v>4</v>
      </c>
      <c r="J353" s="6">
        <v>9</v>
      </c>
      <c r="K353" s="101">
        <v>10</v>
      </c>
      <c r="L353" s="130">
        <v>4</v>
      </c>
      <c r="M353" s="130">
        <v>6</v>
      </c>
      <c r="N353" s="130">
        <v>17</v>
      </c>
      <c r="O353" s="130">
        <v>21</v>
      </c>
      <c r="P353" s="218">
        <f t="shared" si="14"/>
        <v>74</v>
      </c>
    </row>
    <row r="354" spans="1:16" x14ac:dyDescent="0.35">
      <c r="A354" s="229"/>
      <c r="B354" s="232"/>
      <c r="C354" s="25" t="s">
        <v>1722</v>
      </c>
      <c r="D354" s="25" t="s">
        <v>1723</v>
      </c>
      <c r="E354" s="25" t="s">
        <v>1724</v>
      </c>
      <c r="F354" s="25" t="s">
        <v>1766</v>
      </c>
      <c r="G354" s="6" t="s">
        <v>642</v>
      </c>
      <c r="H354" s="97">
        <v>10</v>
      </c>
      <c r="I354" s="97">
        <v>10</v>
      </c>
      <c r="J354" s="6">
        <v>17</v>
      </c>
      <c r="K354" s="101">
        <v>18</v>
      </c>
      <c r="L354" s="130">
        <v>9</v>
      </c>
      <c r="M354" s="130">
        <v>8</v>
      </c>
      <c r="N354" s="130">
        <v>31</v>
      </c>
      <c r="O354" s="130">
        <v>29</v>
      </c>
      <c r="P354" s="218">
        <f t="shared" si="14"/>
        <v>132</v>
      </c>
    </row>
    <row r="355" spans="1:16" x14ac:dyDescent="0.35">
      <c r="A355" s="229"/>
      <c r="B355" s="232"/>
      <c r="C355" s="25" t="s">
        <v>1722</v>
      </c>
      <c r="D355" s="25" t="s">
        <v>1723</v>
      </c>
      <c r="E355" s="25" t="s">
        <v>1724</v>
      </c>
      <c r="F355" s="25" t="s">
        <v>1724</v>
      </c>
      <c r="G355" s="6" t="s">
        <v>643</v>
      </c>
      <c r="H355" s="97">
        <v>7</v>
      </c>
      <c r="I355" s="97">
        <v>8</v>
      </c>
      <c r="J355" s="6">
        <v>22</v>
      </c>
      <c r="K355" s="101">
        <v>23</v>
      </c>
      <c r="L355" s="130">
        <v>5</v>
      </c>
      <c r="M355" s="130">
        <v>4</v>
      </c>
      <c r="N355" s="130">
        <v>34</v>
      </c>
      <c r="O355" s="130">
        <v>22</v>
      </c>
      <c r="P355" s="218">
        <f t="shared" si="14"/>
        <v>125</v>
      </c>
    </row>
    <row r="356" spans="1:16" x14ac:dyDescent="0.35">
      <c r="A356" s="229"/>
      <c r="B356" s="232"/>
      <c r="C356" s="25" t="s">
        <v>1722</v>
      </c>
      <c r="D356" s="25" t="s">
        <v>1723</v>
      </c>
      <c r="E356" s="25" t="s">
        <v>1724</v>
      </c>
      <c r="F356" s="25" t="s">
        <v>1766</v>
      </c>
      <c r="G356" s="6" t="s">
        <v>644</v>
      </c>
      <c r="H356" s="97">
        <v>5</v>
      </c>
      <c r="I356" s="97">
        <v>5</v>
      </c>
      <c r="J356" s="6">
        <v>4</v>
      </c>
      <c r="K356" s="101">
        <v>6</v>
      </c>
      <c r="L356" s="130">
        <v>10</v>
      </c>
      <c r="M356" s="130">
        <v>7</v>
      </c>
      <c r="N356" s="130">
        <v>18</v>
      </c>
      <c r="O356" s="130">
        <v>12</v>
      </c>
      <c r="P356" s="218">
        <f t="shared" si="14"/>
        <v>67</v>
      </c>
    </row>
    <row r="357" spans="1:16" x14ac:dyDescent="0.35">
      <c r="A357" s="54"/>
      <c r="B357" s="60"/>
      <c r="C357" s="60"/>
      <c r="D357" s="60"/>
      <c r="E357" s="60"/>
      <c r="F357" s="60"/>
      <c r="G357" s="57" t="s">
        <v>2</v>
      </c>
      <c r="H357" s="172">
        <f t="shared" ref="H357:O357" si="16">SUM(H332:H356)</f>
        <v>152</v>
      </c>
      <c r="I357" s="172">
        <f t="shared" si="16"/>
        <v>156</v>
      </c>
      <c r="J357" s="171">
        <f t="shared" si="16"/>
        <v>462</v>
      </c>
      <c r="K357" s="171">
        <f t="shared" si="16"/>
        <v>513</v>
      </c>
      <c r="L357" s="129">
        <f t="shared" si="16"/>
        <v>201</v>
      </c>
      <c r="M357" s="129">
        <f t="shared" si="16"/>
        <v>193</v>
      </c>
      <c r="N357" s="126">
        <f t="shared" si="16"/>
        <v>692</v>
      </c>
      <c r="O357" s="126">
        <f t="shared" si="16"/>
        <v>748</v>
      </c>
      <c r="P357" s="217">
        <f t="shared" si="14"/>
        <v>3117</v>
      </c>
    </row>
    <row r="358" spans="1:16" x14ac:dyDescent="0.35">
      <c r="A358" s="229">
        <v>12</v>
      </c>
      <c r="B358" s="233" t="s">
        <v>1763</v>
      </c>
      <c r="C358" s="25" t="s">
        <v>1722</v>
      </c>
      <c r="D358" s="25" t="s">
        <v>1723</v>
      </c>
      <c r="E358" s="2" t="s">
        <v>1762</v>
      </c>
      <c r="F358" s="2" t="s">
        <v>1759</v>
      </c>
      <c r="G358" s="6" t="s">
        <v>245</v>
      </c>
      <c r="H358" s="97">
        <v>5</v>
      </c>
      <c r="I358" s="97">
        <v>5</v>
      </c>
      <c r="J358" s="6">
        <v>33</v>
      </c>
      <c r="K358" s="101">
        <v>42</v>
      </c>
      <c r="L358" s="130">
        <v>12</v>
      </c>
      <c r="M358" s="130">
        <v>15</v>
      </c>
      <c r="N358" s="130">
        <v>18</v>
      </c>
      <c r="O358" s="130">
        <v>15</v>
      </c>
      <c r="P358" s="218">
        <f t="shared" si="14"/>
        <v>145</v>
      </c>
    </row>
    <row r="359" spans="1:16" x14ac:dyDescent="0.35">
      <c r="A359" s="229"/>
      <c r="B359" s="233"/>
      <c r="C359" s="25" t="s">
        <v>1722</v>
      </c>
      <c r="D359" s="25" t="s">
        <v>1723</v>
      </c>
      <c r="E359" s="2" t="s">
        <v>1761</v>
      </c>
      <c r="F359" s="2" t="s">
        <v>1763</v>
      </c>
      <c r="G359" s="6" t="s">
        <v>645</v>
      </c>
      <c r="H359" s="97">
        <v>2</v>
      </c>
      <c r="I359" s="97">
        <v>2</v>
      </c>
      <c r="J359" s="6">
        <v>38</v>
      </c>
      <c r="K359" s="101">
        <v>39</v>
      </c>
      <c r="L359" s="130">
        <v>21</v>
      </c>
      <c r="M359" s="130">
        <v>21</v>
      </c>
      <c r="N359" s="130">
        <v>20</v>
      </c>
      <c r="O359" s="130">
        <v>14</v>
      </c>
      <c r="P359" s="218">
        <f t="shared" si="14"/>
        <v>157</v>
      </c>
    </row>
    <row r="360" spans="1:16" x14ac:dyDescent="0.35">
      <c r="A360" s="229"/>
      <c r="B360" s="233"/>
      <c r="C360" s="25" t="s">
        <v>1722</v>
      </c>
      <c r="D360" s="25" t="s">
        <v>1723</v>
      </c>
      <c r="E360" s="2" t="s">
        <v>1761</v>
      </c>
      <c r="F360" s="2" t="s">
        <v>1763</v>
      </c>
      <c r="G360" s="6" t="s">
        <v>232</v>
      </c>
      <c r="H360" s="97">
        <v>8</v>
      </c>
      <c r="I360" s="97">
        <v>4</v>
      </c>
      <c r="J360" s="6">
        <v>26</v>
      </c>
      <c r="K360" s="101">
        <v>28</v>
      </c>
      <c r="L360" s="130">
        <v>6</v>
      </c>
      <c r="M360" s="130">
        <v>4</v>
      </c>
      <c r="N360" s="130">
        <v>8</v>
      </c>
      <c r="O360" s="130">
        <v>7</v>
      </c>
      <c r="P360" s="218">
        <f t="shared" si="14"/>
        <v>91</v>
      </c>
    </row>
    <row r="361" spans="1:16" x14ac:dyDescent="0.35">
      <c r="A361" s="229"/>
      <c r="B361" s="233"/>
      <c r="C361" s="25" t="s">
        <v>1722</v>
      </c>
      <c r="D361" s="25" t="s">
        <v>1723</v>
      </c>
      <c r="E361" s="2" t="s">
        <v>1761</v>
      </c>
      <c r="F361" s="2" t="s">
        <v>1763</v>
      </c>
      <c r="G361" s="6" t="s">
        <v>646</v>
      </c>
      <c r="H361" s="97">
        <v>3</v>
      </c>
      <c r="I361" s="97">
        <v>5</v>
      </c>
      <c r="J361" s="6">
        <v>17</v>
      </c>
      <c r="K361" s="101">
        <v>17</v>
      </c>
      <c r="L361" s="130">
        <v>8</v>
      </c>
      <c r="M361" s="130">
        <v>7</v>
      </c>
      <c r="N361" s="130">
        <v>12</v>
      </c>
      <c r="O361" s="130">
        <v>11</v>
      </c>
      <c r="P361" s="218">
        <f t="shared" si="14"/>
        <v>80</v>
      </c>
    </row>
    <row r="362" spans="1:16" x14ac:dyDescent="0.35">
      <c r="A362" s="229"/>
      <c r="B362" s="233"/>
      <c r="C362" s="25" t="s">
        <v>1722</v>
      </c>
      <c r="D362" s="25" t="s">
        <v>1723</v>
      </c>
      <c r="E362" s="2" t="s">
        <v>1761</v>
      </c>
      <c r="F362" s="2" t="s">
        <v>1763</v>
      </c>
      <c r="G362" s="6" t="s">
        <v>647</v>
      </c>
      <c r="H362" s="97">
        <v>4</v>
      </c>
      <c r="I362" s="97">
        <v>2</v>
      </c>
      <c r="J362" s="6">
        <v>10</v>
      </c>
      <c r="K362" s="101">
        <v>11</v>
      </c>
      <c r="L362" s="130">
        <v>3</v>
      </c>
      <c r="M362" s="130">
        <v>1</v>
      </c>
      <c r="N362" s="130">
        <v>7</v>
      </c>
      <c r="O362" s="130">
        <v>6</v>
      </c>
      <c r="P362" s="218">
        <f t="shared" si="14"/>
        <v>44</v>
      </c>
    </row>
    <row r="363" spans="1:16" x14ac:dyDescent="0.35">
      <c r="A363" s="229"/>
      <c r="B363" s="233"/>
      <c r="C363" s="25" t="s">
        <v>1722</v>
      </c>
      <c r="D363" s="25" t="s">
        <v>1723</v>
      </c>
      <c r="E363" s="2" t="s">
        <v>1761</v>
      </c>
      <c r="F363" s="2" t="s">
        <v>1763</v>
      </c>
      <c r="G363" s="6" t="s">
        <v>648</v>
      </c>
      <c r="H363" s="97">
        <v>1</v>
      </c>
      <c r="I363" s="97">
        <v>2</v>
      </c>
      <c r="J363" s="6">
        <v>5</v>
      </c>
      <c r="K363" s="101">
        <v>8</v>
      </c>
      <c r="L363" s="130">
        <v>4</v>
      </c>
      <c r="M363" s="130">
        <v>6</v>
      </c>
      <c r="N363" s="130">
        <v>9</v>
      </c>
      <c r="O363" s="130">
        <v>7</v>
      </c>
      <c r="P363" s="218">
        <f t="shared" si="14"/>
        <v>42</v>
      </c>
    </row>
    <row r="364" spans="1:16" x14ac:dyDescent="0.35">
      <c r="A364" s="229"/>
      <c r="B364" s="233"/>
      <c r="C364" s="25" t="s">
        <v>1722</v>
      </c>
      <c r="D364" s="25" t="s">
        <v>1723</v>
      </c>
      <c r="E364" s="2" t="s">
        <v>1761</v>
      </c>
      <c r="F364" s="2" t="s">
        <v>1763</v>
      </c>
      <c r="G364" s="6" t="s">
        <v>649</v>
      </c>
      <c r="H364" s="97">
        <v>3</v>
      </c>
      <c r="I364" s="97">
        <v>4</v>
      </c>
      <c r="J364" s="6">
        <v>21</v>
      </c>
      <c r="K364" s="101">
        <v>22</v>
      </c>
      <c r="L364" s="130">
        <v>4</v>
      </c>
      <c r="M364" s="130">
        <v>7</v>
      </c>
      <c r="N364" s="130">
        <v>10</v>
      </c>
      <c r="O364" s="130">
        <v>8</v>
      </c>
      <c r="P364" s="218">
        <f t="shared" si="14"/>
        <v>79</v>
      </c>
    </row>
    <row r="365" spans="1:16" x14ac:dyDescent="0.35">
      <c r="A365" s="229"/>
      <c r="B365" s="233"/>
      <c r="C365" s="25" t="s">
        <v>1722</v>
      </c>
      <c r="D365" s="25" t="s">
        <v>1723</v>
      </c>
      <c r="E365" s="2" t="s">
        <v>1761</v>
      </c>
      <c r="F365" s="2" t="s">
        <v>1763</v>
      </c>
      <c r="G365" s="6" t="s">
        <v>650</v>
      </c>
      <c r="H365" s="97">
        <v>1</v>
      </c>
      <c r="I365" s="97">
        <v>3</v>
      </c>
      <c r="J365" s="6">
        <v>13</v>
      </c>
      <c r="K365" s="101">
        <v>14</v>
      </c>
      <c r="L365" s="130">
        <v>4</v>
      </c>
      <c r="M365" s="130">
        <v>6</v>
      </c>
      <c r="N365" s="130">
        <v>12</v>
      </c>
      <c r="O365" s="130">
        <v>10</v>
      </c>
      <c r="P365" s="218">
        <f t="shared" si="14"/>
        <v>63</v>
      </c>
    </row>
    <row r="366" spans="1:16" x14ac:dyDescent="0.35">
      <c r="A366" s="229"/>
      <c r="B366" s="233"/>
      <c r="C366" s="25" t="s">
        <v>1722</v>
      </c>
      <c r="D366" s="25" t="s">
        <v>1723</v>
      </c>
      <c r="E366" s="2" t="s">
        <v>1761</v>
      </c>
      <c r="F366" s="2" t="s">
        <v>1763</v>
      </c>
      <c r="G366" s="6" t="s">
        <v>651</v>
      </c>
      <c r="H366" s="97">
        <v>2</v>
      </c>
      <c r="I366" s="97">
        <v>3</v>
      </c>
      <c r="J366" s="6">
        <v>14</v>
      </c>
      <c r="K366" s="101">
        <v>15</v>
      </c>
      <c r="L366" s="130">
        <v>6</v>
      </c>
      <c r="M366" s="130">
        <v>5</v>
      </c>
      <c r="N366" s="130">
        <v>9</v>
      </c>
      <c r="O366" s="130">
        <v>11</v>
      </c>
      <c r="P366" s="218">
        <f t="shared" si="14"/>
        <v>65</v>
      </c>
    </row>
    <row r="367" spans="1:16" x14ac:dyDescent="0.35">
      <c r="A367" s="229"/>
      <c r="B367" s="233"/>
      <c r="C367" s="25" t="s">
        <v>1722</v>
      </c>
      <c r="D367" s="25" t="s">
        <v>1723</v>
      </c>
      <c r="E367" s="2" t="s">
        <v>1761</v>
      </c>
      <c r="F367" s="2" t="s">
        <v>1763</v>
      </c>
      <c r="G367" s="6" t="s">
        <v>652</v>
      </c>
      <c r="H367" s="97">
        <v>10</v>
      </c>
      <c r="I367" s="97">
        <v>11</v>
      </c>
      <c r="J367" s="6">
        <v>37</v>
      </c>
      <c r="K367" s="101">
        <v>36</v>
      </c>
      <c r="L367" s="130">
        <v>22</v>
      </c>
      <c r="M367" s="130">
        <v>21</v>
      </c>
      <c r="N367" s="130">
        <v>26</v>
      </c>
      <c r="O367" s="130">
        <v>29</v>
      </c>
      <c r="P367" s="218">
        <f t="shared" si="14"/>
        <v>192</v>
      </c>
    </row>
    <row r="368" spans="1:16" x14ac:dyDescent="0.35">
      <c r="A368" s="229"/>
      <c r="B368" s="233"/>
      <c r="C368" s="25" t="s">
        <v>1722</v>
      </c>
      <c r="D368" s="25" t="s">
        <v>1723</v>
      </c>
      <c r="E368" s="2" t="s">
        <v>1761</v>
      </c>
      <c r="F368" s="2" t="s">
        <v>1763</v>
      </c>
      <c r="G368" s="6" t="s">
        <v>653</v>
      </c>
      <c r="H368" s="97">
        <v>2</v>
      </c>
      <c r="I368" s="97">
        <v>2</v>
      </c>
      <c r="J368" s="6">
        <v>6</v>
      </c>
      <c r="K368" s="101">
        <v>7</v>
      </c>
      <c r="L368" s="130">
        <v>6</v>
      </c>
      <c r="M368" s="130">
        <v>4</v>
      </c>
      <c r="N368" s="130">
        <v>9</v>
      </c>
      <c r="O368" s="130">
        <v>11</v>
      </c>
      <c r="P368" s="218">
        <f t="shared" si="14"/>
        <v>47</v>
      </c>
    </row>
    <row r="369" spans="1:16" x14ac:dyDescent="0.35">
      <c r="A369" s="229"/>
      <c r="B369" s="233"/>
      <c r="C369" s="25" t="s">
        <v>1722</v>
      </c>
      <c r="D369" s="25" t="s">
        <v>1723</v>
      </c>
      <c r="E369" s="2" t="s">
        <v>1761</v>
      </c>
      <c r="F369" s="2" t="s">
        <v>1763</v>
      </c>
      <c r="G369" s="6" t="s">
        <v>654</v>
      </c>
      <c r="H369" s="97">
        <v>7</v>
      </c>
      <c r="I369" s="97">
        <v>8</v>
      </c>
      <c r="J369" s="6">
        <v>40</v>
      </c>
      <c r="K369" s="101">
        <v>41</v>
      </c>
      <c r="L369" s="130">
        <v>16</v>
      </c>
      <c r="M369" s="130">
        <v>15</v>
      </c>
      <c r="N369" s="130">
        <v>17</v>
      </c>
      <c r="O369" s="130">
        <v>19</v>
      </c>
      <c r="P369" s="218">
        <f t="shared" si="14"/>
        <v>163</v>
      </c>
    </row>
    <row r="370" spans="1:16" x14ac:dyDescent="0.35">
      <c r="A370" s="229"/>
      <c r="B370" s="233"/>
      <c r="C370" s="25" t="s">
        <v>1722</v>
      </c>
      <c r="D370" s="25" t="s">
        <v>1723</v>
      </c>
      <c r="E370" s="2" t="s">
        <v>1761</v>
      </c>
      <c r="F370" s="2" t="s">
        <v>1763</v>
      </c>
      <c r="G370" s="6" t="s">
        <v>227</v>
      </c>
      <c r="H370" s="97">
        <v>4</v>
      </c>
      <c r="I370" s="97">
        <v>2</v>
      </c>
      <c r="J370" s="6">
        <v>29</v>
      </c>
      <c r="K370" s="101">
        <v>28</v>
      </c>
      <c r="L370" s="130">
        <v>6</v>
      </c>
      <c r="M370" s="130">
        <v>7</v>
      </c>
      <c r="N370" s="130">
        <v>10</v>
      </c>
      <c r="O370" s="130">
        <v>11</v>
      </c>
      <c r="P370" s="218">
        <f t="shared" si="14"/>
        <v>97</v>
      </c>
    </row>
    <row r="371" spans="1:16" x14ac:dyDescent="0.35">
      <c r="A371" s="229"/>
      <c r="B371" s="233"/>
      <c r="C371" s="25" t="s">
        <v>1722</v>
      </c>
      <c r="D371" s="25" t="s">
        <v>1723</v>
      </c>
      <c r="E371" s="2" t="s">
        <v>1761</v>
      </c>
      <c r="F371" s="2" t="s">
        <v>1763</v>
      </c>
      <c r="G371" s="6" t="s">
        <v>655</v>
      </c>
      <c r="H371" s="97">
        <v>7</v>
      </c>
      <c r="I371" s="97">
        <v>8</v>
      </c>
      <c r="J371" s="6">
        <v>14</v>
      </c>
      <c r="K371" s="101">
        <v>16</v>
      </c>
      <c r="L371" s="130">
        <v>20</v>
      </c>
      <c r="M371" s="130">
        <v>24</v>
      </c>
      <c r="N371" s="130">
        <v>33</v>
      </c>
      <c r="O371" s="130">
        <v>25</v>
      </c>
      <c r="P371" s="218">
        <f t="shared" si="14"/>
        <v>147</v>
      </c>
    </row>
    <row r="372" spans="1:16" x14ac:dyDescent="0.35">
      <c r="A372" s="229"/>
      <c r="B372" s="233"/>
      <c r="C372" s="25" t="s">
        <v>1722</v>
      </c>
      <c r="D372" s="25" t="s">
        <v>1723</v>
      </c>
      <c r="E372" s="2" t="s">
        <v>1761</v>
      </c>
      <c r="F372" s="2" t="s">
        <v>1763</v>
      </c>
      <c r="G372" s="6" t="s">
        <v>656</v>
      </c>
      <c r="H372" s="97">
        <v>6</v>
      </c>
      <c r="I372" s="97">
        <v>4</v>
      </c>
      <c r="J372" s="6">
        <v>32</v>
      </c>
      <c r="K372" s="101">
        <v>34</v>
      </c>
      <c r="L372" s="130">
        <v>17</v>
      </c>
      <c r="M372" s="130">
        <v>15</v>
      </c>
      <c r="N372" s="130">
        <v>17</v>
      </c>
      <c r="O372" s="130">
        <v>21</v>
      </c>
      <c r="P372" s="218">
        <f t="shared" si="14"/>
        <v>146</v>
      </c>
    </row>
    <row r="373" spans="1:16" x14ac:dyDescent="0.35">
      <c r="A373" s="229"/>
      <c r="B373" s="233"/>
      <c r="C373" s="25" t="s">
        <v>1722</v>
      </c>
      <c r="D373" s="25" t="s">
        <v>1723</v>
      </c>
      <c r="E373" s="2" t="s">
        <v>1761</v>
      </c>
      <c r="F373" s="2" t="s">
        <v>1763</v>
      </c>
      <c r="G373" s="6" t="s">
        <v>657</v>
      </c>
      <c r="H373" s="97">
        <v>6</v>
      </c>
      <c r="I373" s="97">
        <v>7</v>
      </c>
      <c r="J373" s="6">
        <v>7</v>
      </c>
      <c r="K373" s="101">
        <v>9</v>
      </c>
      <c r="L373" s="130">
        <v>4</v>
      </c>
      <c r="M373" s="130">
        <v>6</v>
      </c>
      <c r="N373" s="130">
        <v>9</v>
      </c>
      <c r="O373" s="130">
        <v>10</v>
      </c>
      <c r="P373" s="218">
        <f t="shared" si="14"/>
        <v>58</v>
      </c>
    </row>
    <row r="374" spans="1:16" x14ac:dyDescent="0.35">
      <c r="A374" s="229"/>
      <c r="B374" s="233"/>
      <c r="C374" s="25" t="s">
        <v>1722</v>
      </c>
      <c r="D374" s="25" t="s">
        <v>1723</v>
      </c>
      <c r="E374" s="2" t="s">
        <v>1761</v>
      </c>
      <c r="F374" s="2" t="s">
        <v>1763</v>
      </c>
      <c r="G374" s="6" t="s">
        <v>658</v>
      </c>
      <c r="H374" s="97">
        <v>3</v>
      </c>
      <c r="I374" s="97">
        <v>2</v>
      </c>
      <c r="J374" s="6">
        <v>13</v>
      </c>
      <c r="K374" s="101">
        <v>11</v>
      </c>
      <c r="L374" s="130">
        <v>4</v>
      </c>
      <c r="M374" s="130">
        <v>2</v>
      </c>
      <c r="N374" s="131">
        <v>4</v>
      </c>
      <c r="O374" s="130">
        <v>6</v>
      </c>
      <c r="P374" s="218">
        <f t="shared" si="14"/>
        <v>45</v>
      </c>
    </row>
    <row r="375" spans="1:16" x14ac:dyDescent="0.35">
      <c r="A375" s="229"/>
      <c r="B375" s="233"/>
      <c r="C375" s="25" t="s">
        <v>1722</v>
      </c>
      <c r="D375" s="25" t="s">
        <v>1723</v>
      </c>
      <c r="E375" s="2" t="s">
        <v>1761</v>
      </c>
      <c r="F375" s="2" t="s">
        <v>1763</v>
      </c>
      <c r="G375" s="6" t="s">
        <v>659</v>
      </c>
      <c r="H375" s="97">
        <v>13</v>
      </c>
      <c r="I375" s="97">
        <v>7</v>
      </c>
      <c r="J375" s="6">
        <v>42</v>
      </c>
      <c r="K375" s="101">
        <v>36</v>
      </c>
      <c r="L375" s="130">
        <v>13</v>
      </c>
      <c r="M375" s="130">
        <v>15</v>
      </c>
      <c r="N375" s="131">
        <v>22</v>
      </c>
      <c r="O375" s="130">
        <v>25</v>
      </c>
      <c r="P375" s="218">
        <f t="shared" si="14"/>
        <v>173</v>
      </c>
    </row>
    <row r="376" spans="1:16" x14ac:dyDescent="0.35">
      <c r="A376" s="54"/>
      <c r="B376" s="66"/>
      <c r="C376" s="66"/>
      <c r="D376" s="66"/>
      <c r="E376" s="66"/>
      <c r="F376" s="66"/>
      <c r="G376" s="58" t="s">
        <v>2</v>
      </c>
      <c r="H376" s="172">
        <f t="shared" ref="H376:O376" si="17">SUM(H358:H375)</f>
        <v>87</v>
      </c>
      <c r="I376" s="172">
        <f t="shared" si="17"/>
        <v>81</v>
      </c>
      <c r="J376" s="171">
        <f t="shared" si="17"/>
        <v>397</v>
      </c>
      <c r="K376" s="171">
        <f t="shared" si="17"/>
        <v>414</v>
      </c>
      <c r="L376" s="129">
        <f t="shared" si="17"/>
        <v>176</v>
      </c>
      <c r="M376" s="129">
        <f t="shared" si="17"/>
        <v>181</v>
      </c>
      <c r="N376" s="126">
        <f t="shared" si="17"/>
        <v>252</v>
      </c>
      <c r="O376" s="126">
        <f t="shared" si="17"/>
        <v>246</v>
      </c>
      <c r="P376" s="217">
        <f t="shared" si="14"/>
        <v>1834</v>
      </c>
    </row>
    <row r="377" spans="1:16" x14ac:dyDescent="0.35">
      <c r="A377" s="229">
        <v>13</v>
      </c>
      <c r="B377" s="230" t="s">
        <v>1892</v>
      </c>
      <c r="C377" s="25" t="s">
        <v>1722</v>
      </c>
      <c r="D377" s="25" t="s">
        <v>1723</v>
      </c>
      <c r="E377" s="26" t="s">
        <v>1733</v>
      </c>
      <c r="F377" s="26" t="s">
        <v>1768</v>
      </c>
      <c r="G377" s="6" t="s">
        <v>660</v>
      </c>
      <c r="H377" s="97">
        <v>7</v>
      </c>
      <c r="I377" s="97">
        <v>8</v>
      </c>
      <c r="J377" s="6">
        <v>28</v>
      </c>
      <c r="K377" s="101">
        <v>32</v>
      </c>
      <c r="L377" s="130">
        <v>26</v>
      </c>
      <c r="M377" s="130">
        <v>22</v>
      </c>
      <c r="N377" s="131">
        <v>19</v>
      </c>
      <c r="O377" s="130">
        <v>21</v>
      </c>
      <c r="P377" s="218">
        <f t="shared" si="14"/>
        <v>163</v>
      </c>
    </row>
    <row r="378" spans="1:16" x14ac:dyDescent="0.35">
      <c r="A378" s="229"/>
      <c r="B378" s="230"/>
      <c r="C378" s="25" t="s">
        <v>1722</v>
      </c>
      <c r="D378" s="25" t="s">
        <v>1723</v>
      </c>
      <c r="E378" s="26" t="s">
        <v>1733</v>
      </c>
      <c r="F378" s="26" t="s">
        <v>1768</v>
      </c>
      <c r="G378" s="6" t="s">
        <v>661</v>
      </c>
      <c r="H378" s="97">
        <v>4</v>
      </c>
      <c r="I378" s="97">
        <v>4</v>
      </c>
      <c r="J378" s="6">
        <v>26</v>
      </c>
      <c r="K378" s="101">
        <v>25</v>
      </c>
      <c r="L378" s="130">
        <v>19</v>
      </c>
      <c r="M378" s="130">
        <v>15</v>
      </c>
      <c r="N378" s="131">
        <v>25</v>
      </c>
      <c r="O378" s="130">
        <v>23</v>
      </c>
      <c r="P378" s="218">
        <f t="shared" si="14"/>
        <v>141</v>
      </c>
    </row>
    <row r="379" spans="1:16" x14ac:dyDescent="0.35">
      <c r="A379" s="229"/>
      <c r="B379" s="230"/>
      <c r="C379" s="25" t="s">
        <v>1722</v>
      </c>
      <c r="D379" s="25" t="s">
        <v>1723</v>
      </c>
      <c r="E379" s="26" t="s">
        <v>1733</v>
      </c>
      <c r="F379" s="26" t="s">
        <v>1768</v>
      </c>
      <c r="G379" s="6" t="s">
        <v>662</v>
      </c>
      <c r="H379" s="97">
        <v>13</v>
      </c>
      <c r="I379" s="97">
        <v>14</v>
      </c>
      <c r="J379" s="6">
        <v>54</v>
      </c>
      <c r="K379" s="101">
        <v>56</v>
      </c>
      <c r="L379" s="130">
        <v>17</v>
      </c>
      <c r="M379" s="130">
        <v>23</v>
      </c>
      <c r="N379" s="131">
        <v>41</v>
      </c>
      <c r="O379" s="130">
        <v>35</v>
      </c>
      <c r="P379" s="218">
        <f t="shared" si="14"/>
        <v>253</v>
      </c>
    </row>
    <row r="380" spans="1:16" x14ac:dyDescent="0.35">
      <c r="A380" s="229"/>
      <c r="B380" s="230"/>
      <c r="C380" s="25" t="s">
        <v>1722</v>
      </c>
      <c r="D380" s="25" t="s">
        <v>1723</v>
      </c>
      <c r="E380" s="26" t="s">
        <v>1733</v>
      </c>
      <c r="F380" s="26" t="s">
        <v>1768</v>
      </c>
      <c r="G380" s="6" t="s">
        <v>663</v>
      </c>
      <c r="H380" s="97">
        <v>10</v>
      </c>
      <c r="I380" s="97">
        <v>11</v>
      </c>
      <c r="J380" s="6">
        <v>16</v>
      </c>
      <c r="K380" s="101">
        <v>14</v>
      </c>
      <c r="L380" s="130">
        <v>22</v>
      </c>
      <c r="M380" s="130">
        <v>25</v>
      </c>
      <c r="N380" s="131">
        <v>11</v>
      </c>
      <c r="O380" s="130">
        <v>13</v>
      </c>
      <c r="P380" s="218">
        <f t="shared" si="14"/>
        <v>122</v>
      </c>
    </row>
    <row r="381" spans="1:16" x14ac:dyDescent="0.35">
      <c r="A381" s="229"/>
      <c r="B381" s="230"/>
      <c r="C381" s="25" t="s">
        <v>1722</v>
      </c>
      <c r="D381" s="25" t="s">
        <v>1723</v>
      </c>
      <c r="E381" s="26" t="s">
        <v>1733</v>
      </c>
      <c r="F381" s="26" t="s">
        <v>1768</v>
      </c>
      <c r="G381" s="6" t="s">
        <v>664</v>
      </c>
      <c r="H381" s="97">
        <v>4</v>
      </c>
      <c r="I381" s="97">
        <v>5</v>
      </c>
      <c r="J381" s="6">
        <v>20</v>
      </c>
      <c r="K381" s="101">
        <v>21</v>
      </c>
      <c r="L381" s="130">
        <v>24</v>
      </c>
      <c r="M381" s="130">
        <v>21</v>
      </c>
      <c r="N381" s="131">
        <v>46</v>
      </c>
      <c r="O381" s="130">
        <v>54</v>
      </c>
      <c r="P381" s="218">
        <f t="shared" si="14"/>
        <v>195</v>
      </c>
    </row>
    <row r="382" spans="1:16" x14ac:dyDescent="0.35">
      <c r="A382" s="229"/>
      <c r="B382" s="230"/>
      <c r="C382" s="25" t="s">
        <v>1722</v>
      </c>
      <c r="D382" s="25" t="s">
        <v>1723</v>
      </c>
      <c r="E382" s="26" t="s">
        <v>1733</v>
      </c>
      <c r="F382" s="26" t="s">
        <v>1768</v>
      </c>
      <c r="G382" s="6" t="s">
        <v>665</v>
      </c>
      <c r="H382" s="97">
        <v>10</v>
      </c>
      <c r="I382" s="97">
        <v>11</v>
      </c>
      <c r="J382" s="6">
        <v>20</v>
      </c>
      <c r="K382" s="101">
        <v>18</v>
      </c>
      <c r="L382" s="130">
        <v>13</v>
      </c>
      <c r="M382" s="130">
        <v>14</v>
      </c>
      <c r="N382" s="131">
        <v>42</v>
      </c>
      <c r="O382" s="130">
        <v>44</v>
      </c>
      <c r="P382" s="218">
        <f t="shared" si="14"/>
        <v>172</v>
      </c>
    </row>
    <row r="383" spans="1:16" x14ac:dyDescent="0.35">
      <c r="A383" s="229"/>
      <c r="B383" s="230"/>
      <c r="C383" s="25" t="s">
        <v>1722</v>
      </c>
      <c r="D383" s="25" t="s">
        <v>1723</v>
      </c>
      <c r="E383" s="26" t="s">
        <v>1733</v>
      </c>
      <c r="F383" s="26" t="s">
        <v>1768</v>
      </c>
      <c r="G383" s="6" t="s">
        <v>666</v>
      </c>
      <c r="H383" s="97">
        <v>3</v>
      </c>
      <c r="I383" s="97">
        <v>3</v>
      </c>
      <c r="J383" s="6">
        <v>7</v>
      </c>
      <c r="K383" s="101">
        <v>8</v>
      </c>
      <c r="L383" s="130">
        <v>10</v>
      </c>
      <c r="M383" s="130">
        <v>15</v>
      </c>
      <c r="N383" s="131">
        <v>17</v>
      </c>
      <c r="O383" s="130">
        <v>23</v>
      </c>
      <c r="P383" s="218">
        <f t="shared" si="14"/>
        <v>86</v>
      </c>
    </row>
    <row r="384" spans="1:16" x14ac:dyDescent="0.35">
      <c r="A384" s="229"/>
      <c r="B384" s="230"/>
      <c r="C384" s="25" t="s">
        <v>1722</v>
      </c>
      <c r="D384" s="25" t="s">
        <v>1723</v>
      </c>
      <c r="E384" s="26" t="s">
        <v>1733</v>
      </c>
      <c r="F384" s="26" t="s">
        <v>1768</v>
      </c>
      <c r="G384" s="6" t="s">
        <v>625</v>
      </c>
      <c r="H384" s="97">
        <v>3</v>
      </c>
      <c r="I384" s="97">
        <v>4</v>
      </c>
      <c r="J384" s="6">
        <v>50</v>
      </c>
      <c r="K384" s="101">
        <v>42</v>
      </c>
      <c r="L384" s="130">
        <v>46</v>
      </c>
      <c r="M384" s="130">
        <v>48</v>
      </c>
      <c r="N384" s="131">
        <v>50</v>
      </c>
      <c r="O384" s="130">
        <v>60</v>
      </c>
      <c r="P384" s="218">
        <f t="shared" si="14"/>
        <v>303</v>
      </c>
    </row>
    <row r="385" spans="1:16" x14ac:dyDescent="0.35">
      <c r="A385" s="229"/>
      <c r="B385" s="230"/>
      <c r="C385" s="25" t="s">
        <v>1722</v>
      </c>
      <c r="D385" s="25" t="s">
        <v>1723</v>
      </c>
      <c r="E385" s="26" t="s">
        <v>1733</v>
      </c>
      <c r="F385" s="26" t="s">
        <v>1768</v>
      </c>
      <c r="G385" s="6" t="s">
        <v>667</v>
      </c>
      <c r="H385" s="97">
        <v>17</v>
      </c>
      <c r="I385" s="97">
        <v>17</v>
      </c>
      <c r="J385" s="6">
        <v>22</v>
      </c>
      <c r="K385" s="101">
        <v>24</v>
      </c>
      <c r="L385" s="130">
        <v>10</v>
      </c>
      <c r="M385" s="130">
        <v>11</v>
      </c>
      <c r="N385" s="131">
        <v>32</v>
      </c>
      <c r="O385" s="130">
        <v>34</v>
      </c>
      <c r="P385" s="218">
        <f t="shared" si="14"/>
        <v>167</v>
      </c>
    </row>
    <row r="386" spans="1:16" x14ac:dyDescent="0.35">
      <c r="A386" s="229"/>
      <c r="B386" s="230"/>
      <c r="C386" s="25" t="s">
        <v>1722</v>
      </c>
      <c r="D386" s="25" t="s">
        <v>1723</v>
      </c>
      <c r="E386" s="26" t="s">
        <v>1733</v>
      </c>
      <c r="F386" s="26" t="s">
        <v>1768</v>
      </c>
      <c r="G386" s="6" t="s">
        <v>668</v>
      </c>
      <c r="H386" s="97">
        <v>7</v>
      </c>
      <c r="I386" s="97">
        <v>8</v>
      </c>
      <c r="J386" s="6">
        <v>47</v>
      </c>
      <c r="K386" s="101">
        <v>48</v>
      </c>
      <c r="L386" s="130">
        <v>21</v>
      </c>
      <c r="M386" s="130">
        <v>20</v>
      </c>
      <c r="N386" s="131">
        <v>69</v>
      </c>
      <c r="O386" s="130">
        <v>67</v>
      </c>
      <c r="P386" s="218">
        <f t="shared" si="14"/>
        <v>287</v>
      </c>
    </row>
    <row r="387" spans="1:16" x14ac:dyDescent="0.35">
      <c r="A387" s="229"/>
      <c r="B387" s="230"/>
      <c r="C387" s="25" t="s">
        <v>1722</v>
      </c>
      <c r="D387" s="25" t="s">
        <v>1723</v>
      </c>
      <c r="E387" s="26" t="s">
        <v>1733</v>
      </c>
      <c r="F387" s="26" t="s">
        <v>1768</v>
      </c>
      <c r="G387" s="6" t="s">
        <v>669</v>
      </c>
      <c r="H387" s="97">
        <v>8</v>
      </c>
      <c r="I387" s="97">
        <v>8</v>
      </c>
      <c r="J387" s="6">
        <v>37</v>
      </c>
      <c r="K387" s="101">
        <v>38</v>
      </c>
      <c r="L387" s="130">
        <v>12</v>
      </c>
      <c r="M387" s="130">
        <v>10</v>
      </c>
      <c r="N387" s="131">
        <v>25</v>
      </c>
      <c r="O387" s="130">
        <v>23</v>
      </c>
      <c r="P387" s="218">
        <f t="shared" si="14"/>
        <v>161</v>
      </c>
    </row>
    <row r="388" spans="1:16" x14ac:dyDescent="0.35">
      <c r="A388" s="229"/>
      <c r="B388" s="230"/>
      <c r="C388" s="25" t="s">
        <v>1722</v>
      </c>
      <c r="D388" s="25" t="s">
        <v>1723</v>
      </c>
      <c r="E388" s="26" t="s">
        <v>1733</v>
      </c>
      <c r="F388" s="26" t="s">
        <v>1768</v>
      </c>
      <c r="G388" s="6" t="s">
        <v>670</v>
      </c>
      <c r="H388" s="97">
        <v>2</v>
      </c>
      <c r="I388" s="97">
        <v>2</v>
      </c>
      <c r="J388" s="6">
        <v>22</v>
      </c>
      <c r="K388" s="101">
        <v>23</v>
      </c>
      <c r="L388" s="130">
        <v>5</v>
      </c>
      <c r="M388" s="130">
        <v>7</v>
      </c>
      <c r="N388" s="131">
        <v>39</v>
      </c>
      <c r="O388" s="130">
        <v>45</v>
      </c>
      <c r="P388" s="218">
        <f t="shared" si="14"/>
        <v>145</v>
      </c>
    </row>
    <row r="389" spans="1:16" x14ac:dyDescent="0.35">
      <c r="A389" s="229"/>
      <c r="B389" s="230"/>
      <c r="C389" s="25" t="s">
        <v>1722</v>
      </c>
      <c r="D389" s="25" t="s">
        <v>1723</v>
      </c>
      <c r="E389" s="26" t="s">
        <v>1733</v>
      </c>
      <c r="F389" s="26" t="s">
        <v>1768</v>
      </c>
      <c r="G389" s="6" t="s">
        <v>671</v>
      </c>
      <c r="H389" s="97">
        <v>7</v>
      </c>
      <c r="I389" s="97">
        <v>8</v>
      </c>
      <c r="J389" s="6">
        <v>34</v>
      </c>
      <c r="K389" s="101">
        <v>36</v>
      </c>
      <c r="L389" s="130">
        <v>13</v>
      </c>
      <c r="M389" s="130">
        <v>11</v>
      </c>
      <c r="N389" s="131">
        <v>79</v>
      </c>
      <c r="O389" s="130">
        <v>89</v>
      </c>
      <c r="P389" s="218">
        <f t="shared" si="14"/>
        <v>277</v>
      </c>
    </row>
    <row r="390" spans="1:16" x14ac:dyDescent="0.35">
      <c r="A390" s="229"/>
      <c r="B390" s="230"/>
      <c r="C390" s="25" t="s">
        <v>1722</v>
      </c>
      <c r="D390" s="25" t="s">
        <v>1723</v>
      </c>
      <c r="E390" s="26" t="s">
        <v>1733</v>
      </c>
      <c r="F390" s="26" t="s">
        <v>1768</v>
      </c>
      <c r="G390" s="6" t="s">
        <v>672</v>
      </c>
      <c r="H390" s="97">
        <v>10</v>
      </c>
      <c r="I390" s="97">
        <v>11</v>
      </c>
      <c r="J390" s="6">
        <v>16</v>
      </c>
      <c r="K390" s="101">
        <v>14</v>
      </c>
      <c r="L390" s="130">
        <v>37</v>
      </c>
      <c r="M390" s="130">
        <v>33</v>
      </c>
      <c r="N390" s="131">
        <v>77</v>
      </c>
      <c r="O390" s="130">
        <v>123</v>
      </c>
      <c r="P390" s="218">
        <f t="shared" ref="P390:P453" si="18">H390+I390+J390+K390+L390+M390+N390+O390</f>
        <v>321</v>
      </c>
    </row>
    <row r="391" spans="1:16" x14ac:dyDescent="0.35">
      <c r="A391" s="54"/>
      <c r="B391" s="54"/>
      <c r="C391" s="54"/>
      <c r="D391" s="54"/>
      <c r="E391" s="54"/>
      <c r="F391" s="54"/>
      <c r="G391" s="57" t="s">
        <v>2</v>
      </c>
      <c r="H391" s="172">
        <f>SUM(H377:H390)</f>
        <v>105</v>
      </c>
      <c r="I391" s="172">
        <f>SUM(I377:I390)</f>
        <v>114</v>
      </c>
      <c r="J391" s="171">
        <f>SUM(J377:J390)</f>
        <v>399</v>
      </c>
      <c r="K391" s="171">
        <f>SUM(K377:K390)</f>
        <v>399</v>
      </c>
      <c r="L391" s="129">
        <f>SUM(L377:L390)</f>
        <v>275</v>
      </c>
      <c r="M391" s="129">
        <f t="shared" ref="M391" si="19">SUM(M377:M390)</f>
        <v>275</v>
      </c>
      <c r="N391" s="126">
        <f>SUM(N377:N390)</f>
        <v>572</v>
      </c>
      <c r="O391" s="126">
        <f>SUM(O377:O390)</f>
        <v>654</v>
      </c>
      <c r="P391" s="217">
        <f t="shared" si="18"/>
        <v>2793</v>
      </c>
    </row>
    <row r="392" spans="1:16" x14ac:dyDescent="0.35">
      <c r="A392" s="229">
        <v>14</v>
      </c>
      <c r="B392" s="231" t="s">
        <v>1738</v>
      </c>
      <c r="C392" s="25" t="s">
        <v>1722</v>
      </c>
      <c r="D392" s="25" t="s">
        <v>1723</v>
      </c>
      <c r="E392" s="1" t="s">
        <v>1737</v>
      </c>
      <c r="F392" s="1" t="s">
        <v>1769</v>
      </c>
      <c r="G392" s="1" t="s">
        <v>673</v>
      </c>
      <c r="H392" s="97">
        <v>22</v>
      </c>
      <c r="I392" s="97">
        <v>23</v>
      </c>
      <c r="J392" s="6">
        <v>48</v>
      </c>
      <c r="K392" s="101">
        <v>54</v>
      </c>
      <c r="L392" s="130">
        <v>22</v>
      </c>
      <c r="M392" s="130">
        <v>25</v>
      </c>
      <c r="N392" s="130">
        <v>22</v>
      </c>
      <c r="O392" s="130">
        <v>23</v>
      </c>
      <c r="P392" s="218">
        <f t="shared" si="18"/>
        <v>239</v>
      </c>
    </row>
    <row r="393" spans="1:16" x14ac:dyDescent="0.35">
      <c r="A393" s="229"/>
      <c r="B393" s="231"/>
      <c r="C393" s="25" t="s">
        <v>1722</v>
      </c>
      <c r="D393" s="25" t="s">
        <v>1723</v>
      </c>
      <c r="E393" s="1" t="s">
        <v>1737</v>
      </c>
      <c r="F393" s="1" t="s">
        <v>1770</v>
      </c>
      <c r="G393" s="1" t="s">
        <v>674</v>
      </c>
      <c r="H393" s="97">
        <v>3</v>
      </c>
      <c r="I393" s="97">
        <v>4</v>
      </c>
      <c r="J393" s="6">
        <v>15</v>
      </c>
      <c r="K393" s="101">
        <v>17</v>
      </c>
      <c r="L393" s="130">
        <v>2</v>
      </c>
      <c r="M393" s="130">
        <v>3</v>
      </c>
      <c r="N393" s="130">
        <v>5</v>
      </c>
      <c r="O393" s="130">
        <v>7</v>
      </c>
      <c r="P393" s="218">
        <f t="shared" si="18"/>
        <v>56</v>
      </c>
    </row>
    <row r="394" spans="1:16" x14ac:dyDescent="0.35">
      <c r="A394" s="229"/>
      <c r="B394" s="231"/>
      <c r="C394" s="25" t="s">
        <v>1722</v>
      </c>
      <c r="D394" s="25" t="s">
        <v>1723</v>
      </c>
      <c r="E394" s="1" t="s">
        <v>1737</v>
      </c>
      <c r="F394" s="1" t="s">
        <v>1736</v>
      </c>
      <c r="G394" s="1" t="s">
        <v>675</v>
      </c>
      <c r="H394" s="97">
        <v>3</v>
      </c>
      <c r="I394" s="97">
        <v>7</v>
      </c>
      <c r="J394" s="6">
        <v>12</v>
      </c>
      <c r="K394" s="101">
        <v>15</v>
      </c>
      <c r="L394" s="130">
        <v>10</v>
      </c>
      <c r="M394" s="130">
        <v>11</v>
      </c>
      <c r="N394" s="130">
        <v>12</v>
      </c>
      <c r="O394" s="130">
        <v>15</v>
      </c>
      <c r="P394" s="218">
        <f t="shared" si="18"/>
        <v>85</v>
      </c>
    </row>
    <row r="395" spans="1:16" x14ac:dyDescent="0.35">
      <c r="A395" s="229"/>
      <c r="B395" s="231"/>
      <c r="C395" s="25" t="s">
        <v>1722</v>
      </c>
      <c r="D395" s="25" t="s">
        <v>1723</v>
      </c>
      <c r="E395" s="1" t="s">
        <v>1737</v>
      </c>
      <c r="F395" s="1" t="s">
        <v>1771</v>
      </c>
      <c r="G395" s="1" t="s">
        <v>676</v>
      </c>
      <c r="H395" s="97">
        <v>4</v>
      </c>
      <c r="I395" s="97">
        <v>4</v>
      </c>
      <c r="J395" s="6">
        <v>50</v>
      </c>
      <c r="K395" s="101">
        <v>56</v>
      </c>
      <c r="L395" s="130">
        <v>4</v>
      </c>
      <c r="M395" s="130">
        <v>3</v>
      </c>
      <c r="N395" s="130">
        <v>9</v>
      </c>
      <c r="O395" s="130">
        <v>13</v>
      </c>
      <c r="P395" s="218">
        <f t="shared" si="18"/>
        <v>143</v>
      </c>
    </row>
    <row r="396" spans="1:16" x14ac:dyDescent="0.35">
      <c r="A396" s="229"/>
      <c r="B396" s="231"/>
      <c r="C396" s="25" t="s">
        <v>1722</v>
      </c>
      <c r="D396" s="25" t="s">
        <v>1723</v>
      </c>
      <c r="E396" s="1" t="s">
        <v>1737</v>
      </c>
      <c r="F396" s="1" t="s">
        <v>1769</v>
      </c>
      <c r="G396" s="1" t="s">
        <v>677</v>
      </c>
      <c r="H396" s="97">
        <v>7</v>
      </c>
      <c r="I396" s="97">
        <v>8</v>
      </c>
      <c r="J396" s="6">
        <v>13</v>
      </c>
      <c r="K396" s="101">
        <v>15</v>
      </c>
      <c r="L396" s="130">
        <v>29</v>
      </c>
      <c r="M396" s="130">
        <v>31</v>
      </c>
      <c r="N396" s="130">
        <v>16</v>
      </c>
      <c r="O396" s="130">
        <v>17</v>
      </c>
      <c r="P396" s="218">
        <f t="shared" si="18"/>
        <v>136</v>
      </c>
    </row>
    <row r="397" spans="1:16" x14ac:dyDescent="0.35">
      <c r="A397" s="229"/>
      <c r="B397" s="231"/>
      <c r="C397" s="25" t="s">
        <v>1722</v>
      </c>
      <c r="D397" s="25" t="s">
        <v>1723</v>
      </c>
      <c r="E397" s="1" t="s">
        <v>1737</v>
      </c>
      <c r="F397" s="1" t="s">
        <v>1736</v>
      </c>
      <c r="G397" s="1" t="s">
        <v>678</v>
      </c>
      <c r="H397" s="97">
        <v>2</v>
      </c>
      <c r="I397" s="97">
        <v>2</v>
      </c>
      <c r="J397" s="26">
        <v>11</v>
      </c>
      <c r="K397" s="101">
        <v>13</v>
      </c>
      <c r="L397" s="130">
        <v>9</v>
      </c>
      <c r="M397" s="130">
        <v>7</v>
      </c>
      <c r="N397" s="130">
        <v>8</v>
      </c>
      <c r="O397" s="130">
        <v>7</v>
      </c>
      <c r="P397" s="218">
        <f t="shared" si="18"/>
        <v>59</v>
      </c>
    </row>
    <row r="398" spans="1:16" x14ac:dyDescent="0.35">
      <c r="A398" s="229"/>
      <c r="B398" s="231"/>
      <c r="C398" s="25" t="s">
        <v>1722</v>
      </c>
      <c r="D398" s="25" t="s">
        <v>1723</v>
      </c>
      <c r="E398" s="1" t="s">
        <v>1737</v>
      </c>
      <c r="F398" s="1" t="s">
        <v>1770</v>
      </c>
      <c r="G398" s="1" t="s">
        <v>679</v>
      </c>
      <c r="H398" s="97">
        <v>5</v>
      </c>
      <c r="I398" s="97">
        <v>6</v>
      </c>
      <c r="J398" s="6">
        <v>27</v>
      </c>
      <c r="K398" s="101">
        <v>29</v>
      </c>
      <c r="L398" s="130">
        <v>10</v>
      </c>
      <c r="M398" s="130">
        <v>6</v>
      </c>
      <c r="N398" s="130">
        <v>17</v>
      </c>
      <c r="O398" s="130">
        <v>13</v>
      </c>
      <c r="P398" s="218">
        <f t="shared" si="18"/>
        <v>113</v>
      </c>
    </row>
    <row r="399" spans="1:16" x14ac:dyDescent="0.35">
      <c r="A399" s="229"/>
      <c r="B399" s="231"/>
      <c r="C399" s="25" t="s">
        <v>1722</v>
      </c>
      <c r="D399" s="25" t="s">
        <v>1723</v>
      </c>
      <c r="E399" s="1" t="s">
        <v>1737</v>
      </c>
      <c r="F399" s="1" t="s">
        <v>1772</v>
      </c>
      <c r="G399" s="1" t="s">
        <v>680</v>
      </c>
      <c r="H399" s="97">
        <v>10</v>
      </c>
      <c r="I399" s="97">
        <v>5</v>
      </c>
      <c r="J399" s="6">
        <v>13</v>
      </c>
      <c r="K399" s="101">
        <v>15</v>
      </c>
      <c r="L399" s="130">
        <v>29</v>
      </c>
      <c r="M399" s="130">
        <v>31</v>
      </c>
      <c r="N399" s="130">
        <v>19</v>
      </c>
      <c r="O399" s="130">
        <v>16</v>
      </c>
      <c r="P399" s="218">
        <f t="shared" si="18"/>
        <v>138</v>
      </c>
    </row>
    <row r="400" spans="1:16" x14ac:dyDescent="0.35">
      <c r="A400" s="229"/>
      <c r="B400" s="231"/>
      <c r="C400" s="25" t="s">
        <v>1722</v>
      </c>
      <c r="D400" s="25" t="s">
        <v>1723</v>
      </c>
      <c r="E400" s="1" t="s">
        <v>1737</v>
      </c>
      <c r="F400" s="1" t="s">
        <v>1772</v>
      </c>
      <c r="G400" s="1" t="s">
        <v>681</v>
      </c>
      <c r="H400" s="97">
        <v>4</v>
      </c>
      <c r="I400" s="97">
        <v>10</v>
      </c>
      <c r="J400" s="6">
        <v>21</v>
      </c>
      <c r="K400" s="101">
        <v>23</v>
      </c>
      <c r="L400" s="130">
        <v>20</v>
      </c>
      <c r="M400" s="130">
        <v>21</v>
      </c>
      <c r="N400" s="130">
        <v>18</v>
      </c>
      <c r="O400" s="130">
        <v>15</v>
      </c>
      <c r="P400" s="218">
        <f t="shared" si="18"/>
        <v>132</v>
      </c>
    </row>
    <row r="401" spans="1:16" x14ac:dyDescent="0.35">
      <c r="A401" s="229"/>
      <c r="B401" s="231"/>
      <c r="C401" s="25" t="s">
        <v>1722</v>
      </c>
      <c r="D401" s="25" t="s">
        <v>1723</v>
      </c>
      <c r="E401" s="1" t="s">
        <v>1737</v>
      </c>
      <c r="F401" s="1" t="s">
        <v>1771</v>
      </c>
      <c r="G401" s="1" t="s">
        <v>682</v>
      </c>
      <c r="H401" s="97">
        <v>5</v>
      </c>
      <c r="I401" s="97">
        <v>6</v>
      </c>
      <c r="J401" s="6">
        <v>20</v>
      </c>
      <c r="K401" s="101">
        <v>26</v>
      </c>
      <c r="L401" s="130">
        <v>19</v>
      </c>
      <c r="M401" s="130">
        <v>20</v>
      </c>
      <c r="N401" s="130">
        <v>18</v>
      </c>
      <c r="O401" s="130">
        <v>17</v>
      </c>
      <c r="P401" s="218">
        <f t="shared" si="18"/>
        <v>131</v>
      </c>
    </row>
    <row r="402" spans="1:16" x14ac:dyDescent="0.35">
      <c r="A402" s="229"/>
      <c r="B402" s="231"/>
      <c r="C402" s="25" t="s">
        <v>1722</v>
      </c>
      <c r="D402" s="25" t="s">
        <v>1723</v>
      </c>
      <c r="E402" s="1" t="s">
        <v>1737</v>
      </c>
      <c r="F402" s="1" t="s">
        <v>1736</v>
      </c>
      <c r="G402" s="1" t="s">
        <v>433</v>
      </c>
      <c r="H402" s="97">
        <v>4</v>
      </c>
      <c r="I402" s="97">
        <v>6</v>
      </c>
      <c r="J402" s="6">
        <v>23</v>
      </c>
      <c r="K402" s="101">
        <v>11</v>
      </c>
      <c r="L402" s="130">
        <v>31</v>
      </c>
      <c r="M402" s="130">
        <v>29</v>
      </c>
      <c r="N402" s="130">
        <v>21</v>
      </c>
      <c r="O402" s="130">
        <v>25</v>
      </c>
      <c r="P402" s="218">
        <f t="shared" si="18"/>
        <v>150</v>
      </c>
    </row>
    <row r="403" spans="1:16" x14ac:dyDescent="0.35">
      <c r="A403" s="229"/>
      <c r="B403" s="231"/>
      <c r="C403" s="25" t="s">
        <v>1722</v>
      </c>
      <c r="D403" s="25" t="s">
        <v>1723</v>
      </c>
      <c r="E403" s="1" t="s">
        <v>1737</v>
      </c>
      <c r="F403" s="1" t="s">
        <v>1770</v>
      </c>
      <c r="G403" s="1" t="s">
        <v>683</v>
      </c>
      <c r="H403" s="97">
        <v>3</v>
      </c>
      <c r="I403" s="97">
        <v>4</v>
      </c>
      <c r="J403" s="6">
        <v>7</v>
      </c>
      <c r="K403" s="101">
        <v>8</v>
      </c>
      <c r="L403" s="130">
        <v>7</v>
      </c>
      <c r="M403" s="130">
        <v>7</v>
      </c>
      <c r="N403" s="130">
        <v>5</v>
      </c>
      <c r="O403" s="130">
        <v>3</v>
      </c>
      <c r="P403" s="218">
        <f t="shared" si="18"/>
        <v>44</v>
      </c>
    </row>
    <row r="404" spans="1:16" x14ac:dyDescent="0.35">
      <c r="A404" s="229"/>
      <c r="B404" s="231"/>
      <c r="C404" s="25" t="s">
        <v>1722</v>
      </c>
      <c r="D404" s="25" t="s">
        <v>1723</v>
      </c>
      <c r="E404" s="1" t="s">
        <v>1737</v>
      </c>
      <c r="F404" s="1" t="s">
        <v>1771</v>
      </c>
      <c r="G404" s="1" t="s">
        <v>684</v>
      </c>
      <c r="H404" s="97">
        <v>3</v>
      </c>
      <c r="I404" s="97">
        <v>7</v>
      </c>
      <c r="J404" s="6">
        <v>19</v>
      </c>
      <c r="K404" s="101">
        <v>16</v>
      </c>
      <c r="L404" s="130">
        <v>17</v>
      </c>
      <c r="M404" s="130">
        <v>16</v>
      </c>
      <c r="N404" s="130">
        <v>15</v>
      </c>
      <c r="O404" s="130">
        <v>12</v>
      </c>
      <c r="P404" s="218">
        <f t="shared" si="18"/>
        <v>105</v>
      </c>
    </row>
    <row r="405" spans="1:16" x14ac:dyDescent="0.35">
      <c r="A405" s="229"/>
      <c r="B405" s="231"/>
      <c r="C405" s="25" t="s">
        <v>1722</v>
      </c>
      <c r="D405" s="25" t="s">
        <v>1723</v>
      </c>
      <c r="E405" s="1" t="s">
        <v>1737</v>
      </c>
      <c r="F405" s="1" t="s">
        <v>1771</v>
      </c>
      <c r="G405" s="1" t="s">
        <v>685</v>
      </c>
      <c r="H405" s="97">
        <v>2</v>
      </c>
      <c r="I405" s="97">
        <v>3</v>
      </c>
      <c r="J405" s="6">
        <v>19</v>
      </c>
      <c r="K405" s="101">
        <v>18</v>
      </c>
      <c r="L405" s="130">
        <v>8</v>
      </c>
      <c r="M405" s="130">
        <v>7</v>
      </c>
      <c r="N405" s="130">
        <v>15</v>
      </c>
      <c r="O405" s="130">
        <v>11</v>
      </c>
      <c r="P405" s="218">
        <f t="shared" si="18"/>
        <v>83</v>
      </c>
    </row>
    <row r="406" spans="1:16" x14ac:dyDescent="0.35">
      <c r="A406" s="229"/>
      <c r="B406" s="231"/>
      <c r="C406" s="25" t="s">
        <v>1722</v>
      </c>
      <c r="D406" s="25" t="s">
        <v>1723</v>
      </c>
      <c r="E406" s="1" t="s">
        <v>1737</v>
      </c>
      <c r="F406" s="1" t="s">
        <v>1736</v>
      </c>
      <c r="G406" s="1" t="s">
        <v>686</v>
      </c>
      <c r="H406" s="97">
        <v>6</v>
      </c>
      <c r="I406" s="97">
        <v>7</v>
      </c>
      <c r="J406" s="6">
        <v>28</v>
      </c>
      <c r="K406" s="101">
        <v>30</v>
      </c>
      <c r="L406" s="130">
        <v>13</v>
      </c>
      <c r="M406" s="130">
        <v>12</v>
      </c>
      <c r="N406" s="130">
        <v>18</v>
      </c>
      <c r="O406" s="130">
        <v>14</v>
      </c>
      <c r="P406" s="218">
        <f t="shared" si="18"/>
        <v>128</v>
      </c>
    </row>
    <row r="407" spans="1:16" x14ac:dyDescent="0.35">
      <c r="A407" s="229"/>
      <c r="B407" s="231"/>
      <c r="C407" s="25" t="s">
        <v>1722</v>
      </c>
      <c r="D407" s="25" t="s">
        <v>1723</v>
      </c>
      <c r="E407" s="1" t="s">
        <v>1737</v>
      </c>
      <c r="F407" s="1" t="s">
        <v>1770</v>
      </c>
      <c r="G407" s="1" t="s">
        <v>687</v>
      </c>
      <c r="H407" s="97">
        <v>5</v>
      </c>
      <c r="I407" s="97">
        <v>6</v>
      </c>
      <c r="J407" s="6">
        <v>21</v>
      </c>
      <c r="K407" s="101">
        <v>21</v>
      </c>
      <c r="L407" s="130">
        <v>13</v>
      </c>
      <c r="M407" s="130">
        <v>15</v>
      </c>
      <c r="N407" s="130">
        <v>10</v>
      </c>
      <c r="O407" s="130">
        <v>11</v>
      </c>
      <c r="P407" s="218">
        <f t="shared" si="18"/>
        <v>102</v>
      </c>
    </row>
    <row r="408" spans="1:16" x14ac:dyDescent="0.35">
      <c r="A408" s="229"/>
      <c r="B408" s="231"/>
      <c r="C408" s="25" t="s">
        <v>1722</v>
      </c>
      <c r="D408" s="25" t="s">
        <v>1723</v>
      </c>
      <c r="E408" s="1" t="s">
        <v>1737</v>
      </c>
      <c r="F408" s="1" t="s">
        <v>1736</v>
      </c>
      <c r="G408" s="1" t="s">
        <v>688</v>
      </c>
      <c r="H408" s="97">
        <v>2</v>
      </c>
      <c r="I408" s="97">
        <v>2</v>
      </c>
      <c r="J408" s="6">
        <v>14</v>
      </c>
      <c r="K408" s="101">
        <v>15</v>
      </c>
      <c r="L408" s="130">
        <v>9</v>
      </c>
      <c r="M408" s="130">
        <v>8</v>
      </c>
      <c r="N408" s="130">
        <v>10</v>
      </c>
      <c r="O408" s="130">
        <v>16</v>
      </c>
      <c r="P408" s="218">
        <f t="shared" si="18"/>
        <v>76</v>
      </c>
    </row>
    <row r="409" spans="1:16" x14ac:dyDescent="0.35">
      <c r="A409" s="229"/>
      <c r="B409" s="231"/>
      <c r="C409" s="25" t="s">
        <v>1722</v>
      </c>
      <c r="D409" s="25" t="s">
        <v>1723</v>
      </c>
      <c r="E409" s="1" t="s">
        <v>1737</v>
      </c>
      <c r="F409" s="1" t="s">
        <v>1736</v>
      </c>
      <c r="G409" s="1" t="s">
        <v>689</v>
      </c>
      <c r="H409" s="97">
        <v>6</v>
      </c>
      <c r="I409" s="97">
        <v>6</v>
      </c>
      <c r="J409" s="6">
        <v>28</v>
      </c>
      <c r="K409" s="101">
        <v>32</v>
      </c>
      <c r="L409" s="130">
        <v>9</v>
      </c>
      <c r="M409" s="130">
        <v>9</v>
      </c>
      <c r="N409" s="130">
        <v>4</v>
      </c>
      <c r="O409" s="130">
        <v>1</v>
      </c>
      <c r="P409" s="218">
        <f t="shared" si="18"/>
        <v>95</v>
      </c>
    </row>
    <row r="410" spans="1:16" x14ac:dyDescent="0.35">
      <c r="A410" s="229"/>
      <c r="B410" s="231"/>
      <c r="C410" s="25" t="s">
        <v>1722</v>
      </c>
      <c r="D410" s="25" t="s">
        <v>1723</v>
      </c>
      <c r="E410" s="1" t="s">
        <v>1737</v>
      </c>
      <c r="F410" s="1" t="s">
        <v>1770</v>
      </c>
      <c r="G410" s="1" t="s">
        <v>690</v>
      </c>
      <c r="H410" s="97">
        <v>1</v>
      </c>
      <c r="I410" s="97">
        <v>2</v>
      </c>
      <c r="J410" s="6">
        <v>12</v>
      </c>
      <c r="K410" s="101">
        <v>13</v>
      </c>
      <c r="L410" s="130">
        <v>13</v>
      </c>
      <c r="M410" s="130">
        <v>15</v>
      </c>
      <c r="N410" s="130">
        <v>11</v>
      </c>
      <c r="O410" s="130">
        <v>11</v>
      </c>
      <c r="P410" s="218">
        <f t="shared" si="18"/>
        <v>78</v>
      </c>
    </row>
    <row r="411" spans="1:16" x14ac:dyDescent="0.35">
      <c r="A411" s="229"/>
      <c r="B411" s="231"/>
      <c r="C411" s="25" t="s">
        <v>1722</v>
      </c>
      <c r="D411" s="25" t="s">
        <v>1723</v>
      </c>
      <c r="E411" s="1" t="s">
        <v>1737</v>
      </c>
      <c r="F411" s="1" t="s">
        <v>1736</v>
      </c>
      <c r="G411" s="1" t="s">
        <v>691</v>
      </c>
      <c r="H411" s="97">
        <v>10</v>
      </c>
      <c r="I411" s="97">
        <v>11</v>
      </c>
      <c r="J411" s="6">
        <v>67</v>
      </c>
      <c r="K411" s="101">
        <v>76</v>
      </c>
      <c r="L411" s="130">
        <v>19</v>
      </c>
      <c r="M411" s="130">
        <v>20</v>
      </c>
      <c r="N411" s="130">
        <v>27</v>
      </c>
      <c r="O411" s="130">
        <v>25</v>
      </c>
      <c r="P411" s="218">
        <f t="shared" si="18"/>
        <v>255</v>
      </c>
    </row>
    <row r="412" spans="1:16" x14ac:dyDescent="0.35">
      <c r="A412" s="229"/>
      <c r="B412" s="231"/>
      <c r="C412" s="25" t="s">
        <v>1722</v>
      </c>
      <c r="D412" s="25" t="s">
        <v>1723</v>
      </c>
      <c r="E412" s="1" t="s">
        <v>1737</v>
      </c>
      <c r="F412" s="1" t="s">
        <v>1770</v>
      </c>
      <c r="G412" s="1" t="s">
        <v>692</v>
      </c>
      <c r="H412" s="97">
        <v>5</v>
      </c>
      <c r="I412" s="97">
        <v>8</v>
      </c>
      <c r="J412" s="6">
        <v>19</v>
      </c>
      <c r="K412" s="101">
        <v>23</v>
      </c>
      <c r="L412" s="130">
        <v>12</v>
      </c>
      <c r="M412" s="130">
        <v>11</v>
      </c>
      <c r="N412" s="130">
        <v>43</v>
      </c>
      <c r="O412" s="130">
        <v>40</v>
      </c>
      <c r="P412" s="218">
        <f t="shared" si="18"/>
        <v>161</v>
      </c>
    </row>
    <row r="413" spans="1:16" x14ac:dyDescent="0.35">
      <c r="A413" s="229"/>
      <c r="B413" s="231"/>
      <c r="C413" s="25" t="s">
        <v>1722</v>
      </c>
      <c r="D413" s="25" t="s">
        <v>1723</v>
      </c>
      <c r="E413" s="1" t="s">
        <v>1737</v>
      </c>
      <c r="F413" s="1" t="s">
        <v>1769</v>
      </c>
      <c r="G413" s="1" t="s">
        <v>693</v>
      </c>
      <c r="H413" s="97">
        <v>26</v>
      </c>
      <c r="I413" s="97">
        <v>27</v>
      </c>
      <c r="J413" s="6">
        <v>33</v>
      </c>
      <c r="K413" s="101">
        <v>35</v>
      </c>
      <c r="L413" s="130">
        <v>39</v>
      </c>
      <c r="M413" s="130">
        <v>34</v>
      </c>
      <c r="N413" s="130">
        <v>27</v>
      </c>
      <c r="O413" s="130">
        <v>30</v>
      </c>
      <c r="P413" s="218">
        <f t="shared" si="18"/>
        <v>251</v>
      </c>
    </row>
    <row r="414" spans="1:16" x14ac:dyDescent="0.35">
      <c r="A414" s="54"/>
      <c r="B414" s="61"/>
      <c r="C414" s="61"/>
      <c r="D414" s="61"/>
      <c r="E414" s="61"/>
      <c r="F414" s="61"/>
      <c r="G414" s="58" t="s">
        <v>449</v>
      </c>
      <c r="H414" s="172">
        <f t="shared" ref="H414:O414" si="20">SUM(H392:H413)</f>
        <v>138</v>
      </c>
      <c r="I414" s="172">
        <f t="shared" si="20"/>
        <v>164</v>
      </c>
      <c r="J414" s="171">
        <f t="shared" si="20"/>
        <v>520</v>
      </c>
      <c r="K414" s="171">
        <f t="shared" si="20"/>
        <v>561</v>
      </c>
      <c r="L414" s="129">
        <f t="shared" si="20"/>
        <v>344</v>
      </c>
      <c r="M414" s="129">
        <f t="shared" si="20"/>
        <v>341</v>
      </c>
      <c r="N414" s="126">
        <f t="shared" si="20"/>
        <v>350</v>
      </c>
      <c r="O414" s="126">
        <f t="shared" si="20"/>
        <v>342</v>
      </c>
      <c r="P414" s="217">
        <f t="shared" si="18"/>
        <v>2760</v>
      </c>
    </row>
    <row r="415" spans="1:16" x14ac:dyDescent="0.35">
      <c r="A415" s="241">
        <v>15</v>
      </c>
      <c r="B415" s="243" t="s">
        <v>647</v>
      </c>
      <c r="C415" s="25" t="s">
        <v>1722</v>
      </c>
      <c r="D415" s="25" t="s">
        <v>1723</v>
      </c>
      <c r="E415" s="1" t="s">
        <v>647</v>
      </c>
      <c r="F415" s="1" t="s">
        <v>1736</v>
      </c>
      <c r="G415" s="105" t="s">
        <v>2581</v>
      </c>
      <c r="H415" s="101">
        <v>4</v>
      </c>
      <c r="I415" s="101">
        <v>3</v>
      </c>
      <c r="J415" s="101">
        <v>21</v>
      </c>
      <c r="K415" s="101">
        <v>22</v>
      </c>
      <c r="L415" s="131">
        <v>4</v>
      </c>
      <c r="M415" s="131">
        <v>6</v>
      </c>
      <c r="N415" s="131">
        <v>15</v>
      </c>
      <c r="O415" s="131">
        <v>18</v>
      </c>
      <c r="P415" s="218">
        <f t="shared" si="18"/>
        <v>93</v>
      </c>
    </row>
    <row r="416" spans="1:16" s="27" customFormat="1" x14ac:dyDescent="0.35">
      <c r="A416" s="242"/>
      <c r="B416" s="244"/>
      <c r="C416" s="25" t="s">
        <v>1722</v>
      </c>
      <c r="D416" s="25" t="s">
        <v>1723</v>
      </c>
      <c r="E416" s="1" t="s">
        <v>647</v>
      </c>
      <c r="F416" s="1" t="s">
        <v>1736</v>
      </c>
      <c r="G416" s="106" t="s">
        <v>2582</v>
      </c>
      <c r="H416" s="101">
        <v>4</v>
      </c>
      <c r="I416" s="101">
        <v>4</v>
      </c>
      <c r="J416" s="101">
        <v>20</v>
      </c>
      <c r="K416" s="101">
        <v>18</v>
      </c>
      <c r="L416" s="131">
        <v>7</v>
      </c>
      <c r="M416" s="131">
        <v>8</v>
      </c>
      <c r="N416" s="131">
        <v>14</v>
      </c>
      <c r="O416" s="131">
        <v>20</v>
      </c>
      <c r="P416" s="218">
        <f t="shared" si="18"/>
        <v>95</v>
      </c>
    </row>
    <row r="417" spans="1:71" x14ac:dyDescent="0.35">
      <c r="A417" s="242"/>
      <c r="B417" s="244"/>
      <c r="C417" s="25" t="s">
        <v>1722</v>
      </c>
      <c r="D417" s="25" t="s">
        <v>1723</v>
      </c>
      <c r="E417" s="1" t="s">
        <v>647</v>
      </c>
      <c r="F417" s="1" t="s">
        <v>1736</v>
      </c>
      <c r="G417" s="107" t="s">
        <v>2583</v>
      </c>
      <c r="H417" s="101">
        <v>5</v>
      </c>
      <c r="I417" s="101">
        <v>4</v>
      </c>
      <c r="J417" s="101">
        <v>24</v>
      </c>
      <c r="K417" s="101">
        <v>20</v>
      </c>
      <c r="L417" s="131">
        <v>1</v>
      </c>
      <c r="M417" s="131">
        <v>3</v>
      </c>
      <c r="N417" s="131">
        <v>7</v>
      </c>
      <c r="O417" s="131">
        <v>8</v>
      </c>
      <c r="P417" s="218">
        <f t="shared" si="18"/>
        <v>72</v>
      </c>
    </row>
    <row r="418" spans="1:71" x14ac:dyDescent="0.35">
      <c r="A418" s="242"/>
      <c r="B418" s="244"/>
      <c r="C418" s="25" t="s">
        <v>1722</v>
      </c>
      <c r="D418" s="25" t="s">
        <v>1723</v>
      </c>
      <c r="E418" s="1" t="s">
        <v>647</v>
      </c>
      <c r="F418" s="1" t="s">
        <v>1736</v>
      </c>
      <c r="G418" s="107" t="s">
        <v>2584</v>
      </c>
      <c r="H418" s="101">
        <v>3</v>
      </c>
      <c r="I418" s="101">
        <v>5</v>
      </c>
      <c r="J418" s="101">
        <v>20</v>
      </c>
      <c r="K418" s="101">
        <v>19</v>
      </c>
      <c r="L418" s="131">
        <v>6</v>
      </c>
      <c r="M418" s="131">
        <v>4</v>
      </c>
      <c r="N418" s="131">
        <v>11</v>
      </c>
      <c r="O418" s="131">
        <v>12</v>
      </c>
      <c r="P418" s="218">
        <f t="shared" si="18"/>
        <v>80</v>
      </c>
    </row>
    <row r="419" spans="1:71" x14ac:dyDescent="0.35">
      <c r="A419" s="242"/>
      <c r="B419" s="244"/>
      <c r="C419" s="25" t="s">
        <v>1722</v>
      </c>
      <c r="D419" s="25" t="s">
        <v>1723</v>
      </c>
      <c r="E419" s="1" t="s">
        <v>647</v>
      </c>
      <c r="F419" s="1" t="s">
        <v>1736</v>
      </c>
      <c r="G419" s="107" t="s">
        <v>2585</v>
      </c>
      <c r="H419" s="101">
        <v>3</v>
      </c>
      <c r="I419" s="101">
        <v>4</v>
      </c>
      <c r="J419" s="101">
        <v>16</v>
      </c>
      <c r="K419" s="101">
        <v>16</v>
      </c>
      <c r="L419" s="131">
        <v>7</v>
      </c>
      <c r="M419" s="131">
        <v>4</v>
      </c>
      <c r="N419" s="131">
        <v>6</v>
      </c>
      <c r="O419" s="131">
        <v>7</v>
      </c>
      <c r="P419" s="218">
        <f t="shared" si="18"/>
        <v>63</v>
      </c>
    </row>
    <row r="420" spans="1:71" x14ac:dyDescent="0.35">
      <c r="A420" s="242"/>
      <c r="B420" s="244"/>
      <c r="C420" s="25" t="s">
        <v>1722</v>
      </c>
      <c r="D420" s="25" t="s">
        <v>1723</v>
      </c>
      <c r="E420" s="1" t="s">
        <v>647</v>
      </c>
      <c r="F420" s="3" t="s">
        <v>1769</v>
      </c>
      <c r="G420" s="107" t="s">
        <v>2586</v>
      </c>
      <c r="H420" s="101">
        <v>6</v>
      </c>
      <c r="I420" s="101">
        <v>5</v>
      </c>
      <c r="J420" s="101">
        <v>19</v>
      </c>
      <c r="K420" s="101">
        <v>18</v>
      </c>
      <c r="L420" s="131">
        <v>6</v>
      </c>
      <c r="M420" s="131">
        <v>4</v>
      </c>
      <c r="N420" s="131">
        <v>7</v>
      </c>
      <c r="O420" s="131">
        <v>9</v>
      </c>
      <c r="P420" s="218">
        <f t="shared" si="18"/>
        <v>74</v>
      </c>
    </row>
    <row r="421" spans="1:71" x14ac:dyDescent="0.35">
      <c r="A421" s="242"/>
      <c r="B421" s="244"/>
      <c r="C421" s="25" t="s">
        <v>1722</v>
      </c>
      <c r="D421" s="25" t="s">
        <v>1723</v>
      </c>
      <c r="E421" s="1" t="s">
        <v>647</v>
      </c>
      <c r="F421" s="3" t="s">
        <v>1769</v>
      </c>
      <c r="G421" s="107" t="s">
        <v>2587</v>
      </c>
      <c r="H421" s="101">
        <v>4</v>
      </c>
      <c r="I421" s="101">
        <v>6</v>
      </c>
      <c r="J421" s="101">
        <v>12</v>
      </c>
      <c r="K421" s="101">
        <v>15</v>
      </c>
      <c r="L421" s="131">
        <v>5</v>
      </c>
      <c r="M421" s="131">
        <v>6</v>
      </c>
      <c r="N421" s="131">
        <v>8</v>
      </c>
      <c r="O421" s="131">
        <v>10</v>
      </c>
      <c r="P421" s="218">
        <f t="shared" si="18"/>
        <v>66</v>
      </c>
    </row>
    <row r="422" spans="1:71" x14ac:dyDescent="0.35">
      <c r="A422" s="242"/>
      <c r="B422" s="244"/>
      <c r="C422" s="25" t="s">
        <v>1722</v>
      </c>
      <c r="D422" s="25" t="s">
        <v>1723</v>
      </c>
      <c r="E422" s="1" t="s">
        <v>647</v>
      </c>
      <c r="F422" s="3" t="s">
        <v>1769</v>
      </c>
      <c r="G422" s="107" t="s">
        <v>2588</v>
      </c>
      <c r="H422" s="101">
        <v>3</v>
      </c>
      <c r="I422" s="101">
        <v>5</v>
      </c>
      <c r="J422" s="101">
        <v>22</v>
      </c>
      <c r="K422" s="101">
        <v>29</v>
      </c>
      <c r="L422" s="131">
        <v>21</v>
      </c>
      <c r="M422" s="131">
        <v>22</v>
      </c>
      <c r="N422" s="131">
        <v>10</v>
      </c>
      <c r="O422" s="131">
        <v>12</v>
      </c>
      <c r="P422" s="218">
        <f t="shared" si="18"/>
        <v>124</v>
      </c>
    </row>
    <row r="423" spans="1:71" x14ac:dyDescent="0.35">
      <c r="A423" s="242"/>
      <c r="B423" s="244"/>
      <c r="C423" s="25" t="s">
        <v>1722</v>
      </c>
      <c r="D423" s="25" t="s">
        <v>1723</v>
      </c>
      <c r="E423" s="1" t="s">
        <v>647</v>
      </c>
      <c r="F423" s="3" t="s">
        <v>1769</v>
      </c>
      <c r="G423" s="107" t="s">
        <v>2589</v>
      </c>
      <c r="H423" s="101">
        <v>5</v>
      </c>
      <c r="I423" s="101">
        <v>4</v>
      </c>
      <c r="J423" s="101">
        <v>20</v>
      </c>
      <c r="K423" s="101">
        <v>22</v>
      </c>
      <c r="L423" s="131">
        <v>4</v>
      </c>
      <c r="M423" s="131">
        <v>6</v>
      </c>
      <c r="N423" s="131">
        <v>11</v>
      </c>
      <c r="O423" s="131">
        <v>9</v>
      </c>
      <c r="P423" s="218">
        <f t="shared" si="18"/>
        <v>81</v>
      </c>
    </row>
    <row r="424" spans="1:71" x14ac:dyDescent="0.35">
      <c r="A424" s="242"/>
      <c r="B424" s="244"/>
      <c r="C424" s="25" t="s">
        <v>1722</v>
      </c>
      <c r="D424" s="25" t="s">
        <v>1723</v>
      </c>
      <c r="E424" s="1" t="s">
        <v>647</v>
      </c>
      <c r="F424" s="3" t="s">
        <v>1769</v>
      </c>
      <c r="G424" s="107" t="s">
        <v>2590</v>
      </c>
      <c r="H424" s="101">
        <v>4</v>
      </c>
      <c r="I424" s="101">
        <v>3</v>
      </c>
      <c r="J424" s="101">
        <v>26</v>
      </c>
      <c r="K424" s="101">
        <v>16</v>
      </c>
      <c r="L424" s="131">
        <v>15</v>
      </c>
      <c r="M424" s="131">
        <v>16</v>
      </c>
      <c r="N424" s="131">
        <v>29</v>
      </c>
      <c r="O424" s="131">
        <v>26</v>
      </c>
      <c r="P424" s="218">
        <f t="shared" si="18"/>
        <v>135</v>
      </c>
    </row>
    <row r="425" spans="1:71" x14ac:dyDescent="0.35">
      <c r="A425" s="242"/>
      <c r="B425" s="244"/>
      <c r="C425" s="25" t="s">
        <v>1722</v>
      </c>
      <c r="D425" s="25" t="s">
        <v>1723</v>
      </c>
      <c r="E425" s="1" t="s">
        <v>647</v>
      </c>
      <c r="F425" s="1" t="s">
        <v>1770</v>
      </c>
      <c r="G425" s="107" t="s">
        <v>2591</v>
      </c>
      <c r="H425" s="101">
        <v>3</v>
      </c>
      <c r="I425" s="101">
        <v>4</v>
      </c>
      <c r="J425" s="101">
        <v>18</v>
      </c>
      <c r="K425" s="101">
        <v>26</v>
      </c>
      <c r="L425" s="131">
        <v>7</v>
      </c>
      <c r="M425" s="131">
        <v>6</v>
      </c>
      <c r="N425" s="131">
        <v>11</v>
      </c>
      <c r="O425" s="131">
        <v>9</v>
      </c>
      <c r="P425" s="218">
        <f t="shared" si="18"/>
        <v>84</v>
      </c>
    </row>
    <row r="426" spans="1:71" x14ac:dyDescent="0.35">
      <c r="A426" s="242"/>
      <c r="B426" s="244"/>
      <c r="C426" s="25" t="s">
        <v>1722</v>
      </c>
      <c r="D426" s="25" t="s">
        <v>1723</v>
      </c>
      <c r="E426" s="1" t="s">
        <v>647</v>
      </c>
      <c r="F426" s="1" t="s">
        <v>1770</v>
      </c>
      <c r="G426" s="106" t="s">
        <v>2592</v>
      </c>
      <c r="H426" s="101">
        <v>4</v>
      </c>
      <c r="I426" s="101">
        <v>3</v>
      </c>
      <c r="J426" s="101">
        <v>26</v>
      </c>
      <c r="K426" s="101">
        <v>24</v>
      </c>
      <c r="L426" s="131">
        <v>24</v>
      </c>
      <c r="M426" s="131">
        <v>20</v>
      </c>
      <c r="N426" s="131">
        <v>19</v>
      </c>
      <c r="O426" s="131">
        <v>17</v>
      </c>
      <c r="P426" s="218">
        <f t="shared" si="18"/>
        <v>137</v>
      </c>
    </row>
    <row r="427" spans="1:71" x14ac:dyDescent="0.35">
      <c r="A427" s="242"/>
      <c r="B427" s="244"/>
      <c r="C427" s="25" t="s">
        <v>1722</v>
      </c>
      <c r="D427" s="25" t="s">
        <v>1723</v>
      </c>
      <c r="E427" s="1" t="s">
        <v>647</v>
      </c>
      <c r="F427" s="1" t="s">
        <v>1770</v>
      </c>
      <c r="G427" s="107" t="s">
        <v>2593</v>
      </c>
      <c r="H427" s="101">
        <v>5</v>
      </c>
      <c r="I427" s="101">
        <v>3</v>
      </c>
      <c r="J427" s="101">
        <v>19</v>
      </c>
      <c r="K427" s="101">
        <v>21</v>
      </c>
      <c r="L427" s="131">
        <v>15</v>
      </c>
      <c r="M427" s="131">
        <v>17</v>
      </c>
      <c r="N427" s="131">
        <v>11</v>
      </c>
      <c r="O427" s="131">
        <v>10</v>
      </c>
      <c r="P427" s="218">
        <f t="shared" si="18"/>
        <v>101</v>
      </c>
    </row>
    <row r="428" spans="1:71" x14ac:dyDescent="0.35">
      <c r="A428" s="242"/>
      <c r="B428" s="244"/>
      <c r="C428" s="25" t="s">
        <v>1722</v>
      </c>
      <c r="D428" s="25" t="s">
        <v>1723</v>
      </c>
      <c r="E428" s="1" t="s">
        <v>647</v>
      </c>
      <c r="F428" s="1" t="s">
        <v>647</v>
      </c>
      <c r="G428" s="107" t="s">
        <v>2594</v>
      </c>
      <c r="H428" s="101">
        <v>4</v>
      </c>
      <c r="I428" s="101">
        <v>5</v>
      </c>
      <c r="J428" s="101">
        <v>26</v>
      </c>
      <c r="K428" s="101">
        <v>22</v>
      </c>
      <c r="L428" s="131">
        <v>6</v>
      </c>
      <c r="M428" s="131">
        <v>4</v>
      </c>
      <c r="N428" s="131">
        <v>25</v>
      </c>
      <c r="O428" s="131">
        <v>33</v>
      </c>
      <c r="P428" s="218">
        <f t="shared" si="18"/>
        <v>125</v>
      </c>
    </row>
    <row r="429" spans="1:71" x14ac:dyDescent="0.35">
      <c r="A429" s="242"/>
      <c r="B429" s="244"/>
      <c r="C429" s="25" t="s">
        <v>1722</v>
      </c>
      <c r="D429" s="25" t="s">
        <v>1723</v>
      </c>
      <c r="E429" s="1" t="s">
        <v>647</v>
      </c>
      <c r="F429" s="1" t="s">
        <v>647</v>
      </c>
      <c r="G429" s="107" t="s">
        <v>2595</v>
      </c>
      <c r="H429" s="101">
        <v>3</v>
      </c>
      <c r="I429" s="101">
        <v>2</v>
      </c>
      <c r="J429" s="101">
        <v>30</v>
      </c>
      <c r="K429" s="101">
        <v>28</v>
      </c>
      <c r="L429" s="131">
        <v>2</v>
      </c>
      <c r="M429" s="131">
        <v>4</v>
      </c>
      <c r="N429" s="131">
        <v>21</v>
      </c>
      <c r="O429" s="131">
        <v>17</v>
      </c>
      <c r="P429" s="218">
        <f t="shared" si="18"/>
        <v>107</v>
      </c>
    </row>
    <row r="430" spans="1:71" x14ac:dyDescent="0.35">
      <c r="A430" s="242"/>
      <c r="B430" s="244"/>
      <c r="C430" s="112" t="s">
        <v>1722</v>
      </c>
      <c r="D430" s="112" t="s">
        <v>1723</v>
      </c>
      <c r="E430" s="113" t="s">
        <v>647</v>
      </c>
      <c r="F430" s="113" t="s">
        <v>647</v>
      </c>
      <c r="G430" s="114" t="s">
        <v>2596</v>
      </c>
      <c r="H430" s="115">
        <v>7</v>
      </c>
      <c r="I430" s="115">
        <v>6</v>
      </c>
      <c r="J430" s="115">
        <v>31</v>
      </c>
      <c r="K430" s="115">
        <v>30</v>
      </c>
      <c r="L430" s="131">
        <v>15</v>
      </c>
      <c r="M430" s="131">
        <v>13</v>
      </c>
      <c r="N430" s="134">
        <v>10</v>
      </c>
      <c r="O430" s="131">
        <v>9</v>
      </c>
      <c r="P430" s="218">
        <f t="shared" si="18"/>
        <v>121</v>
      </c>
    </row>
    <row r="431" spans="1:71" s="111" customFormat="1" x14ac:dyDescent="0.35">
      <c r="A431" s="242"/>
      <c r="B431" s="244"/>
      <c r="C431" s="108"/>
      <c r="D431" s="108"/>
      <c r="E431" s="109"/>
      <c r="G431" s="103" t="s">
        <v>449</v>
      </c>
      <c r="H431" s="172">
        <f t="shared" ref="H431:O431" si="21">SUM(H415:H430)</f>
        <v>67</v>
      </c>
      <c r="I431" s="172">
        <f t="shared" si="21"/>
        <v>66</v>
      </c>
      <c r="J431" s="171">
        <f t="shared" si="21"/>
        <v>350</v>
      </c>
      <c r="K431" s="171">
        <f t="shared" si="21"/>
        <v>346</v>
      </c>
      <c r="L431" s="129">
        <f t="shared" si="21"/>
        <v>145</v>
      </c>
      <c r="M431" s="129">
        <f t="shared" si="21"/>
        <v>143</v>
      </c>
      <c r="N431" s="126">
        <f t="shared" si="21"/>
        <v>215</v>
      </c>
      <c r="O431" s="126">
        <f t="shared" si="21"/>
        <v>226</v>
      </c>
      <c r="P431" s="217">
        <f t="shared" si="18"/>
        <v>1558</v>
      </c>
      <c r="Q431" s="133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</row>
    <row r="432" spans="1:71" x14ac:dyDescent="0.35">
      <c r="A432" s="229">
        <v>16</v>
      </c>
      <c r="B432" s="230" t="s">
        <v>2597</v>
      </c>
      <c r="C432" s="116" t="s">
        <v>1722</v>
      </c>
      <c r="D432" s="116" t="s">
        <v>1723</v>
      </c>
      <c r="E432" s="117" t="s">
        <v>2597</v>
      </c>
      <c r="F432" s="117" t="s">
        <v>2597</v>
      </c>
      <c r="G432" s="118" t="s">
        <v>691</v>
      </c>
      <c r="H432" s="119">
        <v>8</v>
      </c>
      <c r="I432" s="119">
        <v>6</v>
      </c>
      <c r="J432" s="119">
        <v>31</v>
      </c>
      <c r="K432" s="119">
        <v>34</v>
      </c>
      <c r="L432" s="134">
        <v>3</v>
      </c>
      <c r="M432" s="131">
        <v>4</v>
      </c>
      <c r="N432" s="131">
        <v>13</v>
      </c>
      <c r="O432" s="131">
        <v>9</v>
      </c>
      <c r="P432" s="218">
        <f t="shared" si="18"/>
        <v>108</v>
      </c>
    </row>
    <row r="433" spans="1:16" x14ac:dyDescent="0.35">
      <c r="A433" s="229"/>
      <c r="B433" s="230"/>
      <c r="C433" s="25" t="s">
        <v>1722</v>
      </c>
      <c r="D433" s="25" t="s">
        <v>1723</v>
      </c>
      <c r="E433" s="6" t="s">
        <v>2597</v>
      </c>
      <c r="F433" s="6" t="s">
        <v>2597</v>
      </c>
      <c r="G433" s="106" t="s">
        <v>596</v>
      </c>
      <c r="H433" s="101">
        <v>7</v>
      </c>
      <c r="I433" s="101">
        <v>7</v>
      </c>
      <c r="J433" s="101">
        <v>29</v>
      </c>
      <c r="K433" s="101">
        <v>31</v>
      </c>
      <c r="L433" s="131">
        <v>31</v>
      </c>
      <c r="M433" s="131">
        <v>29</v>
      </c>
      <c r="N433" s="131">
        <v>17</v>
      </c>
      <c r="O433" s="131">
        <v>16</v>
      </c>
      <c r="P433" s="218">
        <f t="shared" si="18"/>
        <v>167</v>
      </c>
    </row>
    <row r="434" spans="1:16" x14ac:dyDescent="0.35">
      <c r="A434" s="229"/>
      <c r="B434" s="230"/>
      <c r="C434" s="25" t="s">
        <v>1722</v>
      </c>
      <c r="D434" s="25" t="s">
        <v>1723</v>
      </c>
      <c r="E434" s="6" t="s">
        <v>2597</v>
      </c>
      <c r="F434" s="6" t="s">
        <v>2597</v>
      </c>
      <c r="G434" s="106" t="s">
        <v>2598</v>
      </c>
      <c r="H434" s="101">
        <v>8</v>
      </c>
      <c r="I434" s="101">
        <v>7</v>
      </c>
      <c r="J434" s="101">
        <v>30</v>
      </c>
      <c r="K434" s="101">
        <v>32</v>
      </c>
      <c r="L434" s="131">
        <v>7</v>
      </c>
      <c r="M434" s="131">
        <v>9</v>
      </c>
      <c r="N434" s="131">
        <v>7</v>
      </c>
      <c r="O434" s="131">
        <v>8</v>
      </c>
      <c r="P434" s="218">
        <f t="shared" si="18"/>
        <v>108</v>
      </c>
    </row>
    <row r="435" spans="1:16" x14ac:dyDescent="0.35">
      <c r="A435" s="229"/>
      <c r="B435" s="230"/>
      <c r="C435" s="25" t="s">
        <v>1722</v>
      </c>
      <c r="D435" s="25" t="s">
        <v>1723</v>
      </c>
      <c r="E435" s="6" t="s">
        <v>2597</v>
      </c>
      <c r="F435" s="6" t="s">
        <v>2597</v>
      </c>
      <c r="G435" s="106" t="s">
        <v>2599</v>
      </c>
      <c r="H435" s="101">
        <v>11</v>
      </c>
      <c r="I435" s="101">
        <v>6</v>
      </c>
      <c r="J435" s="101">
        <v>19</v>
      </c>
      <c r="K435" s="101">
        <v>34</v>
      </c>
      <c r="L435" s="131">
        <v>6</v>
      </c>
      <c r="M435" s="131">
        <v>10</v>
      </c>
      <c r="N435" s="131">
        <v>13</v>
      </c>
      <c r="O435" s="131">
        <v>17</v>
      </c>
      <c r="P435" s="218">
        <f t="shared" si="18"/>
        <v>116</v>
      </c>
    </row>
    <row r="436" spans="1:16" x14ac:dyDescent="0.35">
      <c r="A436" s="229"/>
      <c r="B436" s="230"/>
      <c r="C436" s="25" t="s">
        <v>1722</v>
      </c>
      <c r="D436" s="25" t="s">
        <v>1723</v>
      </c>
      <c r="E436" s="6" t="s">
        <v>2597</v>
      </c>
      <c r="F436" s="6" t="s">
        <v>2597</v>
      </c>
      <c r="G436" s="106" t="s">
        <v>2600</v>
      </c>
      <c r="H436" s="101">
        <v>9</v>
      </c>
      <c r="I436" s="101">
        <v>8</v>
      </c>
      <c r="J436" s="101">
        <v>18</v>
      </c>
      <c r="K436" s="101">
        <v>32</v>
      </c>
      <c r="L436" s="131">
        <v>31</v>
      </c>
      <c r="M436" s="131">
        <v>29</v>
      </c>
      <c r="N436" s="131">
        <v>16</v>
      </c>
      <c r="O436" s="131">
        <v>19</v>
      </c>
      <c r="P436" s="218">
        <f t="shared" si="18"/>
        <v>162</v>
      </c>
    </row>
    <row r="437" spans="1:16" x14ac:dyDescent="0.35">
      <c r="A437" s="229"/>
      <c r="B437" s="230"/>
      <c r="C437" s="25" t="s">
        <v>1722</v>
      </c>
      <c r="D437" s="25" t="s">
        <v>1723</v>
      </c>
      <c r="E437" s="6" t="s">
        <v>2597</v>
      </c>
      <c r="F437" s="6" t="s">
        <v>2597</v>
      </c>
      <c r="G437" s="106" t="s">
        <v>2601</v>
      </c>
      <c r="H437" s="101">
        <v>6</v>
      </c>
      <c r="I437" s="101">
        <v>9</v>
      </c>
      <c r="J437" s="101">
        <v>28</v>
      </c>
      <c r="K437" s="101">
        <v>29</v>
      </c>
      <c r="L437" s="131">
        <v>21</v>
      </c>
      <c r="M437" s="131">
        <v>20</v>
      </c>
      <c r="N437" s="131">
        <v>15</v>
      </c>
      <c r="O437" s="131">
        <v>18</v>
      </c>
      <c r="P437" s="218">
        <f t="shared" si="18"/>
        <v>146</v>
      </c>
    </row>
    <row r="438" spans="1:16" x14ac:dyDescent="0.35">
      <c r="A438" s="229"/>
      <c r="B438" s="230"/>
      <c r="C438" s="25" t="s">
        <v>1722</v>
      </c>
      <c r="D438" s="25" t="s">
        <v>1723</v>
      </c>
      <c r="E438" s="6" t="s">
        <v>2597</v>
      </c>
      <c r="F438" s="6" t="s">
        <v>2597</v>
      </c>
      <c r="G438" s="106" t="s">
        <v>2602</v>
      </c>
      <c r="H438" s="101">
        <v>13</v>
      </c>
      <c r="I438" s="101">
        <v>11</v>
      </c>
      <c r="J438" s="101">
        <v>29</v>
      </c>
      <c r="K438" s="101">
        <v>31</v>
      </c>
      <c r="L438" s="131">
        <v>20</v>
      </c>
      <c r="M438" s="131">
        <v>19</v>
      </c>
      <c r="N438" s="131">
        <v>17</v>
      </c>
      <c r="O438" s="131">
        <v>18</v>
      </c>
      <c r="P438" s="218">
        <f t="shared" si="18"/>
        <v>158</v>
      </c>
    </row>
    <row r="439" spans="1:16" x14ac:dyDescent="0.35">
      <c r="A439" s="229"/>
      <c r="B439" s="230"/>
      <c r="C439" s="25" t="s">
        <v>1722</v>
      </c>
      <c r="D439" s="25" t="s">
        <v>1723</v>
      </c>
      <c r="E439" s="6" t="s">
        <v>2597</v>
      </c>
      <c r="F439" s="6" t="s">
        <v>2597</v>
      </c>
      <c r="G439" s="106" t="s">
        <v>2603</v>
      </c>
      <c r="H439" s="101">
        <v>12</v>
      </c>
      <c r="I439" s="101">
        <v>10</v>
      </c>
      <c r="J439" s="101">
        <v>17</v>
      </c>
      <c r="K439" s="101">
        <v>30</v>
      </c>
      <c r="L439" s="131">
        <v>29</v>
      </c>
      <c r="M439" s="131">
        <v>31</v>
      </c>
      <c r="N439" s="131">
        <v>25</v>
      </c>
      <c r="O439" s="131">
        <v>21</v>
      </c>
      <c r="P439" s="218">
        <f t="shared" si="18"/>
        <v>175</v>
      </c>
    </row>
    <row r="440" spans="1:16" x14ac:dyDescent="0.35">
      <c r="A440" s="229"/>
      <c r="B440" s="230"/>
      <c r="C440" s="25" t="s">
        <v>1722</v>
      </c>
      <c r="D440" s="25" t="s">
        <v>1723</v>
      </c>
      <c r="E440" s="6" t="s">
        <v>2597</v>
      </c>
      <c r="F440" s="6" t="s">
        <v>2597</v>
      </c>
      <c r="G440" s="106" t="s">
        <v>2604</v>
      </c>
      <c r="H440" s="101">
        <v>13</v>
      </c>
      <c r="I440" s="101">
        <v>11</v>
      </c>
      <c r="J440" s="101">
        <v>25</v>
      </c>
      <c r="K440" s="101">
        <v>26</v>
      </c>
      <c r="L440" s="131">
        <v>7</v>
      </c>
      <c r="M440" s="131">
        <v>7</v>
      </c>
      <c r="N440" s="131">
        <v>3</v>
      </c>
      <c r="O440" s="131">
        <v>5</v>
      </c>
      <c r="P440" s="218">
        <f t="shared" si="18"/>
        <v>97</v>
      </c>
    </row>
    <row r="441" spans="1:16" x14ac:dyDescent="0.35">
      <c r="A441" s="229"/>
      <c r="B441" s="230"/>
      <c r="C441" s="25" t="s">
        <v>1722</v>
      </c>
      <c r="D441" s="25" t="s">
        <v>1723</v>
      </c>
      <c r="E441" s="6" t="s">
        <v>2597</v>
      </c>
      <c r="F441" s="6" t="s">
        <v>2597</v>
      </c>
      <c r="G441" s="106" t="s">
        <v>2605</v>
      </c>
      <c r="H441" s="101">
        <v>6</v>
      </c>
      <c r="I441" s="101">
        <v>8</v>
      </c>
      <c r="J441" s="101">
        <v>21</v>
      </c>
      <c r="K441" s="101">
        <v>24</v>
      </c>
      <c r="L441" s="131">
        <v>16</v>
      </c>
      <c r="M441" s="131">
        <v>17</v>
      </c>
      <c r="N441" s="131">
        <v>12</v>
      </c>
      <c r="O441" s="131">
        <v>15</v>
      </c>
      <c r="P441" s="218">
        <f t="shared" si="18"/>
        <v>119</v>
      </c>
    </row>
    <row r="442" spans="1:16" x14ac:dyDescent="0.35">
      <c r="A442" s="229"/>
      <c r="B442" s="230"/>
      <c r="C442" s="25" t="s">
        <v>1722</v>
      </c>
      <c r="D442" s="25" t="s">
        <v>1723</v>
      </c>
      <c r="E442" s="6" t="s">
        <v>2597</v>
      </c>
      <c r="F442" s="6" t="s">
        <v>2597</v>
      </c>
      <c r="G442" s="106" t="s">
        <v>2606</v>
      </c>
      <c r="H442" s="101">
        <v>7</v>
      </c>
      <c r="I442" s="101">
        <v>6</v>
      </c>
      <c r="J442" s="101">
        <v>22</v>
      </c>
      <c r="K442" s="101">
        <v>26</v>
      </c>
      <c r="L442" s="131">
        <v>7</v>
      </c>
      <c r="M442" s="131">
        <v>8</v>
      </c>
      <c r="N442" s="131">
        <v>11</v>
      </c>
      <c r="O442" s="131">
        <v>15</v>
      </c>
      <c r="P442" s="218">
        <f t="shared" si="18"/>
        <v>102</v>
      </c>
    </row>
    <row r="443" spans="1:16" x14ac:dyDescent="0.35">
      <c r="A443" s="229"/>
      <c r="B443" s="230"/>
      <c r="C443" s="25" t="s">
        <v>1722</v>
      </c>
      <c r="D443" s="25" t="s">
        <v>1723</v>
      </c>
      <c r="E443" s="6" t="s">
        <v>2597</v>
      </c>
      <c r="F443" s="6" t="s">
        <v>2597</v>
      </c>
      <c r="G443" s="106" t="s">
        <v>2607</v>
      </c>
      <c r="H443" s="101">
        <v>8</v>
      </c>
      <c r="I443" s="101">
        <v>9</v>
      </c>
      <c r="J443" s="101">
        <v>31</v>
      </c>
      <c r="K443" s="101">
        <v>29</v>
      </c>
      <c r="L443" s="131">
        <v>12</v>
      </c>
      <c r="M443" s="131">
        <v>13</v>
      </c>
      <c r="N443" s="131">
        <v>14</v>
      </c>
      <c r="O443" s="131">
        <v>18</v>
      </c>
      <c r="P443" s="218">
        <f t="shared" si="18"/>
        <v>134</v>
      </c>
    </row>
    <row r="444" spans="1:16" x14ac:dyDescent="0.35">
      <c r="A444" s="229"/>
      <c r="B444" s="230"/>
      <c r="C444" s="25" t="s">
        <v>1722</v>
      </c>
      <c r="D444" s="25" t="s">
        <v>1723</v>
      </c>
      <c r="E444" s="6" t="s">
        <v>2597</v>
      </c>
      <c r="F444" s="6" t="s">
        <v>2597</v>
      </c>
      <c r="G444" s="106" t="s">
        <v>2608</v>
      </c>
      <c r="H444" s="101">
        <v>9</v>
      </c>
      <c r="I444" s="101">
        <v>11</v>
      </c>
      <c r="J444" s="101">
        <v>30</v>
      </c>
      <c r="K444" s="101">
        <v>32</v>
      </c>
      <c r="L444" s="134">
        <v>15</v>
      </c>
      <c r="M444" s="131">
        <v>13</v>
      </c>
      <c r="N444" s="131">
        <v>11</v>
      </c>
      <c r="O444" s="131">
        <v>10</v>
      </c>
      <c r="P444" s="218">
        <f t="shared" si="18"/>
        <v>131</v>
      </c>
    </row>
    <row r="445" spans="1:16" x14ac:dyDescent="0.35">
      <c r="A445" s="110"/>
      <c r="B445" s="110"/>
      <c r="C445" s="108"/>
      <c r="D445" s="108"/>
      <c r="E445" s="111"/>
      <c r="F445" s="111"/>
      <c r="G445" s="103" t="s">
        <v>449</v>
      </c>
      <c r="H445" s="172">
        <f t="shared" ref="H445:O445" si="22">SUM(H432:H444)</f>
        <v>117</v>
      </c>
      <c r="I445" s="172">
        <f t="shared" si="22"/>
        <v>109</v>
      </c>
      <c r="J445" s="171">
        <f t="shared" si="22"/>
        <v>330</v>
      </c>
      <c r="K445" s="171">
        <f t="shared" si="22"/>
        <v>390</v>
      </c>
      <c r="L445" s="129">
        <f t="shared" si="22"/>
        <v>205</v>
      </c>
      <c r="M445" s="129">
        <f t="shared" si="22"/>
        <v>209</v>
      </c>
      <c r="N445" s="126">
        <f t="shared" si="22"/>
        <v>174</v>
      </c>
      <c r="O445" s="126">
        <f t="shared" si="22"/>
        <v>189</v>
      </c>
      <c r="P445" s="217">
        <f t="shared" si="18"/>
        <v>1723</v>
      </c>
    </row>
    <row r="446" spans="1:16" x14ac:dyDescent="0.35">
      <c r="A446" s="229">
        <v>17</v>
      </c>
      <c r="B446" s="231" t="s">
        <v>1733</v>
      </c>
      <c r="C446" s="25" t="s">
        <v>1722</v>
      </c>
      <c r="D446" s="25" t="s">
        <v>1723</v>
      </c>
      <c r="E446" s="6" t="s">
        <v>1733</v>
      </c>
      <c r="F446" s="26" t="s">
        <v>1768</v>
      </c>
      <c r="G446" s="105" t="s">
        <v>2609</v>
      </c>
      <c r="H446" s="101">
        <v>12</v>
      </c>
      <c r="I446" s="101">
        <v>9</v>
      </c>
      <c r="J446" s="101">
        <v>29</v>
      </c>
      <c r="K446" s="101">
        <v>36</v>
      </c>
      <c r="L446" s="131">
        <v>15</v>
      </c>
      <c r="M446" s="131">
        <v>20</v>
      </c>
      <c r="N446" s="131">
        <v>25</v>
      </c>
      <c r="O446" s="131">
        <v>26</v>
      </c>
      <c r="P446" s="218">
        <f t="shared" si="18"/>
        <v>172</v>
      </c>
    </row>
    <row r="447" spans="1:16" x14ac:dyDescent="0.35">
      <c r="A447" s="229"/>
      <c r="B447" s="231"/>
      <c r="C447" s="25" t="s">
        <v>1722</v>
      </c>
      <c r="D447" s="25" t="s">
        <v>1723</v>
      </c>
      <c r="E447" s="6" t="s">
        <v>1733</v>
      </c>
      <c r="F447" s="26" t="s">
        <v>1768</v>
      </c>
      <c r="G447" s="105" t="s">
        <v>2610</v>
      </c>
      <c r="H447" s="101">
        <v>11</v>
      </c>
      <c r="I447" s="101">
        <v>16</v>
      </c>
      <c r="J447" s="101">
        <v>31</v>
      </c>
      <c r="K447" s="101">
        <v>31</v>
      </c>
      <c r="L447" s="131">
        <v>40</v>
      </c>
      <c r="M447" s="131">
        <v>38</v>
      </c>
      <c r="N447" s="131">
        <v>8</v>
      </c>
      <c r="O447" s="131">
        <v>8</v>
      </c>
      <c r="P447" s="218">
        <f t="shared" si="18"/>
        <v>183</v>
      </c>
    </row>
    <row r="448" spans="1:16" x14ac:dyDescent="0.35">
      <c r="A448" s="229"/>
      <c r="B448" s="231"/>
      <c r="C448" s="25" t="s">
        <v>1722</v>
      </c>
      <c r="D448" s="25" t="s">
        <v>1723</v>
      </c>
      <c r="E448" s="6" t="s">
        <v>1733</v>
      </c>
      <c r="F448" s="26" t="s">
        <v>1768</v>
      </c>
      <c r="G448" s="107" t="s">
        <v>2611</v>
      </c>
      <c r="H448" s="101">
        <v>14</v>
      </c>
      <c r="I448" s="101">
        <v>9</v>
      </c>
      <c r="J448" s="101">
        <v>39</v>
      </c>
      <c r="K448" s="101">
        <v>34</v>
      </c>
      <c r="L448" s="131">
        <v>5</v>
      </c>
      <c r="M448" s="131">
        <v>4</v>
      </c>
      <c r="N448" s="131">
        <v>13</v>
      </c>
      <c r="O448" s="131">
        <v>11</v>
      </c>
      <c r="P448" s="218">
        <f t="shared" si="18"/>
        <v>129</v>
      </c>
    </row>
    <row r="449" spans="1:16" x14ac:dyDescent="0.35">
      <c r="A449" s="229"/>
      <c r="B449" s="231"/>
      <c r="C449" s="25" t="s">
        <v>1722</v>
      </c>
      <c r="D449" s="25" t="s">
        <v>1723</v>
      </c>
      <c r="E449" s="6" t="s">
        <v>1733</v>
      </c>
      <c r="F449" s="26" t="s">
        <v>1768</v>
      </c>
      <c r="G449" s="107" t="s">
        <v>2612</v>
      </c>
      <c r="H449" s="101">
        <v>13</v>
      </c>
      <c r="I449" s="101">
        <v>11</v>
      </c>
      <c r="J449" s="101">
        <v>27</v>
      </c>
      <c r="K449" s="101">
        <v>29</v>
      </c>
      <c r="L449" s="131">
        <v>20</v>
      </c>
      <c r="M449" s="131">
        <v>16</v>
      </c>
      <c r="N449" s="131">
        <v>21</v>
      </c>
      <c r="O449" s="131">
        <v>19</v>
      </c>
      <c r="P449" s="218">
        <f t="shared" si="18"/>
        <v>156</v>
      </c>
    </row>
    <row r="450" spans="1:16" x14ac:dyDescent="0.35">
      <c r="A450" s="229"/>
      <c r="B450" s="231"/>
      <c r="C450" s="25" t="s">
        <v>1722</v>
      </c>
      <c r="D450" s="25" t="s">
        <v>1723</v>
      </c>
      <c r="E450" s="6" t="s">
        <v>1733</v>
      </c>
      <c r="F450" s="26" t="s">
        <v>1768</v>
      </c>
      <c r="G450" s="107" t="s">
        <v>2613</v>
      </c>
      <c r="H450" s="101">
        <v>6</v>
      </c>
      <c r="I450" s="101">
        <v>8</v>
      </c>
      <c r="J450" s="101">
        <v>31</v>
      </c>
      <c r="K450" s="101">
        <v>32</v>
      </c>
      <c r="L450" s="131">
        <v>27</v>
      </c>
      <c r="M450" s="131">
        <v>28</v>
      </c>
      <c r="N450" s="131">
        <v>24</v>
      </c>
      <c r="O450" s="131">
        <v>16</v>
      </c>
      <c r="P450" s="218">
        <f t="shared" si="18"/>
        <v>172</v>
      </c>
    </row>
    <row r="451" spans="1:16" x14ac:dyDescent="0.35">
      <c r="A451" s="229"/>
      <c r="B451" s="231"/>
      <c r="C451" s="25" t="s">
        <v>1722</v>
      </c>
      <c r="D451" s="25" t="s">
        <v>1723</v>
      </c>
      <c r="E451" s="6" t="s">
        <v>1733</v>
      </c>
      <c r="F451" s="26" t="s">
        <v>1768</v>
      </c>
      <c r="G451" s="107" t="s">
        <v>2614</v>
      </c>
      <c r="H451" s="101">
        <v>9</v>
      </c>
      <c r="I451" s="101">
        <v>10</v>
      </c>
      <c r="J451" s="101">
        <v>36</v>
      </c>
      <c r="K451" s="101">
        <v>41</v>
      </c>
      <c r="L451" s="131">
        <v>20</v>
      </c>
      <c r="M451" s="131">
        <v>23</v>
      </c>
      <c r="N451" s="131">
        <v>56</v>
      </c>
      <c r="O451" s="131">
        <v>44</v>
      </c>
      <c r="P451" s="218">
        <f t="shared" si="18"/>
        <v>239</v>
      </c>
    </row>
    <row r="452" spans="1:16" x14ac:dyDescent="0.35">
      <c r="A452" s="229"/>
      <c r="B452" s="231"/>
      <c r="C452" s="25" t="s">
        <v>1722</v>
      </c>
      <c r="D452" s="25" t="s">
        <v>1723</v>
      </c>
      <c r="E452" s="6" t="s">
        <v>1733</v>
      </c>
      <c r="F452" s="26" t="s">
        <v>1768</v>
      </c>
      <c r="G452" s="107" t="s">
        <v>2615</v>
      </c>
      <c r="H452" s="101">
        <v>11</v>
      </c>
      <c r="I452" s="101">
        <v>12</v>
      </c>
      <c r="J452" s="101">
        <v>21</v>
      </c>
      <c r="K452" s="101">
        <v>27</v>
      </c>
      <c r="L452" s="131">
        <v>26</v>
      </c>
      <c r="M452" s="131">
        <v>28</v>
      </c>
      <c r="N452" s="131">
        <v>35</v>
      </c>
      <c r="O452" s="131">
        <v>35</v>
      </c>
      <c r="P452" s="218">
        <f t="shared" si="18"/>
        <v>195</v>
      </c>
    </row>
    <row r="453" spans="1:16" x14ac:dyDescent="0.35">
      <c r="A453" s="229"/>
      <c r="B453" s="231"/>
      <c r="C453" s="25" t="s">
        <v>1722</v>
      </c>
      <c r="D453" s="25" t="s">
        <v>1723</v>
      </c>
      <c r="E453" s="6" t="s">
        <v>1733</v>
      </c>
      <c r="F453" s="26" t="s">
        <v>1768</v>
      </c>
      <c r="G453" s="107" t="s">
        <v>2616</v>
      </c>
      <c r="H453" s="101">
        <v>12</v>
      </c>
      <c r="I453" s="101">
        <v>14</v>
      </c>
      <c r="J453" s="101">
        <v>25</v>
      </c>
      <c r="K453" s="101">
        <v>29</v>
      </c>
      <c r="L453" s="131">
        <v>12</v>
      </c>
      <c r="M453" s="131">
        <v>13</v>
      </c>
      <c r="N453" s="131">
        <v>26</v>
      </c>
      <c r="O453" s="131">
        <v>24</v>
      </c>
      <c r="P453" s="218">
        <f t="shared" si="18"/>
        <v>155</v>
      </c>
    </row>
    <row r="454" spans="1:16" x14ac:dyDescent="0.35">
      <c r="A454" s="229"/>
      <c r="B454" s="231"/>
      <c r="C454" s="25" t="s">
        <v>1722</v>
      </c>
      <c r="D454" s="25" t="s">
        <v>1723</v>
      </c>
      <c r="E454" s="6" t="s">
        <v>1733</v>
      </c>
      <c r="F454" s="26" t="s">
        <v>1768</v>
      </c>
      <c r="G454" s="107" t="s">
        <v>2617</v>
      </c>
      <c r="H454" s="101">
        <v>14</v>
      </c>
      <c r="I454" s="101">
        <v>15</v>
      </c>
      <c r="J454" s="101">
        <v>19</v>
      </c>
      <c r="K454" s="101">
        <v>23</v>
      </c>
      <c r="L454" s="131">
        <v>9</v>
      </c>
      <c r="M454" s="131">
        <v>11</v>
      </c>
      <c r="N454" s="131">
        <v>35</v>
      </c>
      <c r="O454" s="131">
        <v>40</v>
      </c>
      <c r="P454" s="218">
        <f t="shared" ref="P454:P472" si="23">H454+I454+J454+K454+L454+M454+N454+O454</f>
        <v>166</v>
      </c>
    </row>
    <row r="455" spans="1:16" x14ac:dyDescent="0.35">
      <c r="A455" s="229"/>
      <c r="B455" s="231"/>
      <c r="C455" s="25" t="s">
        <v>1722</v>
      </c>
      <c r="D455" s="25" t="s">
        <v>1723</v>
      </c>
      <c r="E455" s="6" t="s">
        <v>1733</v>
      </c>
      <c r="F455" s="6" t="s">
        <v>1733</v>
      </c>
      <c r="G455" s="107" t="s">
        <v>2618</v>
      </c>
      <c r="H455" s="101">
        <v>12</v>
      </c>
      <c r="I455" s="101">
        <v>9</v>
      </c>
      <c r="J455" s="101">
        <v>27</v>
      </c>
      <c r="K455" s="101">
        <v>21</v>
      </c>
      <c r="L455" s="131">
        <v>20</v>
      </c>
      <c r="M455" s="131">
        <v>18</v>
      </c>
      <c r="N455" s="131">
        <v>15</v>
      </c>
      <c r="O455" s="131">
        <v>20</v>
      </c>
      <c r="P455" s="218">
        <f t="shared" si="23"/>
        <v>142</v>
      </c>
    </row>
    <row r="456" spans="1:16" x14ac:dyDescent="0.35">
      <c r="A456" s="229"/>
      <c r="B456" s="231"/>
      <c r="C456" s="25" t="s">
        <v>1722</v>
      </c>
      <c r="D456" s="25" t="s">
        <v>1723</v>
      </c>
      <c r="E456" s="6" t="s">
        <v>1733</v>
      </c>
      <c r="F456" s="6" t="s">
        <v>1733</v>
      </c>
      <c r="G456" s="105" t="s">
        <v>2619</v>
      </c>
      <c r="H456" s="101">
        <v>9</v>
      </c>
      <c r="I456" s="101">
        <v>6</v>
      </c>
      <c r="J456" s="101">
        <v>41</v>
      </c>
      <c r="K456" s="101">
        <v>38</v>
      </c>
      <c r="L456" s="131">
        <v>15</v>
      </c>
      <c r="M456" s="131">
        <v>17</v>
      </c>
      <c r="N456" s="131">
        <v>23</v>
      </c>
      <c r="O456" s="131">
        <v>17</v>
      </c>
      <c r="P456" s="218">
        <f t="shared" si="23"/>
        <v>166</v>
      </c>
    </row>
    <row r="457" spans="1:16" x14ac:dyDescent="0.35">
      <c r="A457" s="229"/>
      <c r="B457" s="231"/>
      <c r="C457" s="25" t="s">
        <v>1722</v>
      </c>
      <c r="D457" s="25" t="s">
        <v>1723</v>
      </c>
      <c r="E457" s="6" t="s">
        <v>1733</v>
      </c>
      <c r="F457" s="6" t="s">
        <v>1733</v>
      </c>
      <c r="G457" s="107" t="s">
        <v>2620</v>
      </c>
      <c r="H457" s="101">
        <v>5</v>
      </c>
      <c r="I457" s="101">
        <v>9</v>
      </c>
      <c r="J457" s="101">
        <v>26</v>
      </c>
      <c r="K457" s="101">
        <v>29</v>
      </c>
      <c r="L457" s="131">
        <v>55</v>
      </c>
      <c r="M457" s="131">
        <v>50</v>
      </c>
      <c r="N457" s="131">
        <v>58</v>
      </c>
      <c r="O457" s="131">
        <v>48</v>
      </c>
      <c r="P457" s="218">
        <f t="shared" si="23"/>
        <v>280</v>
      </c>
    </row>
    <row r="458" spans="1:16" x14ac:dyDescent="0.35">
      <c r="A458" s="229"/>
      <c r="B458" s="231"/>
      <c r="C458" s="25" t="s">
        <v>1722</v>
      </c>
      <c r="D458" s="25" t="s">
        <v>1723</v>
      </c>
      <c r="E458" s="6" t="s">
        <v>1733</v>
      </c>
      <c r="F458" s="6" t="s">
        <v>1733</v>
      </c>
      <c r="G458" s="107" t="s">
        <v>2621</v>
      </c>
      <c r="H458" s="101">
        <v>7</v>
      </c>
      <c r="I458" s="101">
        <v>11</v>
      </c>
      <c r="J458" s="101">
        <v>39</v>
      </c>
      <c r="K458" s="101">
        <v>31</v>
      </c>
      <c r="L458" s="131">
        <v>11</v>
      </c>
      <c r="M458" s="131">
        <v>14</v>
      </c>
      <c r="N458" s="131">
        <v>25</v>
      </c>
      <c r="O458" s="131">
        <v>22</v>
      </c>
      <c r="P458" s="218">
        <f t="shared" si="23"/>
        <v>160</v>
      </c>
    </row>
    <row r="459" spans="1:16" x14ac:dyDescent="0.35">
      <c r="A459" s="229"/>
      <c r="B459" s="231"/>
      <c r="C459" s="25" t="s">
        <v>1722</v>
      </c>
      <c r="D459" s="25" t="s">
        <v>1723</v>
      </c>
      <c r="E459" s="6" t="s">
        <v>1733</v>
      </c>
      <c r="F459" s="6" t="s">
        <v>1733</v>
      </c>
      <c r="G459" s="105" t="s">
        <v>2622</v>
      </c>
      <c r="H459" s="101">
        <v>11</v>
      </c>
      <c r="I459" s="101">
        <v>16</v>
      </c>
      <c r="J459" s="101">
        <v>29</v>
      </c>
      <c r="K459" s="101">
        <v>24</v>
      </c>
      <c r="L459" s="131">
        <v>23</v>
      </c>
      <c r="M459" s="131">
        <v>27</v>
      </c>
      <c r="N459" s="131">
        <v>24</v>
      </c>
      <c r="O459" s="131">
        <v>26</v>
      </c>
      <c r="P459" s="218">
        <f t="shared" si="23"/>
        <v>180</v>
      </c>
    </row>
    <row r="460" spans="1:16" x14ac:dyDescent="0.35">
      <c r="A460" s="229"/>
      <c r="B460" s="231"/>
      <c r="C460" s="25" t="s">
        <v>1722</v>
      </c>
      <c r="D460" s="25" t="s">
        <v>1723</v>
      </c>
      <c r="E460" s="6" t="s">
        <v>1733</v>
      </c>
      <c r="F460" s="6" t="s">
        <v>1733</v>
      </c>
      <c r="G460" s="107" t="s">
        <v>2623</v>
      </c>
      <c r="H460" s="101">
        <v>13</v>
      </c>
      <c r="I460" s="101">
        <v>11</v>
      </c>
      <c r="J460" s="101">
        <v>26</v>
      </c>
      <c r="K460" s="101">
        <v>29</v>
      </c>
      <c r="L460" s="131">
        <v>26</v>
      </c>
      <c r="M460" s="131">
        <v>24</v>
      </c>
      <c r="N460" s="131">
        <v>41</v>
      </c>
      <c r="O460" s="131">
        <v>47</v>
      </c>
      <c r="P460" s="218">
        <f t="shared" si="23"/>
        <v>217</v>
      </c>
    </row>
    <row r="461" spans="1:16" x14ac:dyDescent="0.35">
      <c r="A461" s="229"/>
      <c r="B461" s="231"/>
      <c r="C461" s="25" t="s">
        <v>1722</v>
      </c>
      <c r="D461" s="25" t="s">
        <v>1723</v>
      </c>
      <c r="E461" s="6" t="s">
        <v>1733</v>
      </c>
      <c r="F461" s="6" t="s">
        <v>1733</v>
      </c>
      <c r="G461" s="107" t="s">
        <v>2624</v>
      </c>
      <c r="H461" s="101">
        <v>8</v>
      </c>
      <c r="I461" s="101">
        <v>9</v>
      </c>
      <c r="J461" s="101">
        <v>19</v>
      </c>
      <c r="K461" s="101">
        <v>37</v>
      </c>
      <c r="L461" s="131">
        <v>12</v>
      </c>
      <c r="M461" s="131">
        <v>21</v>
      </c>
      <c r="N461" s="131">
        <v>40</v>
      </c>
      <c r="O461" s="131">
        <v>35</v>
      </c>
      <c r="P461" s="218">
        <f t="shared" si="23"/>
        <v>181</v>
      </c>
    </row>
    <row r="462" spans="1:16" x14ac:dyDescent="0.35">
      <c r="A462" s="229"/>
      <c r="B462" s="231"/>
      <c r="C462" s="25" t="s">
        <v>1722</v>
      </c>
      <c r="D462" s="25" t="s">
        <v>1723</v>
      </c>
      <c r="E462" s="6" t="s">
        <v>1733</v>
      </c>
      <c r="F462" s="6" t="s">
        <v>1733</v>
      </c>
      <c r="G462" s="107" t="s">
        <v>2625</v>
      </c>
      <c r="H462" s="101">
        <v>9</v>
      </c>
      <c r="I462" s="101">
        <v>13</v>
      </c>
      <c r="J462" s="101">
        <v>19</v>
      </c>
      <c r="K462" s="101">
        <v>27</v>
      </c>
      <c r="L462" s="131">
        <v>7</v>
      </c>
      <c r="M462" s="131">
        <v>2</v>
      </c>
      <c r="N462" s="131">
        <v>15</v>
      </c>
      <c r="O462" s="131">
        <v>14</v>
      </c>
      <c r="P462" s="218">
        <f t="shared" si="23"/>
        <v>106</v>
      </c>
    </row>
    <row r="463" spans="1:16" x14ac:dyDescent="0.35">
      <c r="A463" s="229"/>
      <c r="B463" s="231"/>
      <c r="C463" s="25" t="s">
        <v>1722</v>
      </c>
      <c r="D463" s="25" t="s">
        <v>1723</v>
      </c>
      <c r="E463" s="6" t="s">
        <v>1733</v>
      </c>
      <c r="F463" s="6" t="s">
        <v>1733</v>
      </c>
      <c r="G463" s="107" t="s">
        <v>2626</v>
      </c>
      <c r="H463" s="101">
        <v>16</v>
      </c>
      <c r="I463" s="101">
        <v>11</v>
      </c>
      <c r="J463" s="101">
        <v>29</v>
      </c>
      <c r="K463" s="101">
        <v>34</v>
      </c>
      <c r="L463" s="131">
        <v>5</v>
      </c>
      <c r="M463" s="131">
        <v>7</v>
      </c>
      <c r="N463" s="131">
        <v>21</v>
      </c>
      <c r="O463" s="131">
        <v>19</v>
      </c>
      <c r="P463" s="218">
        <f t="shared" si="23"/>
        <v>142</v>
      </c>
    </row>
    <row r="464" spans="1:16" x14ac:dyDescent="0.35">
      <c r="A464" s="229"/>
      <c r="B464" s="231"/>
      <c r="C464" s="25" t="s">
        <v>1722</v>
      </c>
      <c r="D464" s="25" t="s">
        <v>1723</v>
      </c>
      <c r="E464" s="6" t="s">
        <v>1733</v>
      </c>
      <c r="F464" s="6" t="s">
        <v>1733</v>
      </c>
      <c r="G464" s="107" t="s">
        <v>2627</v>
      </c>
      <c r="H464" s="101">
        <v>12</v>
      </c>
      <c r="I464" s="101">
        <v>14</v>
      </c>
      <c r="J464" s="101">
        <v>37</v>
      </c>
      <c r="K464" s="101">
        <v>39</v>
      </c>
      <c r="L464" s="131">
        <v>9</v>
      </c>
      <c r="M464" s="131">
        <v>11</v>
      </c>
      <c r="N464" s="131">
        <v>16</v>
      </c>
      <c r="O464" s="131">
        <v>12</v>
      </c>
      <c r="P464" s="218">
        <f t="shared" si="23"/>
        <v>150</v>
      </c>
    </row>
    <row r="465" spans="1:16" x14ac:dyDescent="0.35">
      <c r="A465" s="229"/>
      <c r="B465" s="231"/>
      <c r="C465" s="25" t="s">
        <v>1722</v>
      </c>
      <c r="D465" s="25" t="s">
        <v>1723</v>
      </c>
      <c r="E465" s="6" t="s">
        <v>1733</v>
      </c>
      <c r="F465" s="6" t="s">
        <v>1733</v>
      </c>
      <c r="G465" s="107" t="s">
        <v>2628</v>
      </c>
      <c r="H465" s="101">
        <v>8</v>
      </c>
      <c r="I465" s="101">
        <v>9</v>
      </c>
      <c r="J465" s="101">
        <v>19</v>
      </c>
      <c r="K465" s="101">
        <v>17</v>
      </c>
      <c r="L465" s="131">
        <v>15</v>
      </c>
      <c r="M465" s="131">
        <v>21</v>
      </c>
      <c r="N465" s="131">
        <v>11</v>
      </c>
      <c r="O465" s="131">
        <v>10</v>
      </c>
      <c r="P465" s="218">
        <f t="shared" si="23"/>
        <v>110</v>
      </c>
    </row>
    <row r="466" spans="1:16" x14ac:dyDescent="0.35">
      <c r="A466" s="229"/>
      <c r="B466" s="231"/>
      <c r="C466" s="25" t="s">
        <v>1722</v>
      </c>
      <c r="D466" s="25" t="s">
        <v>1723</v>
      </c>
      <c r="E466" s="6" t="s">
        <v>1733</v>
      </c>
      <c r="F466" s="6" t="s">
        <v>1733</v>
      </c>
      <c r="G466" s="105" t="s">
        <v>2629</v>
      </c>
      <c r="H466" s="101">
        <v>13</v>
      </c>
      <c r="I466" s="101">
        <v>15</v>
      </c>
      <c r="J466" s="101">
        <v>17</v>
      </c>
      <c r="K466" s="101">
        <v>19</v>
      </c>
      <c r="L466" s="131">
        <v>17</v>
      </c>
      <c r="M466" s="131">
        <v>18</v>
      </c>
      <c r="N466" s="131">
        <v>25</v>
      </c>
      <c r="O466" s="131">
        <v>27</v>
      </c>
      <c r="P466" s="218">
        <f t="shared" si="23"/>
        <v>151</v>
      </c>
    </row>
    <row r="467" spans="1:16" x14ac:dyDescent="0.35">
      <c r="A467" s="229"/>
      <c r="B467" s="231"/>
      <c r="C467" s="25" t="s">
        <v>1722</v>
      </c>
      <c r="D467" s="25" t="s">
        <v>1723</v>
      </c>
      <c r="E467" s="6" t="s">
        <v>1733</v>
      </c>
      <c r="F467" s="6" t="s">
        <v>1733</v>
      </c>
      <c r="G467" s="107" t="s">
        <v>2630</v>
      </c>
      <c r="H467" s="101">
        <v>9</v>
      </c>
      <c r="I467" s="101">
        <v>11</v>
      </c>
      <c r="J467" s="101">
        <v>19</v>
      </c>
      <c r="K467" s="101">
        <v>22</v>
      </c>
      <c r="L467" s="131">
        <v>38</v>
      </c>
      <c r="M467" s="131">
        <v>39</v>
      </c>
      <c r="N467" s="131">
        <v>32</v>
      </c>
      <c r="O467" s="131">
        <v>30</v>
      </c>
      <c r="P467" s="218">
        <f t="shared" si="23"/>
        <v>200</v>
      </c>
    </row>
    <row r="468" spans="1:16" x14ac:dyDescent="0.35">
      <c r="A468" s="229"/>
      <c r="B468" s="231"/>
      <c r="C468" s="25" t="s">
        <v>1722</v>
      </c>
      <c r="D468" s="25" t="s">
        <v>1723</v>
      </c>
      <c r="E468" s="6" t="s">
        <v>1733</v>
      </c>
      <c r="F468" s="6" t="s">
        <v>1733</v>
      </c>
      <c r="G468" s="107" t="s">
        <v>2631</v>
      </c>
      <c r="H468" s="101">
        <v>14</v>
      </c>
      <c r="I468" s="101">
        <v>16</v>
      </c>
      <c r="J468" s="101">
        <v>36</v>
      </c>
      <c r="K468" s="101">
        <v>31</v>
      </c>
      <c r="L468" s="131">
        <v>16</v>
      </c>
      <c r="M468" s="131">
        <v>18</v>
      </c>
      <c r="N468" s="131">
        <v>27</v>
      </c>
      <c r="O468" s="131">
        <v>20</v>
      </c>
      <c r="P468" s="218">
        <f t="shared" si="23"/>
        <v>178</v>
      </c>
    </row>
    <row r="469" spans="1:16" x14ac:dyDescent="0.35">
      <c r="A469" s="229"/>
      <c r="B469" s="231"/>
      <c r="C469" s="25" t="s">
        <v>1722</v>
      </c>
      <c r="D469" s="25" t="s">
        <v>1723</v>
      </c>
      <c r="E469" s="6" t="s">
        <v>1733</v>
      </c>
      <c r="F469" s="6" t="s">
        <v>1733</v>
      </c>
      <c r="G469" s="107" t="s">
        <v>867</v>
      </c>
      <c r="H469" s="101">
        <v>11</v>
      </c>
      <c r="I469" s="101">
        <v>13</v>
      </c>
      <c r="J469" s="101">
        <v>29</v>
      </c>
      <c r="K469" s="101">
        <v>32</v>
      </c>
      <c r="L469" s="131">
        <v>12</v>
      </c>
      <c r="M469" s="131">
        <v>13</v>
      </c>
      <c r="N469" s="131">
        <v>42</v>
      </c>
      <c r="O469" s="131">
        <v>40</v>
      </c>
      <c r="P469" s="218">
        <f t="shared" si="23"/>
        <v>192</v>
      </c>
    </row>
    <row r="470" spans="1:16" x14ac:dyDescent="0.35">
      <c r="A470" s="229"/>
      <c r="B470" s="231"/>
      <c r="C470" s="25" t="s">
        <v>1722</v>
      </c>
      <c r="D470" s="25" t="s">
        <v>1723</v>
      </c>
      <c r="E470" s="6" t="s">
        <v>1733</v>
      </c>
      <c r="F470" s="6" t="s">
        <v>1733</v>
      </c>
      <c r="G470" s="107" t="s">
        <v>2632</v>
      </c>
      <c r="H470" s="101">
        <v>12</v>
      </c>
      <c r="I470" s="101">
        <v>15</v>
      </c>
      <c r="J470" s="101">
        <v>32</v>
      </c>
      <c r="K470" s="101">
        <v>36</v>
      </c>
      <c r="L470" s="131">
        <v>26</v>
      </c>
      <c r="M470" s="131">
        <v>24</v>
      </c>
      <c r="N470" s="131">
        <v>50</v>
      </c>
      <c r="O470" s="131">
        <v>45</v>
      </c>
      <c r="P470" s="218">
        <f t="shared" si="23"/>
        <v>240</v>
      </c>
    </row>
    <row r="471" spans="1:16" x14ac:dyDescent="0.35">
      <c r="A471" s="110"/>
      <c r="B471" s="110"/>
      <c r="C471" s="108"/>
      <c r="D471" s="108"/>
      <c r="E471" s="111"/>
      <c r="F471" s="111"/>
      <c r="G471" s="103" t="s">
        <v>449</v>
      </c>
      <c r="H471" s="172">
        <f t="shared" ref="H471:O471" si="24">SUM(H446:H470)</f>
        <v>271</v>
      </c>
      <c r="I471" s="172">
        <f t="shared" si="24"/>
        <v>292</v>
      </c>
      <c r="J471" s="171">
        <f t="shared" si="24"/>
        <v>702</v>
      </c>
      <c r="K471" s="171">
        <f t="shared" si="24"/>
        <v>748</v>
      </c>
      <c r="L471" s="129">
        <f t="shared" si="24"/>
        <v>481</v>
      </c>
      <c r="M471" s="129">
        <f t="shared" si="24"/>
        <v>505</v>
      </c>
      <c r="N471" s="126">
        <f t="shared" si="24"/>
        <v>708</v>
      </c>
      <c r="O471" s="126">
        <f t="shared" si="24"/>
        <v>655</v>
      </c>
      <c r="P471" s="217">
        <f t="shared" si="23"/>
        <v>4362</v>
      </c>
    </row>
    <row r="472" spans="1:16" x14ac:dyDescent="0.35">
      <c r="G472" s="104" t="s">
        <v>2637</v>
      </c>
      <c r="H472" s="120">
        <f>SUM(H17+H100+H111+H121+H161+H201+H261+H278+H317+H331+H357+H376+H391+H414+H431+H445+H471)</f>
        <v>3441</v>
      </c>
      <c r="I472" s="120">
        <f>SUM(I17+I100+I111+I121+I161+I201+I261+I278+I317+I331+I357+I376+I391+I414+I431+I445+I471)</f>
        <v>3669</v>
      </c>
      <c r="J472" s="120">
        <f>SUM(J17+J100+J111+J121+J161+J201+J261+J278+J317+J331+J357+J376+J391+J414+J431+J445+J471)</f>
        <v>11853</v>
      </c>
      <c r="K472" s="120">
        <f>SUM(K17+K100+K111+K121+K161+K201+K261+K278+K317+K331+K357+K376+K391+K414+K431+K445+K471)</f>
        <v>13017</v>
      </c>
      <c r="L472" s="120">
        <f t="shared" ref="L472:O472" si="25">SUM(L17+L100+L111+L121+L161+L201+L261+L278+L317+L331+L357+L376+L391+L414+L431+L445+L471)</f>
        <v>7336</v>
      </c>
      <c r="M472" s="120">
        <f t="shared" si="25"/>
        <v>7615</v>
      </c>
      <c r="N472" s="120">
        <f t="shared" si="25"/>
        <v>11437</v>
      </c>
      <c r="O472" s="120">
        <f t="shared" si="25"/>
        <v>12160</v>
      </c>
      <c r="P472" s="217">
        <f t="shared" si="23"/>
        <v>70528</v>
      </c>
    </row>
    <row r="474" spans="1:16" x14ac:dyDescent="0.35">
      <c r="H474" s="4"/>
      <c r="I474" s="4"/>
      <c r="J474" s="4"/>
      <c r="K474" s="4"/>
    </row>
  </sheetData>
  <mergeCells count="43">
    <mergeCell ref="A446:A470"/>
    <mergeCell ref="B446:B470"/>
    <mergeCell ref="A415:A431"/>
    <mergeCell ref="B415:B431"/>
    <mergeCell ref="A432:A444"/>
    <mergeCell ref="B432:B444"/>
    <mergeCell ref="A1:K1"/>
    <mergeCell ref="A2:A3"/>
    <mergeCell ref="B2:B3"/>
    <mergeCell ref="C2:C3"/>
    <mergeCell ref="D2:D3"/>
    <mergeCell ref="E2:E3"/>
    <mergeCell ref="F2:F3"/>
    <mergeCell ref="G2:G3"/>
    <mergeCell ref="H2:K2"/>
    <mergeCell ref="A5:A16"/>
    <mergeCell ref="B5:B16"/>
    <mergeCell ref="A18:A99"/>
    <mergeCell ref="B18:B99"/>
    <mergeCell ref="A101:A110"/>
    <mergeCell ref="B101:B110"/>
    <mergeCell ref="A112:A120"/>
    <mergeCell ref="B112:B120"/>
    <mergeCell ref="A122:A160"/>
    <mergeCell ref="B122:B160"/>
    <mergeCell ref="A162:A200"/>
    <mergeCell ref="B162:B200"/>
    <mergeCell ref="A202:A260"/>
    <mergeCell ref="B202:B260"/>
    <mergeCell ref="A262:A277"/>
    <mergeCell ref="B262:B277"/>
    <mergeCell ref="A279:A316"/>
    <mergeCell ref="B279:B316"/>
    <mergeCell ref="A377:A390"/>
    <mergeCell ref="B377:B390"/>
    <mergeCell ref="A392:A413"/>
    <mergeCell ref="B392:B413"/>
    <mergeCell ref="A318:A330"/>
    <mergeCell ref="B318:B330"/>
    <mergeCell ref="A332:A356"/>
    <mergeCell ref="B332:B356"/>
    <mergeCell ref="A358:A375"/>
    <mergeCell ref="B358:B375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389f2198-c796-49cd-8692-fe7856cf6d68}" enabled="0" method="" siteId="{389f2198-c796-49cd-8692-fe7856cf6d6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Nakapiripirit</vt:lpstr>
      <vt:lpstr>Amudat</vt:lpstr>
      <vt:lpstr>Nabilatuk</vt:lpstr>
      <vt:lpstr>Kotido</vt:lpstr>
      <vt:lpstr>Moroto</vt:lpstr>
      <vt:lpstr>Kaabong</vt:lpstr>
      <vt:lpstr>Karenga</vt:lpstr>
      <vt:lpstr>Abim</vt:lpstr>
      <vt:lpstr>Napak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Nakirunda</dc:creator>
  <cp:lastModifiedBy>Walters, Maggie</cp:lastModifiedBy>
  <dcterms:created xsi:type="dcterms:W3CDTF">2025-06-23T11:17:55Z</dcterms:created>
  <dcterms:modified xsi:type="dcterms:W3CDTF">2026-02-27T18:23:28Z</dcterms:modified>
</cp:coreProperties>
</file>